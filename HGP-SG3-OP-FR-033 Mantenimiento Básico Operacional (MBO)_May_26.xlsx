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2119d2994b322a0a/Documentos/GitHub/MBO_CHSG3/"/>
    </mc:Choice>
  </mc:AlternateContent>
  <xr:revisionPtr revIDLastSave="12" documentId="13_ncr:1_{41B61CE9-E91E-49CC-9737-F8C937F3E64A}" xr6:coauthVersionLast="47" xr6:coauthVersionMax="47" xr10:uidLastSave="{7492F20C-2F50-4AB2-904B-B8A421338FBF}"/>
  <bookViews>
    <workbookView xWindow="-98" yWindow="-98" windowWidth="19396" windowHeight="11475" tabRatio="613" firstSheet="2" activeTab="2" xr2:uid="{00000000-000D-0000-FFFF-FFFF00000000}"/>
  </bookViews>
  <sheets>
    <sheet name="PRESA" sheetId="32" r:id="rId1"/>
    <sheet name="COLCHON DE AIRE" sheetId="20" r:id="rId2"/>
    <sheet name="EDIFICIO CONTROL" sheetId="10" r:id="rId3"/>
    <sheet name="SE Paquillusi" sheetId="21" r:id="rId4"/>
    <sheet name="UG1" sheetId="23" r:id="rId5"/>
    <sheet name="UG2" sheetId="17" r:id="rId6"/>
    <sheet name="COMUNES" sheetId="22" r:id="rId7"/>
    <sheet name="UG1 FOR" sheetId="34" state="hidden" r:id="rId8"/>
    <sheet name="COMUNES FOR" sheetId="35" state="hidden" r:id="rId9"/>
    <sheet name="S.E. PAQUILLUSI FOR" sheetId="33" state="hidden" r:id="rId10"/>
    <sheet name="COLCHON DE AIRE FOR" sheetId="36" state="hidden" r:id="rId11"/>
    <sheet name="PRESA FOR" sheetId="37" state="hidden" r:id="rId12"/>
    <sheet name="EDIFICIO CONTROL FOR" sheetId="38" state="hidden" r:id="rId13"/>
  </sheets>
  <definedNames>
    <definedName name="_xlnm._FilterDatabase" localSheetId="6" hidden="1">COMUNES!$A$2:$J$111</definedName>
    <definedName name="_xlnm._FilterDatabase" localSheetId="8" hidden="1">'COMUNES FOR'!$A$2:$I$77</definedName>
    <definedName name="_xlnm._FilterDatabase" localSheetId="4" hidden="1">'UG1'!$A$2:$J$205</definedName>
    <definedName name="_xlnm._FilterDatabase" localSheetId="7" hidden="1">'UG1 FOR'!$A$2:$J$203</definedName>
    <definedName name="_xlnm._FilterDatabase" localSheetId="5" hidden="1">'UG2'!$A$2:$J$207</definedName>
    <definedName name="_xlnm.Print_Area" localSheetId="1">'COLCHON DE AIRE'!$A$1:$H$148</definedName>
    <definedName name="_xlnm.Print_Area" localSheetId="10">'COLCHON DE AIRE FOR'!$A$1:$M$114</definedName>
    <definedName name="_xlnm.Print_Area" localSheetId="6">COMUNES!$B$1:$J$115</definedName>
    <definedName name="_xlnm.Print_Area" localSheetId="8">'COMUNES FOR'!$B$1:$S$77</definedName>
    <definedName name="_xlnm.Print_Area" localSheetId="4">'UG1'!$B$1:$J$209</definedName>
    <definedName name="_xlnm.Print_Area" localSheetId="7">'UG1 FOR'!$B$1:$T$207</definedName>
    <definedName name="_xlnm.Print_Area" localSheetId="5">'UG2'!$B$1:$J$211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1" i="23" l="1"/>
  <c r="O180" i="23"/>
  <c r="L181" i="23"/>
  <c r="L180" i="23"/>
  <c r="O192" i="23"/>
  <c r="O193" i="23"/>
  <c r="L193" i="23"/>
  <c r="L192" i="23"/>
  <c r="O183" i="17"/>
  <c r="O182" i="17"/>
  <c r="L183" i="17"/>
  <c r="L182" i="17"/>
  <c r="O195" i="17"/>
  <c r="O194" i="17"/>
  <c r="L195" i="17"/>
  <c r="L194" i="17"/>
  <c r="AA195" i="17"/>
  <c r="AA194" i="17"/>
  <c r="AA183" i="17"/>
  <c r="AA182" i="17"/>
  <c r="S110" i="22"/>
  <c r="AA192" i="23"/>
  <c r="AA180" i="23"/>
  <c r="Y192" i="23"/>
  <c r="Y180" i="23"/>
  <c r="W193" i="23"/>
  <c r="W192" i="23"/>
  <c r="W181" i="23"/>
  <c r="W180" i="23"/>
  <c r="L5" i="38"/>
  <c r="L6" i="33"/>
  <c r="M6" i="33"/>
  <c r="N6" i="33"/>
  <c r="J5" i="37"/>
  <c r="K5" i="37"/>
  <c r="L5" i="37"/>
  <c r="K5" i="36"/>
  <c r="M5" i="38"/>
  <c r="N5" i="38"/>
  <c r="L5" i="36"/>
  <c r="M5" i="36"/>
</calcChain>
</file>

<file path=xl/sharedStrings.xml><?xml version="1.0" encoding="utf-8"?>
<sst xmlns="http://schemas.openxmlformats.org/spreadsheetml/2006/main" count="7220" uniqueCount="867">
  <si>
    <t>HYDRO GLOBAL PERÚ</t>
  </si>
  <si>
    <t>FORMATO</t>
  </si>
  <si>
    <t>Código: IES-SG3-ST-FR-033
Revisión: 01</t>
  </si>
  <si>
    <t>MBO DIARIO PRESA</t>
  </si>
  <si>
    <t>Aprobado: SP
Fecha: 18/07/2025
Página: 1 de 1</t>
  </si>
  <si>
    <t>SISTEMA</t>
  </si>
  <si>
    <t>DESCRIPCIÓN</t>
  </si>
  <si>
    <t>UNIDAD</t>
  </si>
  <si>
    <t>SETEOS</t>
  </si>
  <si>
    <t>REFERENCIA</t>
  </si>
  <si>
    <t>UNIDADES</t>
  </si>
  <si>
    <t>POTENCIA TOTAL GENERADA</t>
  </si>
  <si>
    <t>MW</t>
  </si>
  <si>
    <t>0 - 209</t>
  </si>
  <si>
    <t>RIO</t>
  </si>
  <si>
    <t>NIVEL DE RIO</t>
  </si>
  <si>
    <t>NIVEL DE REGLETA</t>
  </si>
  <si>
    <t>msnm</t>
  </si>
  <si>
    <t>CAUDAL ECOLÓGICO</t>
  </si>
  <si>
    <t>obs</t>
  </si>
  <si>
    <t>SI o NO</t>
  </si>
  <si>
    <t>-</t>
  </si>
  <si>
    <t xml:space="preserve">VALVULAS  CAUDAL ECOLÓGICO ABIERTA </t>
  </si>
  <si>
    <t>1-2-3-4</t>
  </si>
  <si>
    <t>SALA ELÉCTRICA 22.9 kV - 0.4 Kv</t>
  </si>
  <si>
    <t>CELDA 1 
22.9 kV
LLEGADA DE CM</t>
  </si>
  <si>
    <t>TENSIÓN FASE R</t>
  </si>
  <si>
    <t>V</t>
  </si>
  <si>
    <t>TENSIÓN FASE S</t>
  </si>
  <si>
    <t>TENSIÓN FASE T</t>
  </si>
  <si>
    <t>DISPOSITIVO ATS</t>
  </si>
  <si>
    <t>R: Remoto
0: Descoctado
L= Local</t>
  </si>
  <si>
    <t>INTERRUPTOR</t>
  </si>
  <si>
    <t>C: Cerrado
A: Abiertp</t>
  </si>
  <si>
    <t>CELDA 2
22.9 KV - 400 V</t>
  </si>
  <si>
    <t>CELDA 3
22.9 kV
LLEGADA SGII</t>
  </si>
  <si>
    <t>KV</t>
  </si>
  <si>
    <t>TRAFO 
22.9 KV - 0.4 KV
CABECERA</t>
  </si>
  <si>
    <t>TEMPERATURA FASE R</t>
  </si>
  <si>
    <t>°C</t>
  </si>
  <si>
    <t>TEMPERATURA FASE S</t>
  </si>
  <si>
    <t>TEMPERATURA FASE T</t>
  </si>
  <si>
    <t>CELDA ENTRADA =CCMD+P1</t>
  </si>
  <si>
    <t>POTENCIA ACTIVA</t>
  </si>
  <si>
    <t>KW</t>
  </si>
  <si>
    <t>POTENCIA REACTIVA</t>
  </si>
  <si>
    <t>VAR</t>
  </si>
  <si>
    <t>CORRIENTE FASE R</t>
  </si>
  <si>
    <t>A</t>
  </si>
  <si>
    <t>CORRIENTE FASE S</t>
  </si>
  <si>
    <t>CORRIENTE FASE T</t>
  </si>
  <si>
    <t>C: Cerrado
A: Abierto</t>
  </si>
  <si>
    <t>CONEXIÓN A BARRA
=CCMD+P4</t>
  </si>
  <si>
    <t>STATUS BZT</t>
  </si>
  <si>
    <t>A: Automatico
SA: Semi aut.
S: Salida</t>
  </si>
  <si>
    <t>ENTRADA GENERADOR DIÉSEL
=CCMD+P7</t>
  </si>
  <si>
    <t>BOCATOMA DE DERIVACION</t>
  </si>
  <si>
    <r>
      <t xml:space="preserve">COMPUERTA RADIAL
</t>
    </r>
    <r>
      <rPr>
        <b/>
        <sz val="8"/>
        <rFont val="Arial"/>
        <family val="2"/>
      </rPr>
      <t xml:space="preserve">N°01 </t>
    </r>
  </si>
  <si>
    <t>PRIORIDAD DE BOMBA</t>
  </si>
  <si>
    <t>1 O 2</t>
  </si>
  <si>
    <t xml:space="preserve"> -</t>
  </si>
  <si>
    <t>TEMPERATURA DE ACEITE</t>
  </si>
  <si>
    <t xml:space="preserve">alarma = 60
</t>
  </si>
  <si>
    <t>30°&gt; &lt; 60º</t>
  </si>
  <si>
    <t>PRESIÓN DE LA UNIDAD HIDRAULICA N°01</t>
  </si>
  <si>
    <t>Mpas</t>
  </si>
  <si>
    <t>alarma = 24</t>
  </si>
  <si>
    <t>1&gt;  &lt;24</t>
  </si>
  <si>
    <t>NIVEL DE ACEITE</t>
  </si>
  <si>
    <t>cm</t>
  </si>
  <si>
    <t>Regla</t>
  </si>
  <si>
    <t>25&gt;  &lt;85</t>
  </si>
  <si>
    <t>mm</t>
  </si>
  <si>
    <t>HMI</t>
  </si>
  <si>
    <t>APERTURA  DE COMPUERTA</t>
  </si>
  <si>
    <t>0&gt;  &lt;5600</t>
  </si>
  <si>
    <t xml:space="preserve">PORCENTAJE DE APERTURA </t>
  </si>
  <si>
    <t>%</t>
  </si>
  <si>
    <t>0 - 100</t>
  </si>
  <si>
    <t>ALARMA O LED DE FALLA ACTIVO</t>
  </si>
  <si>
    <t>APERTURA DE LA CLAPETA</t>
  </si>
  <si>
    <t>0 - 1000</t>
  </si>
  <si>
    <t xml:space="preserve">FUGA DE ACEITE </t>
  </si>
  <si>
    <t xml:space="preserve">SILICA GEL </t>
  </si>
  <si>
    <t xml:space="preserve">Bueno=1; Saturado=0 </t>
  </si>
  <si>
    <r>
      <t xml:space="preserve">COMPUERTA RADIAL
</t>
    </r>
    <r>
      <rPr>
        <b/>
        <sz val="8"/>
        <rFont val="Arial"/>
        <family val="2"/>
      </rPr>
      <t>N°02</t>
    </r>
  </si>
  <si>
    <t>TEMPERATURA DE  ACEITE</t>
  </si>
  <si>
    <t xml:space="preserve">Alarma = 60
</t>
  </si>
  <si>
    <t>PRESIÓN DE LA UNIDAD HIDRAULICA N°02</t>
  </si>
  <si>
    <t>Alarma = 24</t>
  </si>
  <si>
    <t xml:space="preserve">COMPUERTA RADIAL
N°03 </t>
  </si>
  <si>
    <t>PRESIÓN DE LA UNIDAD HIDRAULICA N°03</t>
  </si>
  <si>
    <t>COMPUERTA CLAPETA</t>
  </si>
  <si>
    <t>Abierto=A ; Cerrado=C</t>
  </si>
  <si>
    <t>DESARENADORES</t>
  </si>
  <si>
    <r>
      <t xml:space="preserve">COMPUERTA
N° </t>
    </r>
    <r>
      <rPr>
        <b/>
        <sz val="8"/>
        <color rgb="FF000000"/>
        <rFont val="Arial"/>
        <family val="2"/>
      </rPr>
      <t xml:space="preserve">1 y 2 </t>
    </r>
  </si>
  <si>
    <t>APERTURA</t>
  </si>
  <si>
    <t>alarma = 60</t>
  </si>
  <si>
    <t>PRESION DEL SISTEMA</t>
  </si>
  <si>
    <r>
      <t>COMPUERTA
N °</t>
    </r>
    <r>
      <rPr>
        <b/>
        <sz val="8"/>
        <rFont val="Arial"/>
        <family val="2"/>
      </rPr>
      <t>3 y 4</t>
    </r>
  </si>
  <si>
    <t xml:space="preserve">APERTURA </t>
  </si>
  <si>
    <r>
      <t xml:space="preserve">COMPUERTA 
DE PURGA 
N° </t>
    </r>
    <r>
      <rPr>
        <b/>
        <sz val="8"/>
        <rFont val="Arial"/>
        <family val="2"/>
      </rPr>
      <t xml:space="preserve">1 y2 </t>
    </r>
  </si>
  <si>
    <r>
      <t>COMPUERTA 
DE PURGA 
N°</t>
    </r>
    <r>
      <rPr>
        <b/>
        <sz val="8"/>
        <rFont val="Arial"/>
        <family val="2"/>
      </rPr>
      <t xml:space="preserve"> 3 Y 4 </t>
    </r>
  </si>
  <si>
    <t>COMPUERTA INGRESO RESERVORIO  AGUAS TURBINADAS CH SG II</t>
  </si>
  <si>
    <t>0%-100%</t>
  </si>
  <si>
    <t xml:space="preserve">ALARMAS HMI </t>
  </si>
  <si>
    <t>COMPUERTA DE DERIVACIÓN CH SG II</t>
  </si>
  <si>
    <t>RESERVORIO DE REGULACIÓN</t>
  </si>
  <si>
    <t>NIVEL DE REGLA</t>
  </si>
  <si>
    <t>Nivel de operacion = 1409</t>
  </si>
  <si>
    <t>1401°&gt; &lt; 1409°</t>
  </si>
  <si>
    <t>COMPUERTA DE PURGA 
RESEVORIO</t>
  </si>
  <si>
    <t>ALARMAS HMI</t>
  </si>
  <si>
    <t>COMPUERTA DE ADUCCIÓN</t>
  </si>
  <si>
    <t>NIVEL DE AGUA</t>
  </si>
  <si>
    <t>m</t>
  </si>
  <si>
    <t xml:space="preserve">Nivel alto: 1414.50 m
 Nivel arran:1414 m </t>
  </si>
  <si>
    <t>SELECTOR</t>
  </si>
  <si>
    <t>A= Automatico
L=Local</t>
  </si>
  <si>
    <t>TANQUE DE AGUA DE SSHH</t>
  </si>
  <si>
    <t>Nivel alto: 1,0 m
 Nivel arran: m</t>
  </si>
  <si>
    <t>0-1.0m</t>
  </si>
  <si>
    <t>OBSERVACION</t>
  </si>
  <si>
    <t>OPERADOR DE TURNO</t>
  </si>
  <si>
    <t>Código: IES-SG3-ST-FR-033
Revisión: 00</t>
  </si>
  <si>
    <t>MBO DIARIO COLCHÓN DE AIRE</t>
  </si>
  <si>
    <t>NIVEL</t>
  </si>
  <si>
    <t>NIVEL 1</t>
  </si>
  <si>
    <t xml:space="preserve">SALA DE COMPRESORES </t>
  </si>
  <si>
    <t>COMPRESOR #1</t>
  </si>
  <si>
    <t>SELECTOR CONTROL</t>
  </si>
  <si>
    <t>L: Local
P: Parada
R: Remoto</t>
  </si>
  <si>
    <t>P</t>
  </si>
  <si>
    <t>L</t>
  </si>
  <si>
    <t>TEMPERATURA DE DESCARGA DE AIRE</t>
  </si>
  <si>
    <t>HH:70
H:65</t>
  </si>
  <si>
    <t>PRESION DE DESCARGA DE AIRE</t>
  </si>
  <si>
    <t>MPa</t>
  </si>
  <si>
    <t>HH:4,2
H:4.0</t>
  </si>
  <si>
    <t>PRESION DE ACEITE LUBRICANTE</t>
  </si>
  <si>
    <t>Bar</t>
  </si>
  <si>
    <t xml:space="preserve">HH:4.5
H:4.0
L:1.4 
LL:1.2 </t>
  </si>
  <si>
    <t>TIEMPO DE OPERACIÓN ACTUAL</t>
  </si>
  <si>
    <t>H</t>
  </si>
  <si>
    <t>TOTAL DE TIEMPO DE OPERACIÓN</t>
  </si>
  <si>
    <t>MANÓMETRO DE PRESIÓN ETAPA 1</t>
  </si>
  <si>
    <t>bar</t>
  </si>
  <si>
    <t>MANÓMETRO DE PRESIÓN ETAPA 2</t>
  </si>
  <si>
    <t>MANÓMETRO DE PRESIÓN ETAPA 3</t>
  </si>
  <si>
    <t>MEDIDOR DE PRESION DE ACEITE</t>
  </si>
  <si>
    <t>VALVULA MANUAL DE SALIDA DE COMPRESOR</t>
  </si>
  <si>
    <t>C</t>
  </si>
  <si>
    <t>PRESENCIA DE FUGA DE ACEITE</t>
  </si>
  <si>
    <t>SI / NO</t>
  </si>
  <si>
    <t>NO</t>
  </si>
  <si>
    <t>COMPRESOR #2</t>
  </si>
  <si>
    <t>COMPRESOR #3</t>
  </si>
  <si>
    <t>VALVULA MANUAL DE DESCARGA</t>
  </si>
  <si>
    <t>COMPRESOR #4</t>
  </si>
  <si>
    <t>COMPRESOR #5</t>
  </si>
  <si>
    <t>COMPRESOR #6</t>
  </si>
  <si>
    <t>COMPRESOR #7</t>
  </si>
  <si>
    <t>COMPRESOR #8</t>
  </si>
  <si>
    <t>OTROS</t>
  </si>
  <si>
    <t>PRESION DE INGRESO DE AIRE AL SISTEMA</t>
  </si>
  <si>
    <t xml:space="preserve">VALVULA MANUAL DE INGRESO AL SISTEMA  </t>
  </si>
  <si>
    <t>AIRE ACONDICIONADO #1</t>
  </si>
  <si>
    <t>ON/OFF</t>
  </si>
  <si>
    <t>OFF</t>
  </si>
  <si>
    <t>ON</t>
  </si>
  <si>
    <t>AIRE ACONDICIONADO #2</t>
  </si>
  <si>
    <t>AIRE ACONDICIONADO #3</t>
  </si>
  <si>
    <t>AIRE ACONDICIONADO #4</t>
  </si>
  <si>
    <t>FALLA EN TABLERO VENTILADOR DE SALA</t>
  </si>
  <si>
    <t>SI/NO</t>
  </si>
  <si>
    <t>FUNCIONAMIENTO DE 6 EXTRACTORES</t>
  </si>
  <si>
    <t>VALVULA MANUAL #1 DE VAL. SOBRE PRESION</t>
  </si>
  <si>
    <t>VALVULA MANUAL #2 DE VAL. SOBRE PRESION</t>
  </si>
  <si>
    <t>NIVEL 2</t>
  </si>
  <si>
    <t>SALA DE CONTROL</t>
  </si>
  <si>
    <t xml:space="preserve">CONTROL DE LCU </t>
  </si>
  <si>
    <t>L: Local
R: Remoto</t>
  </si>
  <si>
    <t>PL</t>
  </si>
  <si>
    <t>m2</t>
  </si>
  <si>
    <t>Voltaje del bus del UPS</t>
  </si>
  <si>
    <t>Corriente del bus del UPS</t>
  </si>
  <si>
    <t>SALA ELÉCTRICA 
0.4 kV</t>
  </si>
  <si>
    <t>TRAFO #1 DE 22.9-0.4kV</t>
  </si>
  <si>
    <t>HH:150
H:130</t>
  </si>
  <si>
    <t>kW</t>
  </si>
  <si>
    <t>kVAR</t>
  </si>
  <si>
    <t>TENSION FASE R</t>
  </si>
  <si>
    <t>TENSION FASE S</t>
  </si>
  <si>
    <t>TENSION FASE T</t>
  </si>
  <si>
    <t>INTERRUPTOR ACOPLE</t>
  </si>
  <si>
    <t>INTERRUPTOR LLEGADA GE</t>
  </si>
  <si>
    <t>AUTO/SEMI AUTO/SALIDA</t>
  </si>
  <si>
    <t>SEMI</t>
  </si>
  <si>
    <t>ACCESOS</t>
  </si>
  <si>
    <t>INSPECCIÓN DE FILTRACIONES - ARRANQUE DE BOMBA</t>
  </si>
  <si>
    <t>OK</t>
  </si>
  <si>
    <t>OBSERVACIONES</t>
  </si>
  <si>
    <t>Los compresores 2 y 5 pasaron las 1000 horas en el último arranque</t>
  </si>
  <si>
    <t>Se realizó prueba de arranque del Compresor N°4</t>
  </si>
  <si>
    <t>Se realizó prueba de arranque del Compresor N°5</t>
  </si>
  <si>
    <t>M.P</t>
  </si>
  <si>
    <t>I.A</t>
  </si>
  <si>
    <t>G.P</t>
  </si>
  <si>
    <t>L.CH</t>
  </si>
  <si>
    <t>K.T</t>
  </si>
  <si>
    <t>F.M</t>
  </si>
  <si>
    <t>REGISTRO MBO DIARIO</t>
  </si>
  <si>
    <t>IES-SG3-OP-FR-033</t>
  </si>
  <si>
    <t>MBO DIARIO EDIFICIO DE CONTROL</t>
  </si>
  <si>
    <t>NIVEL
1</t>
  </si>
  <si>
    <t>SALA ELÉCTRICA
0.4 kV</t>
  </si>
  <si>
    <t>TRAFO N°01 
 22.9/0.4kV</t>
  </si>
  <si>
    <t>Digital</t>
  </si>
  <si>
    <t>TRAFO N°02 
22.9/0.4kV</t>
  </si>
  <si>
    <t xml:space="preserve"> </t>
  </si>
  <si>
    <t>INTERRUPTOR ACOPLE DE BARRAS</t>
  </si>
  <si>
    <t>NIVEL
2</t>
  </si>
  <si>
    <t>SISTEMA DE PROTECION 
DE GIS</t>
  </si>
  <si>
    <t>ESTADO DE RELES DE PROTECCION DE LÍNEA 220kV</t>
  </si>
  <si>
    <t>OK / NOK</t>
  </si>
  <si>
    <t>NOK</t>
  </si>
  <si>
    <t>ESTADO DE RELES DE PROTECCION DE BARRA 220kV</t>
  </si>
  <si>
    <t>PANEL DE REGISTRO DE FALLAS DE S.E GIS</t>
  </si>
  <si>
    <t>PANEL DE REGISTRO DE FALLAS DE 
LINEA 220kV</t>
  </si>
  <si>
    <t>SISTEMA EPS</t>
  </si>
  <si>
    <t>ESTADO DEL UPS MODULAR</t>
  </si>
  <si>
    <t>RACK</t>
  </si>
  <si>
    <t>VOLTAJE DE SALIDA DEL INVERSOR</t>
  </si>
  <si>
    <t>CORRIENTE DE SALIDA DEL INVERSOR</t>
  </si>
  <si>
    <t>ESTADO DE LOS 5 MÓDULOS DE POTENCIA</t>
  </si>
  <si>
    <t>TABLERO</t>
  </si>
  <si>
    <t>SISTEMA DE 
ALIMIENTACION SEGURA 
DE EDC</t>
  </si>
  <si>
    <t>PANEL DE CARGADOR DE BATERIAS #1</t>
  </si>
  <si>
    <t>TENSION DE MÓDULO</t>
  </si>
  <si>
    <t>TABLERO DISPLAY</t>
  </si>
  <si>
    <t>CORRIENTE DE MÓDULO</t>
  </si>
  <si>
    <t>TENSION DE BATERÍAS #1</t>
  </si>
  <si>
    <t>CORRIENTE DE BATERÍAS #1</t>
  </si>
  <si>
    <t>PANEL DE CARGADOR DE BATERIAS #2</t>
  </si>
  <si>
    <t>TENSION DE BATERÍAS #2</t>
  </si>
  <si>
    <t>CORRIENTE DE BATERÍAS #2</t>
  </si>
  <si>
    <t>PANEL DE CARGADOR DE BATERIAS #3</t>
  </si>
  <si>
    <t>TENSION DE BATERÍAS #3</t>
  </si>
  <si>
    <t>CORRIENTE DE BATERÍAS #3</t>
  </si>
  <si>
    <t>SISTEMA DE PROTECCION 
DE S.E.PAQUILLUSI</t>
  </si>
  <si>
    <t>ESTADO DE RELES DE PROTECCION DE REACTOR EN LINEA DE 220kV</t>
  </si>
  <si>
    <t>INSPECCIÓN EQUIPOS</t>
  </si>
  <si>
    <t>TELÉFONO SATELITAL ISATPHONE2</t>
  </si>
  <si>
    <t>M.M</t>
  </si>
  <si>
    <t>MBO DIARIO S.E PAQUILLUSI</t>
  </si>
  <si>
    <t>AIS</t>
  </si>
  <si>
    <t>PATIO LLAVES</t>
  </si>
  <si>
    <t>L-2042</t>
  </si>
  <si>
    <t>PARARRAYOS FASE R</t>
  </si>
  <si>
    <t>CORRIENTE</t>
  </si>
  <si>
    <t>mA</t>
  </si>
  <si>
    <t>PARARRAYOS FASE S</t>
  </si>
  <si>
    <t>PARARRAYOS FASE T</t>
  </si>
  <si>
    <t>REACTOR R1</t>
  </si>
  <si>
    <t>NIVEL DE ACEITE TC-INR1 FASE R</t>
  </si>
  <si>
    <t>MAX/20C/MIN</t>
  </si>
  <si>
    <t>MÁX</t>
  </si>
  <si>
    <t>NIVEL DE ACEITE TC-INR1 FASE S</t>
  </si>
  <si>
    <t>NIVEL DE ACEITE TC-INR1 FASE T</t>
  </si>
  <si>
    <t>INTERRUPTOR INT-R1</t>
  </si>
  <si>
    <t>A: Abierto
C: Cerrado</t>
  </si>
  <si>
    <t>PRESIÓN GAS SF6 INT-R1 FASE R</t>
  </si>
  <si>
    <t>0.60 Mpa</t>
  </si>
  <si>
    <t>PRESIÓN GAS SF6 INT-R1 FASE S</t>
  </si>
  <si>
    <t>PRESIÓN GAS SF6 INT-R1 FASE T</t>
  </si>
  <si>
    <t>TENSIÓN DE RESORTE INT-R1</t>
  </si>
  <si>
    <t>OK/NOK</t>
  </si>
  <si>
    <t>CONTADOR DE MANIOBRA</t>
  </si>
  <si>
    <t>DYJSQ</t>
  </si>
  <si>
    <t>JSQ</t>
  </si>
  <si>
    <t>NIVEL DE ACEITE TC-R1 FASE R</t>
  </si>
  <si>
    <t>NIVEL DE ACEITE TC-R1 FASE S</t>
  </si>
  <si>
    <t>NIVEL DE ACEITE TC-R1 FASE T</t>
  </si>
  <si>
    <t>TEMPERATURA DE ACEITE R1</t>
  </si>
  <si>
    <t>TEMPERATURA DE DEVANADO R1</t>
  </si>
  <si>
    <t>SILICAGEL R1</t>
  </si>
  <si>
    <t>Naranja</t>
  </si>
  <si>
    <t>NIVEL DE ACEITE R1</t>
  </si>
  <si>
    <t>°G</t>
  </si>
  <si>
    <t>PRESENCIA DE FUGA</t>
  </si>
  <si>
    <t>REACTOR R1-N</t>
  </si>
  <si>
    <t>TEMPERATURA DE ACEITE R1-N</t>
  </si>
  <si>
    <t>SILICAGEL R1-N</t>
  </si>
  <si>
    <t>NIVEL DE ACEITE R1-N</t>
  </si>
  <si>
    <t>CONTADOR PARARAYO</t>
  </si>
  <si>
    <t>GIS</t>
  </si>
  <si>
    <t>SENSOR FUGA</t>
  </si>
  <si>
    <t>SF6</t>
  </si>
  <si>
    <t>PORCENTAJE DE GAS SF6</t>
  </si>
  <si>
    <t>ALARMA</t>
  </si>
  <si>
    <t>UG2</t>
  </si>
  <si>
    <t>TABLERO 4</t>
  </si>
  <si>
    <t>NÚMERO DE OPERACIÓN (JS2)</t>
  </si>
  <si>
    <t>CONTADOR DE PRESION (JS1)</t>
  </si>
  <si>
    <t>SELECTOR (SIL)</t>
  </si>
  <si>
    <t>D: Desbloquedo
B: Bloqueado</t>
  </si>
  <si>
    <t>B</t>
  </si>
  <si>
    <t>ALARMA (K301)</t>
  </si>
  <si>
    <t>TABLERO 3</t>
  </si>
  <si>
    <t>NÚMERO DE OPERACIÓN (JS1) - FASE R</t>
  </si>
  <si>
    <t>NÚMERO DE OPERACIÓN (JS2) - FASE S</t>
  </si>
  <si>
    <t>NÚMERO DE OPERACIÓN (JS3) - FASE T</t>
  </si>
  <si>
    <t>CONTADOR DE PRESION CB (JS4) - FASE R</t>
  </si>
  <si>
    <t>CONTADOR DE PRESION CB (JS5) - FASE S</t>
  </si>
  <si>
    <t>CONTADOR DE PRESION CB (JS6) - FASE T</t>
  </si>
  <si>
    <t>UG1</t>
  </si>
  <si>
    <t>TABLERO 2</t>
  </si>
  <si>
    <t>TT</t>
  </si>
  <si>
    <t>TABLERO 1</t>
  </si>
  <si>
    <t>b</t>
  </si>
  <si>
    <t>TR1</t>
  </si>
  <si>
    <t>PRESIÓN GAS SF6 GIS TR1- FASE R</t>
  </si>
  <si>
    <t>PRESIÓN GAS SF6 GIS TR1- FASE S</t>
  </si>
  <si>
    <t>PRESIÓN GAS SF6 GIS TR1- FASE T</t>
  </si>
  <si>
    <t>BARRA</t>
  </si>
  <si>
    <t>PRESIÓN GAS SF6 GIS BARRA</t>
  </si>
  <si>
    <t>1er punto</t>
  </si>
  <si>
    <t>PRESIÓN GAS SF6 GIS - L-2042 - FASE R</t>
  </si>
  <si>
    <t>PRESIÓN GAS SF6 GIS - L-2042 - FASE S</t>
  </si>
  <si>
    <t>PRESIÓN GAS SF6 GIS - L-2042 - FASE T</t>
  </si>
  <si>
    <t>2do punto</t>
  </si>
  <si>
    <t>TR2</t>
  </si>
  <si>
    <t>PRESIÓN GAS SF6 GIS TR2- FASE R</t>
  </si>
  <si>
    <t>PRESIÓN GAS SF6 GIS TR2- FASE S</t>
  </si>
  <si>
    <t>PRESIÓN GAS SF6 GIS TR2- FASE T</t>
  </si>
  <si>
    <t>Se solicitó a limpieza industrial el secado del agua empozada producto d elas filtracioenes por la lluvia.</t>
  </si>
  <si>
    <t>C.C</t>
  </si>
  <si>
    <t>L.M</t>
  </si>
  <si>
    <t>MBO DIARIO CASA DE MAQUINAS - UG1</t>
  </si>
  <si>
    <t>SEÑAL</t>
  </si>
  <si>
    <t>56MW</t>
  </si>
  <si>
    <t>102MW</t>
  </si>
  <si>
    <t>NIVEL
4</t>
  </si>
  <si>
    <t>SISTEMA DE EXCITACION</t>
  </si>
  <si>
    <t>VOLTAJE DE ROTOR</t>
  </si>
  <si>
    <t>Analógico</t>
  </si>
  <si>
    <t>180 V</t>
  </si>
  <si>
    <t>CORRIENTE DE CAMPO</t>
  </si>
  <si>
    <t>MVAR</t>
  </si>
  <si>
    <t>CORRIENTE DE GABINETE #1</t>
  </si>
  <si>
    <t>Analogico</t>
  </si>
  <si>
    <t>CORRIENTE DE GABINETE #2</t>
  </si>
  <si>
    <t>GABINETES DE MANDO 
(LCU-A2)</t>
  </si>
  <si>
    <t>TENSION</t>
  </si>
  <si>
    <t>kV</t>
  </si>
  <si>
    <t>CONTROL DE LCU</t>
  </si>
  <si>
    <t>R</t>
  </si>
  <si>
    <t>Remoto</t>
  </si>
  <si>
    <t>GABINETE ELECTRICO DE 
REGULADOR DE VELOCIDAD</t>
  </si>
  <si>
    <t>APERTURA DE INYECTORES</t>
  </si>
  <si>
    <t>0&lt;&gt;100</t>
  </si>
  <si>
    <t>SELECTOR DE INYECTORES</t>
  </si>
  <si>
    <t>A: Auto
M: Manual</t>
  </si>
  <si>
    <t>MANUAL</t>
  </si>
  <si>
    <t>Manual</t>
  </si>
  <si>
    <t>M</t>
  </si>
  <si>
    <t>APERTURA DE DEFLECTORES</t>
  </si>
  <si>
    <t xml:space="preserve">GABINETES DE RELES DE 
PROTECCION </t>
  </si>
  <si>
    <t>ESTADO DE RELÉS DE PROTECCION GENERADOR</t>
  </si>
  <si>
    <t>ESTADO DE RELÉS DE PROTECCION TRANSFORMADOR</t>
  </si>
  <si>
    <t>ok</t>
  </si>
  <si>
    <t>ESTADO DE RELÉS DE PROTECCIÓN DE CABLES DE ALTA TENSIÓN 220kV</t>
  </si>
  <si>
    <t>ESTADO DE RELES DE PROTECCION COMU DE GENERADOR Y TRANSFORMADOR</t>
  </si>
  <si>
    <t>VIBRACIONES</t>
  </si>
  <si>
    <t>OSCILACION DE COJINETE GUIA SUPERIOR X</t>
  </si>
  <si>
    <t>µm</t>
  </si>
  <si>
    <t>H:: 300
HH:: 480</t>
  </si>
  <si>
    <t>OSCILACION DE COJINETE GUIA SUPERIOR Y</t>
  </si>
  <si>
    <t>OSCILACION DE COJINETE GUIA INFERIOR X</t>
  </si>
  <si>
    <t>OSCILACION DE COJINETE GUIA INFERIOR Y</t>
  </si>
  <si>
    <t>OSCILACION DE COJINETE GUIA TURBINA X</t>
  </si>
  <si>
    <t>OSCILACION DE COJINETE GUIA TURBINA Y</t>
  </si>
  <si>
    <t>VIBRACION DE BASTIDOR SUPERIOR X</t>
  </si>
  <si>
    <t>H:: 50
HH:: 100</t>
  </si>
  <si>
    <t>VIBRACION DE BASTIDOR SUPERIOR Y</t>
  </si>
  <si>
    <t>VIBRACION DE BASTIDOR SUPERIOR Z</t>
  </si>
  <si>
    <t>H:: 40
HH:: 80</t>
  </si>
  <si>
    <t>VIBRACION BASTIDOR INFERIOR X</t>
  </si>
  <si>
    <t>VIBRACION BASTIDOR INFERIOR Y</t>
  </si>
  <si>
    <t>VIBRACION DE BASTIDOR ESTATOR X</t>
  </si>
  <si>
    <t>H:: 120
HH:: 160</t>
  </si>
  <si>
    <t>VIBRACION DE BASTIDOR ESTATOR Y</t>
  </si>
  <si>
    <t>VIBRACION NUCLEO DE ESTATOR H1</t>
  </si>
  <si>
    <t>H:: 30
HH:: 50</t>
  </si>
  <si>
    <t>VIBRACION NUCLEO DE ESTATOR V1</t>
  </si>
  <si>
    <t>VIBRACION NUCLEO DE ESTATOR H2</t>
  </si>
  <si>
    <t>VIBRACION NUCLEO DE ESTATOR V2</t>
  </si>
  <si>
    <t>VELOCIDAD DE ROTOR</t>
  </si>
  <si>
    <t>rpm</t>
  </si>
  <si>
    <t>TORRETA DE GENERADOR</t>
  </si>
  <si>
    <t>NIVEL DE ACEITE DE CARTER</t>
  </si>
  <si>
    <t xml:space="preserve">DETECTOR DE AGUA-ACEITE </t>
  </si>
  <si>
    <t xml:space="preserve">TRANSFORMADOR DE POTENCIA 
13.8/220 KV
</t>
  </si>
  <si>
    <t>TEMPERATURA DE ACEITE FASE R</t>
  </si>
  <si>
    <t>TEMPERATURA DE ACEITE FASE S</t>
  </si>
  <si>
    <t>TEMPERATURA DE ACEITE FASE T</t>
  </si>
  <si>
    <t>TEMPERATURA DE DEVANADO FASE R</t>
  </si>
  <si>
    <t>TEMPERATURA DE DEVANADO FASE S</t>
  </si>
  <si>
    <t>TEMPERATURA DE DEVANADO FASE T</t>
  </si>
  <si>
    <t>INDICADOR DE SILICA GEL</t>
  </si>
  <si>
    <t>___</t>
  </si>
  <si>
    <t>Morado</t>
  </si>
  <si>
    <t xml:space="preserve">1 : Humedad ≤5%
2 : Humedad ⪰50%
3 : Humedad ⪰80% </t>
  </si>
  <si>
    <t>NIVEL DE ACEITE DEPOSITO DE EXPANSION</t>
  </si>
  <si>
    <t>min=0
max=1</t>
  </si>
  <si>
    <t>0.4&gt; &lt;0.6</t>
  </si>
  <si>
    <t>SISTEMA DE ENFRIAMIENTO LOCAL DE TRANSFORMADOR</t>
  </si>
  <si>
    <t xml:space="preserve">ESTADO DE HIM </t>
  </si>
  <si>
    <t>CONTROL DE GABINETE</t>
  </si>
  <si>
    <t>r</t>
  </si>
  <si>
    <t>ENFRIADOR EN SERVICIO (1,2 O 3)</t>
  </si>
  <si>
    <t>1</t>
  </si>
  <si>
    <t>2</t>
  </si>
  <si>
    <t>2–3</t>
  </si>
  <si>
    <t>1–3</t>
  </si>
  <si>
    <t>PRESION DE AGUA DE INGRESO A INTERCAMBIADOR DE CALOR</t>
  </si>
  <si>
    <t>Analógco</t>
  </si>
  <si>
    <t>LED</t>
  </si>
  <si>
    <t>TEMPERATURA DE ACEITE DE INGRESO A INTERCAMBIADOR DE CALOR</t>
  </si>
  <si>
    <t>PRESION DE ACEITE DE INGRESO A INTERCAMBIADOR DE CALOR</t>
  </si>
  <si>
    <t>KPa</t>
  </si>
  <si>
    <t>PRESION DE AGUA DE SALIDA DE INTERCAMBIADOR DE CALOR</t>
  </si>
  <si>
    <t>FLUJO DE AGUA DE SALIDA DE INTERCAMBIADRO DE CALOR</t>
  </si>
  <si>
    <t>PRESION DE ACEITE DE SALIDA DE INTERCAMBIADOR DE CALOR</t>
  </si>
  <si>
    <t>kPa</t>
  </si>
  <si>
    <t>NIVEL
3</t>
  </si>
  <si>
    <t>SISTEMA DE  FRENO</t>
  </si>
  <si>
    <t xml:space="preserve">CONTROL DE GABINETE </t>
  </si>
  <si>
    <t xml:space="preserve">A:Automatico
M:Manual </t>
  </si>
  <si>
    <t>Auto</t>
  </si>
  <si>
    <t>PRESIÓN FUENTE DE AIRE</t>
  </si>
  <si>
    <t>PRESIÓN INGRESO</t>
  </si>
  <si>
    <t>PRESIÓN SALIDA</t>
  </si>
  <si>
    <t>TABLERO TEMPERATURAS
COJINETE EMPUJE</t>
  </si>
  <si>
    <t>TEMPERATURA DEL COJINETE DE EMPUJE N°1</t>
  </si>
  <si>
    <t>&gt;55</t>
  </si>
  <si>
    <t>TEMPERATURA DEL COJINETE DE EMPUJE N°2</t>
  </si>
  <si>
    <t>TEMPERATURA DEL COJINETE DE EMPUJE N°3</t>
  </si>
  <si>
    <t>TEMPERATURA DE DESCARGA DE AGUA DE REFRIGERACIÓN DEL COJINETE DE EMPUJE</t>
  </si>
  <si>
    <t>TABLERO TEMPERATURAS
COJINETE GUÍA SUPERIOR</t>
  </si>
  <si>
    <t>EQUIPO NEBLINA EN OPERACIÓN</t>
  </si>
  <si>
    <t>1 o 2</t>
  </si>
  <si>
    <t>1y2</t>
  </si>
  <si>
    <t>1Y2</t>
  </si>
  <si>
    <t xml:space="preserve">1 Y2 </t>
  </si>
  <si>
    <t>4</t>
  </si>
  <si>
    <t>1 Y 2</t>
  </si>
  <si>
    <t>TEMPERATURA DEL COJINETE GUIA SUPERIOR N°1</t>
  </si>
  <si>
    <t>TEMPERATURA DEL COJINETE GUIA SUPERIOR  N°2</t>
  </si>
  <si>
    <t>TEMPERATURA DEL COJINETE  GUIA SUPERIOR N°3</t>
  </si>
  <si>
    <t>TEMPERATURA AGUA DE ENFRIAMIENTO</t>
  </si>
  <si>
    <t>TABLERO TEMPERATURAS
COJINETE GUÍA INFERIOR</t>
  </si>
  <si>
    <t>TEMPERATURA DEL COJINETE GUIA INFERIOR N°1</t>
  </si>
  <si>
    <t>TEMPERATURA DEL COJINETE GUIA INFERIOR  N°2</t>
  </si>
  <si>
    <t>TEMPERATURA DEL COJINETE  GUIA INFERIOR N°3</t>
  </si>
  <si>
    <t>TABLERO TEMPERATURAS
GENERADOR</t>
  </si>
  <si>
    <t>TEMPERATURA DE AIRE CALIENTE DEL ENFRIADOR DE AIRE N°1</t>
  </si>
  <si>
    <t>TEMPERATURA DE AIRE CALIENTE DEL ENFRIADOR DE AIRE N°2</t>
  </si>
  <si>
    <t>TEMPERATURA DE AIRE FRIO DEL ENFRIADOR DE AIRE N°1</t>
  </si>
  <si>
    <t>TEMPERATURA DE AIRE FRIO DEL ENFRIADOR DE AIRE N°2</t>
  </si>
  <si>
    <t xml:space="preserve">TEMPERATURA DE ENTRADA DE AGUA DE REFRIGERACIÓN DEL ENFRIADOR DE AIRE </t>
  </si>
  <si>
    <t>13.t</t>
  </si>
  <si>
    <t xml:space="preserve">TEMPERATURA DE SALIDA DE AGUA DE REFRIGERACIÓN DEL ENFRIADOR DE AIRE </t>
  </si>
  <si>
    <t>CORRIENTE DEL EJE</t>
  </si>
  <si>
    <t>&lt; 5 A</t>
  </si>
  <si>
    <t>TABLERO TEMPERATURAS 
COJINETE GUIA TURBINA</t>
  </si>
  <si>
    <t>TEMPERATURA DEL COJINETE GUIA TURBINA N°1</t>
  </si>
  <si>
    <t>TEMPERATURA DEL COJINETE GUIA TURBINA N°2</t>
  </si>
  <si>
    <t>TEMPERATURA DEL COJINETE  GUIA TURBINA  N°3</t>
  </si>
  <si>
    <t>EQUIPOS DE NEBLINA DE ACEITE</t>
  </si>
  <si>
    <t>EQUIPO NEBLINA COJINETE EMPUJE</t>
  </si>
  <si>
    <t>1/2</t>
  </si>
  <si>
    <t>NIVEL ACEITE EQUIPO NEBLINA COJINETE EMPUJE</t>
  </si>
  <si>
    <t>EQUIPO NEBLINA COJINETE GUÍA SUPERIOR</t>
  </si>
  <si>
    <t>1 Y2</t>
  </si>
  <si>
    <t>NIVEL ACEITE  EQUIPO NEBLINA COJINETE GUÍA SUPERIOR</t>
  </si>
  <si>
    <t>TRAFO EXCITACION</t>
  </si>
  <si>
    <t>IPB</t>
  </si>
  <si>
    <t>PRESIÓN DE OPERACIÓN</t>
  </si>
  <si>
    <t>Mpa</t>
  </si>
  <si>
    <t>HUMEDAD</t>
  </si>
  <si>
    <t>Tablero</t>
  </si>
  <si>
    <t>PRESION DE BARRA COLECTORA</t>
  </si>
  <si>
    <t>Pa</t>
  </si>
  <si>
    <t>TEMPERATURA DEL INTERIOR DE BARRA</t>
  </si>
  <si>
    <t>TIEMPO DE RETENCIÓN DE PRESIÓN</t>
  </si>
  <si>
    <t>MIN</t>
  </si>
  <si>
    <t>GCB</t>
  </si>
  <si>
    <t>PRESIÓN SF6</t>
  </si>
  <si>
    <t>TENSIÓN DE RESORTE</t>
  </si>
  <si>
    <t>Cargado= OK
No Cargado= NOK</t>
  </si>
  <si>
    <t>ESTADO</t>
  </si>
  <si>
    <t>c</t>
  </si>
  <si>
    <t>TRAFO AUXILIAR</t>
  </si>
  <si>
    <t>SISTEMA DE ENFRIAMIENTO</t>
  </si>
  <si>
    <t>PRINCIPAL - PRESION DE INGRESO</t>
  </si>
  <si>
    <t>PRINCIPAL - FLUJO DE ENVIO</t>
  </si>
  <si>
    <t>m3/h</t>
  </si>
  <si>
    <t>GENERADOR - PRESION DE INGRESO</t>
  </si>
  <si>
    <t>GUÍA TURBINA - PRESION DE INGRESO</t>
  </si>
  <si>
    <t>EMPUJE - PRESIÓN DE INGRESO</t>
  </si>
  <si>
    <t>GUÍA SUP - PRESIÓN DEI INGRESO</t>
  </si>
  <si>
    <t>GUÍA INF - PRESIÓN DE INGRESO</t>
  </si>
  <si>
    <t>GENERADOR - PRESIÓN SALIDA</t>
  </si>
  <si>
    <t>EMPUJE - PRESIÓN SALIDA</t>
  </si>
  <si>
    <t>GUÍA SUP - PRESIÓN SALIDA</t>
  </si>
  <si>
    <t>GUÍA INF - PRESIÓN SALIDA</t>
  </si>
  <si>
    <t>GUÍA TURBINA - PRESIÓN SALIDA</t>
  </si>
  <si>
    <t>PRINCIPAL - PRESIÓN SALIDA</t>
  </si>
  <si>
    <t>VALVULA ESFERICA</t>
  </si>
  <si>
    <t>PRESION INGRESO V.E</t>
  </si>
  <si>
    <t>PRESION SALIDA V.E</t>
  </si>
  <si>
    <t>SISTEMA HIDRAULICO DE 
VALVULA ESFERICA</t>
  </si>
  <si>
    <t>PRIORIDAD BOMBA</t>
  </si>
  <si>
    <t>1o2</t>
  </si>
  <si>
    <t>PRIORIDAD FILTRO DOBLE</t>
  </si>
  <si>
    <t>NIVEL DE ACEITE DE TANQUE UH</t>
  </si>
  <si>
    <t>TEMPERATURA DE ACEITE DE TANQUE UH</t>
  </si>
  <si>
    <t>DETECTOR DE AGUA-ACEITE UH</t>
  </si>
  <si>
    <t>FILTRO DE RETORNO</t>
  </si>
  <si>
    <t>0= NORMAL 
 1= ALARMA 
2= SATURADO</t>
  </si>
  <si>
    <t>VALVULA DE RETORNO</t>
  </si>
  <si>
    <t>C= CERRADO
A= ABIERTO</t>
  </si>
  <si>
    <t>PRESIÓN DE TANQUE ACEITE-AIRE</t>
  </si>
  <si>
    <t>Max. =6,3</t>
  </si>
  <si>
    <t>5..73</t>
  </si>
  <si>
    <t>PRESION DE INGRESO DE ACEITE A TANQUE ACEITE-AIRE</t>
  </si>
  <si>
    <t>PRESION DE INGRESO DE AIRE A TANQUE ACEITE-AIRE</t>
  </si>
  <si>
    <t>NIVEL DE ACEITE DE TANQUE ACEITE-AIRE</t>
  </si>
  <si>
    <t>SISTEMA HIDRAULICO DEL 
REGULADOR DE VELOCIDAD</t>
  </si>
  <si>
    <t>PRESION DE TANQUE ACEITE-AIRE</t>
  </si>
  <si>
    <t>RECINTO EJE TURBINA</t>
  </si>
  <si>
    <t>NIVEL DE ACEITE EN CUBA DE ACEITE</t>
  </si>
  <si>
    <t>EQUIPO DE NEBLINA DE ACEITE (GUIA INFERIOR)</t>
  </si>
  <si>
    <t>EQUIPO NEBLINA GUIA INFERIOR EN OPERACIÓN</t>
  </si>
  <si>
    <t>1 y 2</t>
  </si>
  <si>
    <t>NIVEL DE ACEITE EQUIPO NEBLINA COJINETE GUIA INFERIOR</t>
  </si>
  <si>
    <t>PRESION DE AGUA DE ENTRADA ALA UNIDAD</t>
  </si>
  <si>
    <t>ENTRADA DEL DISTRIBUIDOR</t>
  </si>
  <si>
    <t>ENTRADA DE INYECTOR N° 1</t>
  </si>
  <si>
    <t xml:space="preserve">ENTRADA DE INYECTOR N° 2 </t>
  </si>
  <si>
    <t>ENTRADA DE INYECTOR N° 2</t>
  </si>
  <si>
    <t xml:space="preserve">ENTRADA DE INYECTOR N° 3 </t>
  </si>
  <si>
    <t>ENTRADA DE INYECTOR N° 3</t>
  </si>
  <si>
    <t xml:space="preserve">ENTRADA DE INYECTOR N° 4 </t>
  </si>
  <si>
    <t>ENTRADA DE INYECTOR N° 4</t>
  </si>
  <si>
    <t>6,2</t>
  </si>
  <si>
    <t xml:space="preserve">ENTRADA DE INYECTOR N° 5 </t>
  </si>
  <si>
    <t>ENTRADA DE INYECTOR N° 5</t>
  </si>
  <si>
    <t>6,25</t>
  </si>
  <si>
    <t xml:space="preserve">ENTRADA DE INYECTOR N° 6 </t>
  </si>
  <si>
    <t>ENTRADA DE INYECTOR N°6</t>
  </si>
  <si>
    <t xml:space="preserve">FOSO DE TURBINA  </t>
  </si>
  <si>
    <t xml:space="preserve">FOSO DE TURBINA </t>
  </si>
  <si>
    <t>SISTEMA DE ENFRIAMIENTO TRANSFORMADOR</t>
  </si>
  <si>
    <t>PRIORIDAD   BOMBA</t>
  </si>
  <si>
    <t>1 ó 2</t>
  </si>
  <si>
    <t>PRESION SALIDA BOMBA</t>
  </si>
  <si>
    <t>PRESION DE ENTRADA FILTRO AUTOLIMPIANTE</t>
  </si>
  <si>
    <t>DIFERENCIAL DE PRESION DEL FILTRO</t>
  </si>
  <si>
    <t>PRESION DE SALIDA DE FILTRO AUTOLIMPIANTE</t>
  </si>
  <si>
    <t>.0.39</t>
  </si>
  <si>
    <t>DIFERENCIAL DE PRESION DEL FILTRO (PV)</t>
  </si>
  <si>
    <t>PRESION DE SALIDA  VALVULA DE 4 VIAS</t>
  </si>
  <si>
    <t xml:space="preserve">ROTACION DE LA VALVULA  DE 4 VIAS </t>
  </si>
  <si>
    <t>H= S. Horario
A= S. Antihorario</t>
  </si>
  <si>
    <t>Indt</t>
  </si>
  <si>
    <t>HORAS DE OPERACIÓN DE BOMBA N°1</t>
  </si>
  <si>
    <t>Hrs</t>
  </si>
  <si>
    <t>226D22H58M14S</t>
  </si>
  <si>
    <t>227,12,27,26</t>
  </si>
  <si>
    <t>228D18H59M47S</t>
  </si>
  <si>
    <t>229.12.9.22</t>
  </si>
  <si>
    <t>230D5H49M</t>
  </si>
  <si>
    <t>231D9H56M</t>
  </si>
  <si>
    <t>234.19.46.5</t>
  </si>
  <si>
    <t>535.20.39.0</t>
  </si>
  <si>
    <t>240.11.38</t>
  </si>
  <si>
    <t>HORAS DE OPERACIÓN DE BOMBA N°2</t>
  </si>
  <si>
    <t>98D20H23M7S</t>
  </si>
  <si>
    <t>98,20,23,7</t>
  </si>
  <si>
    <t>98.20.23.7</t>
  </si>
  <si>
    <t>98D20H23M</t>
  </si>
  <si>
    <t>98D20H32M</t>
  </si>
  <si>
    <t>98.20.32.18</t>
  </si>
  <si>
    <t>NIVEL DE POZO DE CAPTACION (AI)</t>
  </si>
  <si>
    <t>SISTEMA DE ENFRIAMIENTO UNIDAD</t>
  </si>
  <si>
    <t>FAIL</t>
  </si>
  <si>
    <t>Fail</t>
  </si>
  <si>
    <t>fs</t>
  </si>
  <si>
    <t>PRESION DE SALIDAD  VALVULA DE 4 VIAS</t>
  </si>
  <si>
    <t>217D9H12M9S</t>
  </si>
  <si>
    <t>217,22,29,56</t>
  </si>
  <si>
    <t>218.15.31.32</t>
  </si>
  <si>
    <t>219D7H44M</t>
  </si>
  <si>
    <t>220D11H53M</t>
  </si>
  <si>
    <t>223.21.46.57</t>
  </si>
  <si>
    <t>224.22.41.0</t>
  </si>
  <si>
    <t>228.22.32</t>
  </si>
  <si>
    <t>88D10H9M37S</t>
  </si>
  <si>
    <t>88,6,58,54</t>
  </si>
  <si>
    <t>89.16.55.29</t>
  </si>
  <si>
    <t>89D18H17M</t>
  </si>
  <si>
    <t>89D18H22M</t>
  </si>
  <si>
    <t>89.18.22.45</t>
  </si>
  <si>
    <t>89.18.58</t>
  </si>
  <si>
    <t>POZO DRENAJE DEL SISTEMA DE ENFRIAMIENTO TRANFORMADOR</t>
  </si>
  <si>
    <t>PRESION DE SALIDA DE AGUA</t>
  </si>
  <si>
    <t>TANQUE DE FUGA DE INYECTORES</t>
  </si>
  <si>
    <t>NIVEL DE ACEITE ( Analógico)</t>
  </si>
  <si>
    <t>1-10%</t>
  </si>
  <si>
    <t>___</t>
    <phoneticPr fontId="5" type="noConversion"/>
  </si>
  <si>
    <t>INOP</t>
  </si>
  <si>
    <t>F/s</t>
  </si>
  <si>
    <t xml:space="preserve"> TABLERO DE AGUA VALVULA ESFERICA</t>
  </si>
  <si>
    <t xml:space="preserve">PRESION DE ENTRADA DE AGUA </t>
  </si>
  <si>
    <t xml:space="preserve">PRESION DE OPERACION </t>
  </si>
  <si>
    <t xml:space="preserve">PRESION DE APLICACION DE SELLO DE OP </t>
  </si>
  <si>
    <t xml:space="preserve">PRESION DE APLICACION DE SELLO DE MANTTO </t>
  </si>
  <si>
    <t xml:space="preserve">PRESION DE DESAPLICACION DE SELLO DE OP </t>
  </si>
  <si>
    <t xml:space="preserve">PRESION DE DESAPLICACION DE SELLO DE MANTTO </t>
  </si>
  <si>
    <t>UG1  en Mantenimiento correctivo</t>
  </si>
  <si>
    <t>MP</t>
  </si>
  <si>
    <t>M:P</t>
  </si>
  <si>
    <t>LM</t>
  </si>
  <si>
    <t>MM</t>
  </si>
  <si>
    <t>MBO DIARIO CASA DE MAQUINAS - UG2</t>
  </si>
  <si>
    <t>102 MW</t>
  </si>
  <si>
    <t>NIVEL 4</t>
  </si>
  <si>
    <t>8.05</t>
  </si>
  <si>
    <t>103.52</t>
  </si>
  <si>
    <t>7.55</t>
  </si>
  <si>
    <t>LL:12.42kV</t>
  </si>
  <si>
    <t>13.28</t>
  </si>
  <si>
    <t>76.3</t>
  </si>
  <si>
    <t>MANUAL/AUTO</t>
  </si>
  <si>
    <t>98.82</t>
  </si>
  <si>
    <t>Alarma: 300
TRIP: 480</t>
  </si>
  <si>
    <t>Alarma: 50
TRIP: 100</t>
  </si>
  <si>
    <t>Alarma: 40
TRIP: 80</t>
  </si>
  <si>
    <t>Alarma: 120
TRIP: 160</t>
  </si>
  <si>
    <t>Alarma: 30
TRIP: 50</t>
  </si>
  <si>
    <t>VIBRACION NUCLEO DE ESTATOR H3</t>
  </si>
  <si>
    <t>VIBRACION NUCLEO DE ESTATOR V3</t>
  </si>
  <si>
    <t>449.7</t>
  </si>
  <si>
    <t>error</t>
  </si>
  <si>
    <t>TRANSFORMADOR DE POTENCIA 
13.8/220 KV</t>
  </si>
  <si>
    <t>0.4</t>
  </si>
  <si>
    <t>1-3</t>
  </si>
  <si>
    <t>1-2</t>
  </si>
  <si>
    <t>1–2</t>
  </si>
  <si>
    <t>0.13</t>
  </si>
  <si>
    <t>0.086</t>
  </si>
  <si>
    <t>37.3</t>
  </si>
  <si>
    <t>0.038</t>
  </si>
  <si>
    <t>m3/s</t>
  </si>
  <si>
    <t>0.06</t>
  </si>
  <si>
    <t>a</t>
  </si>
  <si>
    <t>0.75</t>
  </si>
  <si>
    <t>35.9</t>
  </si>
  <si>
    <t>35.6</t>
  </si>
  <si>
    <t>35.2</t>
  </si>
  <si>
    <t>15.7</t>
  </si>
  <si>
    <t>1^2</t>
  </si>
  <si>
    <t>39.3</t>
  </si>
  <si>
    <t>41.6</t>
  </si>
  <si>
    <t>39.2</t>
  </si>
  <si>
    <t>36.8</t>
  </si>
  <si>
    <t>15.1</t>
  </si>
  <si>
    <t>46.3</t>
  </si>
  <si>
    <t>45.9</t>
  </si>
  <si>
    <t>21.8</t>
  </si>
  <si>
    <t>21.2</t>
  </si>
  <si>
    <t>14.4</t>
  </si>
  <si>
    <t>49.3</t>
  </si>
  <si>
    <t>51.1</t>
  </si>
  <si>
    <t>48.7</t>
  </si>
  <si>
    <t>1  Y 2</t>
  </si>
  <si>
    <t>64. 3</t>
  </si>
  <si>
    <t>0.168</t>
  </si>
  <si>
    <t>0.18</t>
  </si>
  <si>
    <t>0.22</t>
  </si>
  <si>
    <t>0.2</t>
  </si>
  <si>
    <t>0.24</t>
  </si>
  <si>
    <t>0.1</t>
  </si>
  <si>
    <t>6.6</t>
  </si>
  <si>
    <t>6.24</t>
  </si>
  <si>
    <t>1O2</t>
  </si>
  <si>
    <t>1 / 2</t>
  </si>
  <si>
    <t>1.55</t>
  </si>
  <si>
    <t>C=CERRADO
A=ABIERTO</t>
  </si>
  <si>
    <t>6.09</t>
  </si>
  <si>
    <t>6.2</t>
  </si>
  <si>
    <t>33.1</t>
  </si>
  <si>
    <t>6 2</t>
  </si>
  <si>
    <t>7.2</t>
  </si>
  <si>
    <t>1Y3</t>
  </si>
  <si>
    <t>6.19</t>
  </si>
  <si>
    <t>6.3</t>
  </si>
  <si>
    <t>6.21</t>
  </si>
  <si>
    <t>6.22</t>
  </si>
  <si>
    <t>6.25</t>
  </si>
  <si>
    <t>6,19</t>
  </si>
  <si>
    <t>0.39</t>
  </si>
  <si>
    <t>fail</t>
  </si>
  <si>
    <t>0.36</t>
  </si>
  <si>
    <t>INDET</t>
  </si>
  <si>
    <t>NA</t>
  </si>
  <si>
    <t>185D21H12M1S</t>
  </si>
  <si>
    <t>185,21,12,1</t>
  </si>
  <si>
    <t>185.21.12.1</t>
  </si>
  <si>
    <t>185D21H12M</t>
  </si>
  <si>
    <t>185,21,17</t>
  </si>
  <si>
    <t>185.21.17.57</t>
  </si>
  <si>
    <t>185.21.17</t>
  </si>
  <si>
    <t>161D17H50M51S</t>
  </si>
  <si>
    <t>162,6,57,16</t>
  </si>
  <si>
    <t>164.6.41.54</t>
  </si>
  <si>
    <t>165D0H2M</t>
  </si>
  <si>
    <t>166,4,27</t>
  </si>
  <si>
    <t>169.14.25.43</t>
  </si>
  <si>
    <t>175.6.29</t>
  </si>
  <si>
    <t>0.35</t>
  </si>
  <si>
    <t>0.32</t>
  </si>
  <si>
    <t>14.3</t>
  </si>
  <si>
    <t>14. 1</t>
  </si>
  <si>
    <t>0.31</t>
  </si>
  <si>
    <t>14.1</t>
  </si>
  <si>
    <t>125D2H45M50S</t>
  </si>
  <si>
    <t>125,2,55,50</t>
  </si>
  <si>
    <t>125.2.45.50</t>
  </si>
  <si>
    <t>125D2H45M</t>
  </si>
  <si>
    <t>125D2H49M</t>
  </si>
  <si>
    <t>125.2.49.30</t>
  </si>
  <si>
    <t>125.2.49</t>
  </si>
  <si>
    <t>218D0H41M59S</t>
  </si>
  <si>
    <t>218,13,51,15</t>
  </si>
  <si>
    <t>220.13.35.57</t>
  </si>
  <si>
    <t>221D7H16M</t>
  </si>
  <si>
    <t>222D11H24M</t>
  </si>
  <si>
    <t>225.21.20.45</t>
  </si>
  <si>
    <t>226.22.18.2</t>
  </si>
  <si>
    <t>231.13.26</t>
  </si>
  <si>
    <t>NIVEL DE ACEITE ( Analogico)</t>
  </si>
  <si>
    <t>GP</t>
  </si>
  <si>
    <t>MBO DIARIO CASA DE MAQUINAS - SISTEMAS COMUNES</t>
  </si>
  <si>
    <t>157MW</t>
  </si>
  <si>
    <t>204MW</t>
  </si>
  <si>
    <t>NIVEL 5</t>
  </si>
  <si>
    <t>SISTEMA DE CORRIENTE DC - CASA DE MAQUINAS</t>
  </si>
  <si>
    <t>TENSION DE MÓDULO #1</t>
  </si>
  <si>
    <t>CORRIENTE DE MÓDULO #1</t>
  </si>
  <si>
    <t>MODO DE OPERACIÒN</t>
  </si>
  <si>
    <t>F: Flotante
E: Equilibrado</t>
  </si>
  <si>
    <t>F</t>
  </si>
  <si>
    <t>TENSION DE MÓDULO #2</t>
  </si>
  <si>
    <t>CORRIENTE DE MÓDULO #2</t>
  </si>
  <si>
    <t>TENSION DE MÓDULO #3</t>
  </si>
  <si>
    <t>CORRIENTE DE MÓDULO #3</t>
  </si>
  <si>
    <t>SALA ELÉCTRICA 
400 V</t>
  </si>
  <si>
    <t>TRAFO 22,9/04kV
BCCM1</t>
  </si>
  <si>
    <t>59..9</t>
  </si>
  <si>
    <t>218. 7</t>
  </si>
  <si>
    <t>TRAFO 22,9/04kV
BCCM2</t>
  </si>
  <si>
    <t>ESTADO DE ACOPLE CARGAS NO ESENCIALES</t>
  </si>
  <si>
    <t>Off</t>
  </si>
  <si>
    <t>NIVEL 3</t>
  </si>
  <si>
    <t>SALA ELÉCTRICA 22.9 kV</t>
  </si>
  <si>
    <t>SISTEMA MONITOREO FUGA SF6</t>
  </si>
  <si>
    <t>INTERRUPTOR 1# - CORRIENTE</t>
  </si>
  <si>
    <t>EDIFICIO CONTROL BARRA 1#</t>
  </si>
  <si>
    <t>INTERRUPTOR 2# - CORRIENTE</t>
  </si>
  <si>
    <t>INTERRUPTOR 3# - CORRIENTE</t>
  </si>
  <si>
    <t>INTERRUPTOR 4# - CORRIENTE</t>
  </si>
  <si>
    <t>DEL TRAFO AUXILIAR 1#</t>
  </si>
  <si>
    <t>TRANSFORMADOR TENSION #5</t>
  </si>
  <si>
    <t>TT BARRA #1</t>
  </si>
  <si>
    <t>INTERRUPTOR 6# - CORRIENTE</t>
  </si>
  <si>
    <t>CASA MÁQUINAS BARRA 1#</t>
  </si>
  <si>
    <t>INTERRUPTOR 7# - CORRIENTE</t>
  </si>
  <si>
    <t>INTERRUPTOR 9# - CORRIENTE</t>
  </si>
  <si>
    <t>CASA MÁQUINAS BARRA 2#</t>
  </si>
  <si>
    <t>TRANSFORMADOR TENSION #10</t>
  </si>
  <si>
    <t>TT BARRA #2</t>
  </si>
  <si>
    <t>INTERRUPTOR 11# - CORRIENTE</t>
  </si>
  <si>
    <t>DEL TRAFO AUXILIAR 2#</t>
  </si>
  <si>
    <t>INTERRUPTOR 12# - CORRIENTE</t>
  </si>
  <si>
    <t>EDIFICIO CONTROL BARRA 2#</t>
  </si>
  <si>
    <t>INTERRUPTOR 13# - CORRIENTE</t>
  </si>
  <si>
    <t>PRESA</t>
  </si>
  <si>
    <t>INTERRUPTOR 14# - CORRIENTE</t>
  </si>
  <si>
    <t>COLCHÓN DE AIRE</t>
  </si>
  <si>
    <t>ACOPLE DE BARRAS</t>
  </si>
  <si>
    <t>A/C</t>
  </si>
  <si>
    <t>SISTEMA DE AIRE COMPRIMIDO DE MEDIA PRESIÓN</t>
  </si>
  <si>
    <t>PANEL PRINCIPAL</t>
  </si>
  <si>
    <t>L: Local
A: Automatico</t>
  </si>
  <si>
    <t>PRESION DEL TANQUE GOBERNADOR 1</t>
  </si>
  <si>
    <t>PRESION DEL TANQUE GOBERNADOR 2</t>
  </si>
  <si>
    <t>PRESION DE SALIDA DE VALVULA REGULADORA DE PRESION</t>
  </si>
  <si>
    <t>COMPRESOR DE AIRE #1</t>
  </si>
  <si>
    <t xml:space="preserve">TIEMPO DE OPERACIÓN </t>
  </si>
  <si>
    <t>FULL</t>
  </si>
  <si>
    <t>VALVULA DE DESCARGA</t>
  </si>
  <si>
    <t>No</t>
  </si>
  <si>
    <t>COMPRESOR DE AIRE #2</t>
  </si>
  <si>
    <t>SISTEMA DE AIRE COMPRIMIDO DE BAJA PRESIÓN</t>
  </si>
  <si>
    <t>PRESION PARA MANTTO E IPB</t>
  </si>
  <si>
    <t>PRESION SISTEMA DE FRENO UG1 Y UG2</t>
  </si>
  <si>
    <t>TEMPERATURA</t>
  </si>
  <si>
    <t>PRESION</t>
  </si>
  <si>
    <t>50H 52M</t>
  </si>
  <si>
    <t>50H52M</t>
  </si>
  <si>
    <t>217H21M</t>
  </si>
  <si>
    <t>50,58</t>
  </si>
  <si>
    <t>PRESION DEL TANQUE N° 1</t>
  </si>
  <si>
    <t>49H13M</t>
  </si>
  <si>
    <t>49H17M</t>
  </si>
  <si>
    <t>49H19M</t>
  </si>
  <si>
    <t>49H21M</t>
  </si>
  <si>
    <t>48, 54</t>
  </si>
  <si>
    <t>PRESION DEL TANQUE N° 2</t>
  </si>
  <si>
    <t>COMPRESOR DE AIRE #3</t>
  </si>
  <si>
    <t>217H16M</t>
  </si>
  <si>
    <t>217H20M</t>
  </si>
  <si>
    <t>218,17</t>
  </si>
  <si>
    <t>216,59</t>
  </si>
  <si>
    <t>PRESION DEL TANQUE N° 3</t>
  </si>
  <si>
    <t>DRENAJE DE FUGA DE LA PLANTA</t>
  </si>
  <si>
    <t>7D14H25M</t>
  </si>
  <si>
    <t>7D14H29M</t>
  </si>
  <si>
    <t>0.0.40</t>
  </si>
  <si>
    <t>UG3</t>
  </si>
  <si>
    <t>UG4</t>
  </si>
  <si>
    <t>M:Manual A:Automatico</t>
  </si>
  <si>
    <t>Día / Hrs</t>
  </si>
  <si>
    <t>221 / 21</t>
  </si>
  <si>
    <t>125 / 1</t>
  </si>
  <si>
    <t>98 / 19</t>
  </si>
  <si>
    <t>212 / 22</t>
  </si>
  <si>
    <t>212 / 7</t>
  </si>
  <si>
    <t>88 / 9</t>
  </si>
  <si>
    <t>50, 52</t>
  </si>
  <si>
    <t>MAX</t>
  </si>
  <si>
    <t>|</t>
  </si>
  <si>
    <t>DSYJS</t>
  </si>
  <si>
    <t>SA</t>
  </si>
  <si>
    <t>POT:</t>
  </si>
  <si>
    <t>Nivel de operacion :
1420</t>
  </si>
  <si>
    <t>1-2-4</t>
  </si>
  <si>
    <t>S.A</t>
  </si>
  <si>
    <t>SI</t>
  </si>
  <si>
    <t>219D20H40M51S</t>
  </si>
  <si>
    <t>163D13H47M8S</t>
  </si>
  <si>
    <t>88D23H46M22S</t>
  </si>
  <si>
    <t>218D15H31M32S</t>
  </si>
  <si>
    <t>MODO DE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</si>
</sst>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[$€-2]\ * #,##0.00_);_([$€-2]\ * \(#,##0.00\);_([$€-2]\ * &quot;-&quot;??_)"/>
    <numFmt numFmtId="165" formatCode="dd\-mmmm"/>
    <numFmt numFmtId="166" formatCode="0.0\ &quot;MW&quot;"/>
    <numFmt numFmtId="167" formatCode="00\ &quot;MW&quot;"/>
    <numFmt numFmtId="168" formatCode="0.0"/>
    <numFmt numFmtId="169" formatCode="0.0000"/>
  </numFmts>
  <fonts count="4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Verdana"/>
      <family val="2"/>
    </font>
    <font>
      <sz val="9"/>
      <name val="Arial"/>
      <family val="2"/>
    </font>
    <font>
      <sz val="11"/>
      <color indexed="17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b/>
      <sz val="14"/>
      <name val="Arial"/>
      <family val="2"/>
    </font>
    <font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b/>
      <sz val="16"/>
      <name val="Arial"/>
      <family val="2"/>
    </font>
    <font>
      <sz val="7"/>
      <name val="Tahoma"/>
      <family val="2"/>
    </font>
    <font>
      <sz val="8"/>
      <color rgb="FF000000"/>
      <name val="Arial"/>
      <family val="2"/>
    </font>
    <font>
      <sz val="12"/>
      <color theme="1"/>
      <name val="Arial"/>
      <family val="2"/>
    </font>
    <font>
      <b/>
      <sz val="16"/>
      <color theme="0"/>
      <name val="Arial"/>
      <family val="2"/>
    </font>
    <font>
      <sz val="7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Arial"/>
      <family val="2"/>
    </font>
    <font>
      <sz val="10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b/>
      <sz val="16"/>
      <color theme="8" tint="-0.499984740745262"/>
      <name val="Arial"/>
      <family val="2"/>
    </font>
    <font>
      <sz val="8"/>
      <color theme="8" tint="-0.499984740745262"/>
      <name val="Arial"/>
      <family val="2"/>
    </font>
    <font>
      <b/>
      <sz val="18"/>
      <color theme="8" tint="-0.499984740745262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11"/>
      <name val="Arial"/>
      <family val="2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4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dotted">
        <color auto="1"/>
      </right>
      <top style="medium">
        <color indexed="64"/>
      </top>
      <bottom style="dotted">
        <color auto="1"/>
      </bottom>
      <diagonal/>
    </border>
    <border>
      <left/>
      <right style="medium">
        <color indexed="64"/>
      </right>
      <top style="medium">
        <color indexed="64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dotted">
        <color auto="1"/>
      </right>
      <top style="dotted">
        <color auto="1"/>
      </top>
      <bottom style="medium">
        <color indexed="64"/>
      </bottom>
      <diagonal/>
    </border>
    <border>
      <left/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>
      <left/>
      <right style="dotted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dotted">
        <color auto="1"/>
      </bottom>
      <diagonal/>
    </border>
    <border>
      <left/>
      <right style="medium">
        <color rgb="FF000000"/>
      </right>
      <top/>
      <bottom style="dotted">
        <color auto="1"/>
      </bottom>
      <diagonal/>
    </border>
    <border>
      <left/>
      <right style="medium">
        <color rgb="FF000000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rgb="FF000000"/>
      </left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auto="1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auto="1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 style="hair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dotted">
        <color auto="1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hair">
        <color indexed="64"/>
      </right>
      <top/>
      <bottom style="dotted">
        <color auto="1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hair">
        <color indexed="64"/>
      </right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auto="1"/>
      </bottom>
      <diagonal/>
    </border>
    <border>
      <left/>
      <right style="medium">
        <color indexed="64"/>
      </right>
      <top style="dashed">
        <color indexed="64"/>
      </top>
      <bottom style="dotted">
        <color auto="1"/>
      </bottom>
      <diagonal/>
    </border>
    <border>
      <left/>
      <right style="medium">
        <color rgb="FF000000"/>
      </right>
      <top style="dotted">
        <color auto="1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auto="1"/>
      </bottom>
      <diagonal/>
    </border>
    <border>
      <left/>
      <right style="medium">
        <color indexed="64"/>
      </right>
      <top style="medium">
        <color rgb="FF00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dotted">
        <color indexed="64"/>
      </right>
      <top style="thin">
        <color rgb="FF000000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thin">
        <color auto="1"/>
      </bottom>
      <diagonal/>
    </border>
    <border>
      <left/>
      <right style="dotted">
        <color auto="1"/>
      </right>
      <top style="double">
        <color indexed="64"/>
      </top>
      <bottom style="dotted">
        <color auto="1"/>
      </bottom>
      <diagonal/>
    </border>
    <border>
      <left/>
      <right style="medium">
        <color indexed="64"/>
      </right>
      <top style="double">
        <color indexed="64"/>
      </top>
      <bottom style="dotted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/>
      <right style="dotted">
        <color auto="1"/>
      </right>
      <top/>
      <bottom style="double">
        <color indexed="64"/>
      </bottom>
      <diagonal/>
    </border>
    <border>
      <left/>
      <right style="medium">
        <color indexed="64"/>
      </right>
      <top style="dotted">
        <color auto="1"/>
      </top>
      <bottom style="double">
        <color indexed="64"/>
      </bottom>
      <diagonal/>
    </border>
    <border>
      <left/>
      <right style="dotted">
        <color auto="1"/>
      </right>
      <top style="dotted">
        <color auto="1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tted">
        <color auto="1"/>
      </bottom>
      <diagonal/>
    </border>
    <border>
      <left/>
      <right style="medium">
        <color rgb="FF000000"/>
      </right>
      <top style="double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auto="1"/>
      </top>
      <bottom style="double">
        <color indexed="64"/>
      </bottom>
      <diagonal/>
    </border>
    <border>
      <left/>
      <right style="medium">
        <color rgb="FF000000"/>
      </right>
      <top style="dotted">
        <color indexed="64"/>
      </top>
      <bottom style="double">
        <color indexed="64"/>
      </bottom>
      <diagonal/>
    </border>
    <border>
      <left style="medium">
        <color rgb="FF000000"/>
      </left>
      <right style="dotted">
        <color auto="1"/>
      </right>
      <top style="dotted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medium">
        <color indexed="64"/>
      </right>
      <top style="double">
        <color indexed="64"/>
      </top>
      <bottom/>
      <diagonal/>
    </border>
    <border>
      <left/>
      <right/>
      <top style="thick">
        <color rgb="FF000000"/>
      </top>
      <bottom/>
      <diagonal/>
    </border>
    <border>
      <left style="medium">
        <color indexed="64"/>
      </left>
      <right style="thin">
        <color auto="1"/>
      </right>
      <top style="thick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000000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ck">
        <color rgb="FF000000"/>
      </top>
      <bottom style="thin">
        <color auto="1"/>
      </bottom>
      <diagonal/>
    </border>
    <border>
      <left/>
      <right style="dotted">
        <color auto="1"/>
      </right>
      <top style="thick">
        <color rgb="FF000000"/>
      </top>
      <bottom style="dotted">
        <color auto="1"/>
      </bottom>
      <diagonal/>
    </border>
    <border>
      <left/>
      <right style="medium">
        <color indexed="64"/>
      </right>
      <top style="thick">
        <color rgb="FF000000"/>
      </top>
      <bottom style="dotted">
        <color auto="1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/>
      <top style="thin">
        <color auto="1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ck">
        <color rgb="FF000000"/>
      </bottom>
      <diagonal/>
    </border>
    <border>
      <left/>
      <right style="dotted">
        <color auto="1"/>
      </right>
      <top/>
      <bottom style="thick">
        <color rgb="FF000000"/>
      </bottom>
      <diagonal/>
    </border>
    <border>
      <left/>
      <right style="medium">
        <color indexed="64"/>
      </right>
      <top style="dotted">
        <color auto="1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 style="thin">
        <color auto="1"/>
      </left>
      <right style="medium">
        <color indexed="64"/>
      </right>
      <top style="medium">
        <color rgb="FF000000"/>
      </top>
      <bottom/>
      <diagonal/>
    </border>
    <border>
      <left/>
      <right style="hair">
        <color indexed="64"/>
      </right>
      <top style="medium">
        <color rgb="FF000000"/>
      </top>
      <bottom style="dotted">
        <color auto="1"/>
      </bottom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double">
        <color indexed="64"/>
      </top>
      <bottom/>
      <diagonal/>
    </border>
    <border>
      <left/>
      <right style="thin">
        <color auto="1"/>
      </right>
      <top style="double">
        <color indexed="64"/>
      </top>
      <bottom/>
      <diagonal/>
    </border>
    <border>
      <left/>
      <right style="medium">
        <color rgb="FF000000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rgb="FF000000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ck">
        <color indexed="64"/>
      </top>
      <bottom style="thin">
        <color auto="1"/>
      </bottom>
      <diagonal/>
    </border>
    <border>
      <left/>
      <right style="dotted">
        <color auto="1"/>
      </right>
      <top style="thick">
        <color indexed="64"/>
      </top>
      <bottom style="dotted">
        <color auto="1"/>
      </bottom>
      <diagonal/>
    </border>
    <border>
      <left/>
      <right style="medium">
        <color indexed="64"/>
      </right>
      <top style="thick">
        <color indexed="64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ck">
        <color indexed="64"/>
      </bottom>
      <diagonal/>
    </border>
    <border>
      <left/>
      <right style="dotted">
        <color auto="1"/>
      </right>
      <top style="dotted">
        <color auto="1"/>
      </top>
      <bottom style="thick">
        <color indexed="64"/>
      </bottom>
      <diagonal/>
    </border>
    <border>
      <left/>
      <right style="medium">
        <color indexed="64"/>
      </right>
      <top style="dotted">
        <color auto="1"/>
      </top>
      <bottom style="thick">
        <color indexed="64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dotted">
        <color auto="1"/>
      </right>
      <top style="double">
        <color indexed="64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medium">
        <color indexed="64"/>
      </right>
      <top style="double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/>
      <bottom style="thick">
        <color rgb="FF000000"/>
      </bottom>
      <diagonal/>
    </border>
    <border>
      <left style="medium">
        <color indexed="64"/>
      </left>
      <right style="dotted">
        <color auto="1"/>
      </right>
      <top style="thick">
        <color rgb="FF000000"/>
      </top>
      <bottom style="dotted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auto="1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dotted">
        <color auto="1"/>
      </right>
      <top style="thick">
        <color indexed="64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thick">
        <color indexed="64"/>
      </bottom>
      <diagonal/>
    </border>
    <border>
      <left/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/>
      <right style="thin">
        <color indexed="64"/>
      </right>
      <top style="medium">
        <color rgb="FF000000"/>
      </top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dashed">
        <color rgb="FF000000"/>
      </left>
      <right style="thin">
        <color indexed="64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dashed">
        <color indexed="64"/>
      </top>
      <bottom style="dotted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dotted">
        <color auto="1"/>
      </bottom>
      <diagonal/>
    </border>
    <border>
      <left style="medium">
        <color indexed="64"/>
      </left>
      <right style="hair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tted">
        <color auto="1"/>
      </bottom>
      <diagonal/>
    </border>
    <border>
      <left style="hair">
        <color indexed="64"/>
      </left>
      <right style="medium">
        <color indexed="64"/>
      </right>
      <top style="medium">
        <color rgb="FF000000"/>
      </top>
      <bottom style="dotted">
        <color auto="1"/>
      </bottom>
      <diagonal/>
    </border>
    <border>
      <left style="medium">
        <color indexed="64"/>
      </left>
      <right style="hair">
        <color indexed="64"/>
      </right>
      <top style="dotted">
        <color auto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auto="1"/>
      </top>
      <bottom/>
      <diagonal/>
    </border>
    <border>
      <left style="medium">
        <color indexed="64"/>
      </left>
      <right style="hair">
        <color indexed="64"/>
      </right>
      <top style="dotted">
        <color auto="1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dotted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dotted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rgb="FF000000"/>
      </top>
      <bottom/>
      <diagonal/>
    </border>
    <border>
      <left/>
      <right style="thin">
        <color auto="1"/>
      </right>
      <top style="thin">
        <color auto="1"/>
      </top>
      <bottom style="thick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dotted">
        <color auto="1"/>
      </right>
      <top style="medium">
        <color rgb="FF000000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rgb="FF000000"/>
      </bottom>
      <diagonal/>
    </border>
    <border>
      <left/>
      <right style="medium">
        <color indexed="64"/>
      </right>
      <top style="dotted">
        <color auto="1"/>
      </top>
      <bottom style="medium">
        <color rgb="FF000000"/>
      </bottom>
      <diagonal/>
    </border>
    <border>
      <left/>
      <right style="medium">
        <color rgb="FF000000"/>
      </right>
      <top style="dotted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rgb="FF000000"/>
      </right>
      <top style="thick">
        <color indexed="64"/>
      </top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tted">
        <color auto="1"/>
      </top>
      <bottom style="hair">
        <color indexed="64"/>
      </bottom>
      <diagonal/>
    </border>
    <border>
      <left style="hair">
        <color indexed="64"/>
      </left>
      <right/>
      <top style="medium">
        <color rgb="FF000000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thick">
        <color rgb="FF000000"/>
      </top>
      <bottom style="dotted">
        <color auto="1"/>
      </bottom>
      <diagonal/>
    </border>
    <border>
      <left style="dotted">
        <color auto="1"/>
      </left>
      <right/>
      <top style="double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uble">
        <color indexed="64"/>
      </bottom>
      <diagonal/>
    </border>
    <border>
      <left/>
      <right/>
      <top style="dotted">
        <color auto="1"/>
      </top>
      <bottom style="thick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/>
      <diagonal/>
    </border>
    <border>
      <left style="thin">
        <color auto="1"/>
      </left>
      <right style="medium">
        <color indexed="64"/>
      </right>
      <top/>
      <bottom style="dotted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dotted">
        <color auto="1"/>
      </top>
      <bottom style="thick">
        <color rgb="FF000000"/>
      </bottom>
      <diagonal/>
    </border>
    <border>
      <left style="thin">
        <color auto="1"/>
      </left>
      <right style="medium">
        <color indexed="64"/>
      </right>
      <top style="thick">
        <color rgb="FF000000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ck">
        <color rgb="FF000000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indexed="64"/>
      </top>
      <bottom style="dotted">
        <color indexed="64"/>
      </bottom>
      <diagonal/>
    </border>
    <border>
      <left style="medium">
        <color auto="1"/>
      </left>
      <right style="thin">
        <color auto="1"/>
      </right>
      <top style="dotted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thick">
        <color rgb="FF000000"/>
      </top>
      <bottom style="dotted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 style="medium">
        <color indexed="64"/>
      </right>
      <top style="medium">
        <color auto="1"/>
      </top>
      <bottom/>
      <diagonal/>
    </border>
    <border>
      <left style="dotted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dotted">
        <color indexed="64"/>
      </left>
      <right style="medium">
        <color indexed="64"/>
      </right>
      <top/>
      <bottom style="dotted">
        <color auto="1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dotted">
        <color auto="1"/>
      </top>
      <bottom style="medium">
        <color indexed="64"/>
      </bottom>
      <diagonal/>
    </border>
    <border>
      <left/>
      <right/>
      <top style="thick">
        <color indexed="64"/>
      </top>
      <bottom style="dotted">
        <color auto="1"/>
      </bottom>
      <diagonal/>
    </border>
    <border>
      <left/>
      <right/>
      <top style="dotted">
        <color auto="1"/>
      </top>
      <bottom style="thick">
        <color indexed="64"/>
      </bottom>
      <diagonal/>
    </border>
    <border>
      <left/>
      <right/>
      <top style="medium">
        <color rgb="FF000000"/>
      </top>
      <bottom style="dotted">
        <color auto="1"/>
      </bottom>
      <diagonal/>
    </border>
    <border>
      <left/>
      <right/>
      <top style="dotted">
        <color auto="1"/>
      </top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auto="1"/>
      </top>
      <bottom/>
      <diagonal/>
    </border>
    <border>
      <left style="dotted">
        <color indexed="64"/>
      </left>
      <right style="medium">
        <color indexed="64"/>
      </right>
      <top style="thick">
        <color indexed="64"/>
      </top>
      <bottom style="dotted">
        <color auto="1"/>
      </bottom>
      <diagonal/>
    </border>
    <border>
      <left style="dotted">
        <color indexed="64"/>
      </left>
      <right style="medium">
        <color indexed="64"/>
      </right>
      <top style="medium">
        <color rgb="FF000000"/>
      </top>
      <bottom style="dotted">
        <color auto="1"/>
      </bottom>
      <diagonal/>
    </border>
    <border>
      <left style="dotted">
        <color indexed="64"/>
      </left>
      <right style="medium">
        <color indexed="64"/>
      </right>
      <top style="dotted">
        <color auto="1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dotted">
        <color indexed="64"/>
      </bottom>
      <diagonal/>
    </border>
    <border>
      <left style="medium">
        <color indexed="64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rgb="FF000000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/>
      <top style="double">
        <color indexed="64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/>
      <top style="thick">
        <color rgb="FF000000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medium">
        <color rgb="FF000000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/>
      <diagonal/>
    </border>
    <border>
      <left style="medium">
        <color indexed="64"/>
      </left>
      <right style="dotted">
        <color auto="1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1092">
    <xf numFmtId="0" fontId="0" fillId="0" borderId="0"/>
    <xf numFmtId="0" fontId="12" fillId="2" borderId="0" applyNumberFormat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9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9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497">
    <xf numFmtId="0" fontId="0" fillId="0" borderId="0" xfId="0"/>
    <xf numFmtId="0" fontId="8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horizontal="center" wrapText="1"/>
    </xf>
    <xf numFmtId="0" fontId="8" fillId="0" borderId="0" xfId="3" applyFont="1"/>
    <xf numFmtId="0" fontId="11" fillId="3" borderId="0" xfId="3" applyFont="1" applyFill="1" applyAlignment="1">
      <alignment horizontal="center" vertical="center" textRotation="255"/>
    </xf>
    <xf numFmtId="0" fontId="11" fillId="0" borderId="0" xfId="3" applyFont="1" applyAlignment="1">
      <alignment vertical="center"/>
    </xf>
    <xf numFmtId="0" fontId="8" fillId="0" borderId="1" xfId="3" applyFont="1" applyBorder="1" applyAlignment="1">
      <alignment horizontal="left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" fillId="0" borderId="32" xfId="3" applyFont="1" applyBorder="1" applyAlignment="1">
      <alignment horizontal="center" vertical="center" wrapText="1"/>
    </xf>
    <xf numFmtId="0" fontId="8" fillId="0" borderId="36" xfId="3" applyFont="1" applyBorder="1" applyAlignment="1">
      <alignment horizontal="center" vertical="center" wrapText="1"/>
    </xf>
    <xf numFmtId="0" fontId="8" fillId="0" borderId="32" xfId="3" applyFont="1" applyBorder="1" applyAlignment="1">
      <alignment horizontal="left" vertical="center" wrapText="1"/>
    </xf>
    <xf numFmtId="0" fontId="8" fillId="0" borderId="36" xfId="3" applyFont="1" applyBorder="1" applyAlignment="1">
      <alignment horizontal="left" vertical="center" wrapText="1"/>
    </xf>
    <xf numFmtId="0" fontId="8" fillId="0" borderId="47" xfId="3" applyFont="1" applyBorder="1" applyAlignment="1">
      <alignment horizontal="center" vertical="center" wrapText="1"/>
    </xf>
    <xf numFmtId="0" fontId="8" fillId="8" borderId="32" xfId="3" applyFont="1" applyFill="1" applyBorder="1" applyAlignment="1">
      <alignment horizontal="left" vertical="center" wrapText="1"/>
    </xf>
    <xf numFmtId="0" fontId="8" fillId="8" borderId="32" xfId="3" applyFont="1" applyFill="1" applyBorder="1" applyAlignment="1">
      <alignment horizontal="center" vertical="center" wrapText="1"/>
    </xf>
    <xf numFmtId="0" fontId="8" fillId="8" borderId="1" xfId="3" applyFont="1" applyFill="1" applyBorder="1" applyAlignment="1">
      <alignment horizontal="left" vertical="center" wrapText="1"/>
    </xf>
    <xf numFmtId="0" fontId="8" fillId="8" borderId="1" xfId="3" applyFont="1" applyFill="1" applyBorder="1" applyAlignment="1">
      <alignment horizontal="center" vertical="center" wrapText="1"/>
    </xf>
    <xf numFmtId="0" fontId="8" fillId="8" borderId="36" xfId="3" applyFont="1" applyFill="1" applyBorder="1" applyAlignment="1">
      <alignment horizontal="left" vertical="center" wrapText="1"/>
    </xf>
    <xf numFmtId="0" fontId="8" fillId="8" borderId="36" xfId="3" applyFont="1" applyFill="1" applyBorder="1" applyAlignment="1">
      <alignment horizontal="center" vertical="center" wrapText="1"/>
    </xf>
    <xf numFmtId="0" fontId="8" fillId="0" borderId="28" xfId="3" applyFont="1" applyBorder="1" applyAlignment="1">
      <alignment horizontal="center" vertical="center" wrapText="1"/>
    </xf>
    <xf numFmtId="0" fontId="8" fillId="0" borderId="64" xfId="3" applyFont="1" applyBorder="1" applyAlignment="1">
      <alignment horizontal="center" vertical="center" wrapText="1"/>
    </xf>
    <xf numFmtId="0" fontId="8" fillId="0" borderId="31" xfId="3" applyFont="1" applyBorder="1" applyAlignment="1">
      <alignment horizontal="center" vertical="center" wrapText="1"/>
    </xf>
    <xf numFmtId="0" fontId="8" fillId="0" borderId="65" xfId="3" applyFont="1" applyBorder="1" applyAlignment="1">
      <alignment horizontal="center" vertical="center" wrapText="1"/>
    </xf>
    <xf numFmtId="0" fontId="8" fillId="0" borderId="63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26" xfId="3" applyFont="1" applyBorder="1" applyAlignment="1">
      <alignment horizontal="center" vertical="center" wrapText="1"/>
    </xf>
    <xf numFmtId="0" fontId="8" fillId="8" borderId="31" xfId="3" applyFont="1" applyFill="1" applyBorder="1" applyAlignment="1">
      <alignment horizontal="center" vertical="center" wrapText="1"/>
    </xf>
    <xf numFmtId="0" fontId="8" fillId="0" borderId="2" xfId="3" applyFont="1" applyBorder="1" applyAlignment="1">
      <alignment horizontal="left" vertical="center" wrapText="1"/>
    </xf>
    <xf numFmtId="0" fontId="7" fillId="5" borderId="0" xfId="3" applyFont="1" applyFill="1" applyAlignment="1">
      <alignment horizontal="center" vertical="center"/>
    </xf>
    <xf numFmtId="0" fontId="17" fillId="4" borderId="0" xfId="3" applyFont="1" applyFill="1" applyAlignment="1">
      <alignment horizontal="center" vertical="center"/>
    </xf>
    <xf numFmtId="20" fontId="18" fillId="7" borderId="36" xfId="0" applyNumberFormat="1" applyFont="1" applyFill="1" applyBorder="1" applyAlignment="1">
      <alignment horizontal="center"/>
    </xf>
    <xf numFmtId="20" fontId="18" fillId="7" borderId="80" xfId="0" applyNumberFormat="1" applyFont="1" applyFill="1" applyBorder="1" applyAlignment="1">
      <alignment horizontal="center"/>
    </xf>
    <xf numFmtId="0" fontId="9" fillId="0" borderId="0" xfId="3" applyAlignment="1">
      <alignment horizontal="center" vertical="center" textRotation="255" wrapText="1"/>
    </xf>
    <xf numFmtId="0" fontId="8" fillId="0" borderId="0" xfId="3" applyFont="1" applyAlignment="1">
      <alignment horizontal="center" vertical="center" wrapText="1"/>
    </xf>
    <xf numFmtId="0" fontId="8" fillId="0" borderId="48" xfId="3" applyFont="1" applyBorder="1" applyAlignment="1">
      <alignment horizontal="center" vertical="center" wrapText="1"/>
    </xf>
    <xf numFmtId="0" fontId="8" fillId="0" borderId="47" xfId="3" applyFont="1" applyBorder="1" applyAlignment="1">
      <alignment horizontal="left" vertical="center" wrapText="1"/>
    </xf>
    <xf numFmtId="0" fontId="7" fillId="0" borderId="0" xfId="3" applyFont="1" applyAlignment="1">
      <alignment horizontal="center" vertical="center"/>
    </xf>
    <xf numFmtId="0" fontId="8" fillId="8" borderId="48" xfId="3" applyFont="1" applyFill="1" applyBorder="1" applyAlignment="1">
      <alignment horizontal="center" vertical="center" wrapText="1"/>
    </xf>
    <xf numFmtId="0" fontId="8" fillId="0" borderId="49" xfId="3" applyFont="1" applyBorder="1" applyAlignment="1">
      <alignment horizontal="center" vertical="center" wrapText="1"/>
    </xf>
    <xf numFmtId="0" fontId="8" fillId="8" borderId="49" xfId="3" applyFont="1" applyFill="1" applyBorder="1" applyAlignment="1">
      <alignment horizontal="center" vertical="center" wrapText="1"/>
    </xf>
    <xf numFmtId="0" fontId="8" fillId="0" borderId="50" xfId="3" applyFont="1" applyBorder="1" applyAlignment="1">
      <alignment horizontal="center" vertical="center" wrapText="1"/>
    </xf>
    <xf numFmtId="0" fontId="8" fillId="0" borderId="55" xfId="3" applyFont="1" applyBorder="1" applyAlignment="1">
      <alignment horizontal="center" vertical="center" wrapText="1"/>
    </xf>
    <xf numFmtId="20" fontId="18" fillId="7" borderId="31" xfId="0" applyNumberFormat="1" applyFont="1" applyFill="1" applyBorder="1" applyAlignment="1">
      <alignment horizontal="center" vertical="center"/>
    </xf>
    <xf numFmtId="0" fontId="8" fillId="8" borderId="24" xfId="3" applyFont="1" applyFill="1" applyBorder="1" applyAlignment="1">
      <alignment horizontal="left" vertical="center" wrapText="1"/>
    </xf>
    <xf numFmtId="0" fontId="8" fillId="0" borderId="66" xfId="3" applyFont="1" applyBorder="1" applyAlignment="1">
      <alignment horizontal="center" vertical="center" wrapText="1"/>
    </xf>
    <xf numFmtId="0" fontId="9" fillId="0" borderId="0" xfId="3" applyAlignment="1">
      <alignment horizontal="center" vertical="center" textRotation="255"/>
    </xf>
    <xf numFmtId="16" fontId="8" fillId="0" borderId="0" xfId="3" applyNumberFormat="1" applyFont="1" applyAlignment="1">
      <alignment horizontal="center" vertical="center" wrapText="1"/>
    </xf>
    <xf numFmtId="0" fontId="8" fillId="8" borderId="24" xfId="3" applyFont="1" applyFill="1" applyBorder="1" applyAlignment="1">
      <alignment horizontal="center" vertical="center" wrapText="1"/>
    </xf>
    <xf numFmtId="0" fontId="8" fillId="5" borderId="32" xfId="3" applyFont="1" applyFill="1" applyBorder="1" applyAlignment="1">
      <alignment horizontal="left" vertical="center" wrapText="1"/>
    </xf>
    <xf numFmtId="0" fontId="8" fillId="5" borderId="32" xfId="3" applyFont="1" applyFill="1" applyBorder="1" applyAlignment="1">
      <alignment horizontal="center" vertical="center" wrapText="1"/>
    </xf>
    <xf numFmtId="0" fontId="8" fillId="5" borderId="36" xfId="3" applyFont="1" applyFill="1" applyBorder="1" applyAlignment="1">
      <alignment horizontal="left" vertical="center" wrapText="1"/>
    </xf>
    <xf numFmtId="0" fontId="8" fillId="5" borderId="36" xfId="3" applyFont="1" applyFill="1" applyBorder="1" applyAlignment="1">
      <alignment horizontal="center" vertical="center" wrapText="1"/>
    </xf>
    <xf numFmtId="20" fontId="22" fillId="7" borderId="1" xfId="0" applyNumberFormat="1" applyFont="1" applyFill="1" applyBorder="1" applyAlignment="1">
      <alignment horizontal="center" vertical="center"/>
    </xf>
    <xf numFmtId="0" fontId="9" fillId="0" borderId="1" xfId="3" applyBorder="1" applyAlignment="1">
      <alignment horizontal="center" vertical="center" wrapText="1"/>
    </xf>
    <xf numFmtId="0" fontId="9" fillId="0" borderId="2" xfId="3" applyBorder="1" applyAlignment="1">
      <alignment horizontal="center" vertical="center" wrapText="1"/>
    </xf>
    <xf numFmtId="0" fontId="15" fillId="0" borderId="0" xfId="3" applyFont="1"/>
    <xf numFmtId="9" fontId="15" fillId="0" borderId="0" xfId="4" applyFont="1" applyBorder="1" applyAlignment="1">
      <alignment horizontal="center" vertical="center" wrapText="1"/>
    </xf>
    <xf numFmtId="0" fontId="15" fillId="0" borderId="0" xfId="3" applyFont="1" applyAlignment="1">
      <alignment vertical="center"/>
    </xf>
    <xf numFmtId="0" fontId="9" fillId="8" borderId="2" xfId="3" applyFill="1" applyBorder="1" applyAlignment="1">
      <alignment horizontal="center" vertical="center" wrapText="1"/>
    </xf>
    <xf numFmtId="0" fontId="9" fillId="0" borderId="31" xfId="3" applyBorder="1" applyAlignment="1">
      <alignment horizontal="center" vertical="center" wrapText="1"/>
    </xf>
    <xf numFmtId="0" fontId="8" fillId="0" borderId="67" xfId="3" applyFont="1" applyBorder="1" applyAlignment="1">
      <alignment horizontal="center" vertical="center" wrapText="1"/>
    </xf>
    <xf numFmtId="0" fontId="8" fillId="0" borderId="71" xfId="3" applyFont="1" applyBorder="1" applyAlignment="1">
      <alignment horizontal="center" vertical="center" wrapText="1"/>
    </xf>
    <xf numFmtId="0" fontId="8" fillId="0" borderId="93" xfId="3" applyFont="1" applyBorder="1" applyAlignment="1">
      <alignment horizontal="center" vertical="center" wrapText="1"/>
    </xf>
    <xf numFmtId="0" fontId="8" fillId="0" borderId="79" xfId="3" applyFont="1" applyBorder="1" applyAlignment="1">
      <alignment horizontal="center" vertical="center" wrapText="1"/>
    </xf>
    <xf numFmtId="0" fontId="8" fillId="0" borderId="29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0" fontId="8" fillId="0" borderId="30" xfId="3" applyFont="1" applyBorder="1" applyAlignment="1">
      <alignment horizontal="center" vertical="center" wrapText="1"/>
    </xf>
    <xf numFmtId="0" fontId="7" fillId="7" borderId="116" xfId="3" applyFont="1" applyFill="1" applyBorder="1" applyAlignment="1">
      <alignment horizontal="center" vertical="center"/>
    </xf>
    <xf numFmtId="0" fontId="7" fillId="7" borderId="114" xfId="3" applyFont="1" applyFill="1" applyBorder="1" applyAlignment="1">
      <alignment horizontal="center" vertical="center"/>
    </xf>
    <xf numFmtId="0" fontId="7" fillId="7" borderId="117" xfId="3" applyFont="1" applyFill="1" applyBorder="1" applyAlignment="1">
      <alignment horizontal="center" vertical="center" wrapText="1"/>
    </xf>
    <xf numFmtId="0" fontId="7" fillId="7" borderId="127" xfId="3" applyFont="1" applyFill="1" applyBorder="1" applyAlignment="1">
      <alignment vertical="center" wrapText="1"/>
    </xf>
    <xf numFmtId="0" fontId="7" fillId="7" borderId="98" xfId="3" applyFont="1" applyFill="1" applyBorder="1" applyAlignment="1">
      <alignment vertical="center"/>
    </xf>
    <xf numFmtId="0" fontId="7" fillId="7" borderId="123" xfId="3" applyFont="1" applyFill="1" applyBorder="1" applyAlignment="1">
      <alignment vertical="center"/>
    </xf>
    <xf numFmtId="0" fontId="7" fillId="7" borderId="14" xfId="3" applyFont="1" applyFill="1" applyBorder="1" applyAlignment="1">
      <alignment vertical="center"/>
    </xf>
    <xf numFmtId="0" fontId="7" fillId="7" borderId="12" xfId="3" applyFont="1" applyFill="1" applyBorder="1" applyAlignment="1">
      <alignment vertical="center"/>
    </xf>
    <xf numFmtId="0" fontId="8" fillId="0" borderId="69" xfId="3" applyFont="1" applyBorder="1" applyAlignment="1">
      <alignment horizontal="center" vertical="center" wrapText="1"/>
    </xf>
    <xf numFmtId="0" fontId="8" fillId="0" borderId="75" xfId="3" applyFont="1" applyBorder="1" applyAlignment="1">
      <alignment horizontal="center" vertical="center" wrapText="1"/>
    </xf>
    <xf numFmtId="0" fontId="11" fillId="3" borderId="0" xfId="3" applyFont="1" applyFill="1" applyAlignment="1">
      <alignment horizontal="center" vertical="center" textRotation="255" wrapText="1"/>
    </xf>
    <xf numFmtId="0" fontId="11" fillId="0" borderId="0" xfId="3" applyFont="1" applyAlignment="1">
      <alignment vertical="center" wrapText="1"/>
    </xf>
    <xf numFmtId="20" fontId="18" fillId="7" borderId="29" xfId="0" applyNumberFormat="1" applyFont="1" applyFill="1" applyBorder="1" applyAlignment="1">
      <alignment horizontal="center" vertical="center"/>
    </xf>
    <xf numFmtId="0" fontId="9" fillId="8" borderId="1" xfId="3" applyFill="1" applyBorder="1" applyAlignment="1">
      <alignment horizontal="center" vertical="center" wrapText="1"/>
    </xf>
    <xf numFmtId="0" fontId="9" fillId="0" borderId="40" xfId="3" applyBorder="1" applyAlignment="1">
      <alignment horizontal="left" vertical="center" wrapText="1"/>
    </xf>
    <xf numFmtId="0" fontId="9" fillId="0" borderId="32" xfId="3" applyBorder="1" applyAlignment="1">
      <alignment horizontal="center" vertical="center" wrapText="1"/>
    </xf>
    <xf numFmtId="0" fontId="9" fillId="0" borderId="48" xfId="3" applyBorder="1" applyAlignment="1">
      <alignment horizontal="center" vertical="center" wrapText="1"/>
    </xf>
    <xf numFmtId="0" fontId="9" fillId="8" borderId="41" xfId="3" applyFill="1" applyBorder="1" applyAlignment="1">
      <alignment horizontal="left" vertical="center" wrapText="1"/>
    </xf>
    <xf numFmtId="0" fontId="9" fillId="8" borderId="49" xfId="3" applyFill="1" applyBorder="1" applyAlignment="1">
      <alignment horizontal="center" vertical="center" wrapText="1"/>
    </xf>
    <xf numFmtId="0" fontId="9" fillId="0" borderId="42" xfId="3" applyBorder="1" applyAlignment="1">
      <alignment horizontal="left" vertical="center" wrapText="1"/>
    </xf>
    <xf numFmtId="0" fontId="9" fillId="0" borderId="36" xfId="3" applyBorder="1" applyAlignment="1">
      <alignment horizontal="center" vertical="center" wrapText="1"/>
    </xf>
    <xf numFmtId="0" fontId="9" fillId="0" borderId="69" xfId="3" applyBorder="1" applyAlignment="1">
      <alignment horizontal="center" vertical="center" wrapText="1"/>
    </xf>
    <xf numFmtId="0" fontId="9" fillId="8" borderId="36" xfId="3" applyFill="1" applyBorder="1" applyAlignment="1">
      <alignment horizontal="center" vertical="center" wrapText="1"/>
    </xf>
    <xf numFmtId="0" fontId="9" fillId="8" borderId="69" xfId="3" applyFill="1" applyBorder="1" applyAlignment="1">
      <alignment horizontal="center" vertical="center" wrapText="1"/>
    </xf>
    <xf numFmtId="0" fontId="9" fillId="8" borderId="40" xfId="3" applyFill="1" applyBorder="1" applyAlignment="1">
      <alignment horizontal="left" vertical="center" wrapText="1"/>
    </xf>
    <xf numFmtId="0" fontId="9" fillId="8" borderId="32" xfId="3" applyFill="1" applyBorder="1" applyAlignment="1">
      <alignment horizontal="center" vertical="center" wrapText="1"/>
    </xf>
    <xf numFmtId="0" fontId="9" fillId="8" borderId="48" xfId="3" applyFill="1" applyBorder="1" applyAlignment="1">
      <alignment horizontal="center" vertical="center" wrapText="1"/>
    </xf>
    <xf numFmtId="0" fontId="9" fillId="0" borderId="41" xfId="3" applyBorder="1" applyAlignment="1">
      <alignment horizontal="left" vertical="center" wrapText="1"/>
    </xf>
    <xf numFmtId="0" fontId="9" fillId="0" borderId="49" xfId="3" applyBorder="1" applyAlignment="1">
      <alignment horizontal="center" vertical="center" wrapText="1"/>
    </xf>
    <xf numFmtId="0" fontId="9" fillId="0" borderId="137" xfId="3" applyBorder="1" applyAlignment="1">
      <alignment horizontal="left" vertical="center" wrapText="1"/>
    </xf>
    <xf numFmtId="0" fontId="9" fillId="0" borderId="75" xfId="3" applyBorder="1" applyAlignment="1">
      <alignment horizontal="center" vertical="center" wrapText="1"/>
    </xf>
    <xf numFmtId="0" fontId="9" fillId="0" borderId="52" xfId="3" applyBorder="1" applyAlignment="1">
      <alignment horizontal="left" vertical="center" wrapText="1"/>
    </xf>
    <xf numFmtId="0" fontId="9" fillId="0" borderId="50" xfId="3" applyBorder="1" applyAlignment="1">
      <alignment horizontal="center" vertical="center" wrapText="1"/>
    </xf>
    <xf numFmtId="0" fontId="9" fillId="8" borderId="137" xfId="3" applyFill="1" applyBorder="1" applyAlignment="1">
      <alignment horizontal="left" vertical="center" wrapText="1"/>
    </xf>
    <xf numFmtId="0" fontId="9" fillId="8" borderId="75" xfId="3" applyFill="1" applyBorder="1" applyAlignment="1">
      <alignment horizontal="center" vertical="center" wrapText="1"/>
    </xf>
    <xf numFmtId="0" fontId="9" fillId="0" borderId="123" xfId="3" applyBorder="1" applyAlignment="1">
      <alignment horizontal="left" vertical="center" wrapText="1"/>
    </xf>
    <xf numFmtId="0" fontId="9" fillId="0" borderId="98" xfId="3" applyBorder="1" applyAlignment="1">
      <alignment horizontal="center" vertical="center" wrapText="1"/>
    </xf>
    <xf numFmtId="0" fontId="9" fillId="0" borderId="127" xfId="3" applyBorder="1" applyAlignment="1">
      <alignment horizontal="center" vertical="center" wrapText="1"/>
    </xf>
    <xf numFmtId="0" fontId="9" fillId="0" borderId="24" xfId="3" applyBorder="1" applyAlignment="1">
      <alignment horizontal="center" vertical="center" wrapText="1"/>
    </xf>
    <xf numFmtId="0" fontId="9" fillId="0" borderId="138" xfId="3" applyBorder="1" applyAlignment="1">
      <alignment horizontal="center" vertical="center" wrapText="1"/>
    </xf>
    <xf numFmtId="20" fontId="22" fillId="7" borderId="28" xfId="0" applyNumberFormat="1" applyFont="1" applyFill="1" applyBorder="1" applyAlignment="1">
      <alignment horizontal="center" vertical="center"/>
    </xf>
    <xf numFmtId="0" fontId="9" fillId="8" borderId="31" xfId="3" applyFill="1" applyBorder="1" applyAlignment="1">
      <alignment horizontal="center" vertical="center" wrapText="1"/>
    </xf>
    <xf numFmtId="0" fontId="9" fillId="8" borderId="50" xfId="3" applyFill="1" applyBorder="1" applyAlignment="1">
      <alignment horizontal="center" vertical="center" wrapText="1"/>
    </xf>
    <xf numFmtId="0" fontId="9" fillId="0" borderId="10" xfId="3" applyBorder="1" applyAlignment="1">
      <alignment horizontal="left" vertical="center" wrapText="1"/>
    </xf>
    <xf numFmtId="0" fontId="9" fillId="8" borderId="71" xfId="3" applyFill="1" applyBorder="1" applyAlignment="1">
      <alignment horizontal="left" vertical="center" wrapText="1"/>
    </xf>
    <xf numFmtId="0" fontId="9" fillId="0" borderId="71" xfId="3" applyBorder="1" applyAlignment="1">
      <alignment horizontal="left" vertical="center" wrapText="1"/>
    </xf>
    <xf numFmtId="0" fontId="9" fillId="8" borderId="8" xfId="3" applyFill="1" applyBorder="1" applyAlignment="1">
      <alignment horizontal="left" vertical="center" wrapText="1"/>
    </xf>
    <xf numFmtId="0" fontId="8" fillId="0" borderId="23" xfId="3" applyFont="1" applyBorder="1" applyAlignment="1">
      <alignment horizontal="center" vertical="center" wrapText="1"/>
    </xf>
    <xf numFmtId="0" fontId="15" fillId="0" borderId="0" xfId="3" applyFont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/>
    <xf numFmtId="0" fontId="11" fillId="0" borderId="0" xfId="3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6" fillId="0" borderId="110" xfId="3" applyFont="1" applyBorder="1" applyAlignment="1">
      <alignment horizontal="center" vertical="center"/>
    </xf>
    <xf numFmtId="0" fontId="8" fillId="8" borderId="26" xfId="3" applyFont="1" applyFill="1" applyBorder="1" applyAlignment="1">
      <alignment horizontal="center" vertical="center" wrapText="1"/>
    </xf>
    <xf numFmtId="0" fontId="8" fillId="8" borderId="63" xfId="3" applyFont="1" applyFill="1" applyBorder="1" applyAlignment="1">
      <alignment horizontal="center" vertical="center" wrapText="1"/>
    </xf>
    <xf numFmtId="0" fontId="8" fillId="8" borderId="28" xfId="3" applyFont="1" applyFill="1" applyBorder="1" applyAlignment="1">
      <alignment horizontal="center" vertical="center" wrapText="1"/>
    </xf>
    <xf numFmtId="0" fontId="8" fillId="8" borderId="64" xfId="3" applyFont="1" applyFill="1" applyBorder="1" applyAlignment="1">
      <alignment horizontal="center" vertical="center" wrapText="1"/>
    </xf>
    <xf numFmtId="0" fontId="8" fillId="8" borderId="65" xfId="3" applyFont="1" applyFill="1" applyBorder="1" applyAlignment="1">
      <alignment horizontal="center" vertical="center" wrapText="1"/>
    </xf>
    <xf numFmtId="0" fontId="8" fillId="0" borderId="24" xfId="3" applyFont="1" applyBorder="1" applyAlignment="1">
      <alignment horizontal="center" vertical="center" wrapText="1"/>
    </xf>
    <xf numFmtId="0" fontId="8" fillId="0" borderId="138" xfId="3" applyFont="1" applyBorder="1" applyAlignment="1">
      <alignment horizontal="center" vertical="center" wrapText="1"/>
    </xf>
    <xf numFmtId="0" fontId="11" fillId="0" borderId="40" xfId="3" applyFont="1" applyBorder="1" applyAlignment="1">
      <alignment horizontal="left" vertical="center" wrapText="1"/>
    </xf>
    <xf numFmtId="0" fontId="11" fillId="0" borderId="32" xfId="3" applyFont="1" applyBorder="1" applyAlignment="1">
      <alignment horizontal="center" vertical="center" wrapText="1"/>
    </xf>
    <xf numFmtId="0" fontId="11" fillId="8" borderId="32" xfId="3" applyFont="1" applyFill="1" applyBorder="1" applyAlignment="1">
      <alignment horizontal="center" vertical="center" wrapText="1"/>
    </xf>
    <xf numFmtId="0" fontId="11" fillId="8" borderId="48" xfId="3" applyFont="1" applyFill="1" applyBorder="1" applyAlignment="1">
      <alignment horizontal="center" vertical="center" wrapText="1"/>
    </xf>
    <xf numFmtId="0" fontId="11" fillId="8" borderId="41" xfId="3" applyFont="1" applyFill="1" applyBorder="1" applyAlignment="1">
      <alignment horizontal="left" vertical="center" wrapText="1"/>
    </xf>
    <xf numFmtId="0" fontId="11" fillId="8" borderId="1" xfId="3" applyFont="1" applyFill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  <xf numFmtId="0" fontId="11" fillId="0" borderId="49" xfId="3" applyFont="1" applyBorder="1" applyAlignment="1">
      <alignment horizontal="center" vertical="center" wrapText="1"/>
    </xf>
    <xf numFmtId="0" fontId="11" fillId="0" borderId="8" xfId="3" applyFont="1" applyBorder="1" applyAlignment="1">
      <alignment horizontal="left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50" xfId="3" applyFont="1" applyBorder="1" applyAlignment="1">
      <alignment horizontal="center" vertical="center" wrapText="1"/>
    </xf>
    <xf numFmtId="0" fontId="11" fillId="0" borderId="1" xfId="3" applyFont="1" applyBorder="1" applyAlignment="1">
      <alignment horizontal="left" vertical="center" wrapText="1"/>
    </xf>
    <xf numFmtId="0" fontId="11" fillId="8" borderId="1" xfId="3" applyFont="1" applyFill="1" applyBorder="1" applyAlignment="1">
      <alignment horizontal="left" vertical="center" wrapText="1"/>
    </xf>
    <xf numFmtId="0" fontId="11" fillId="8" borderId="1" xfId="3" quotePrefix="1" applyFont="1" applyFill="1" applyBorder="1" applyAlignment="1">
      <alignment horizontal="center" vertical="center"/>
    </xf>
    <xf numFmtId="0" fontId="11" fillId="8" borderId="40" xfId="3" applyFont="1" applyFill="1" applyBorder="1" applyAlignment="1">
      <alignment horizontal="left" vertical="center" wrapText="1"/>
    </xf>
    <xf numFmtId="0" fontId="11" fillId="0" borderId="41" xfId="3" applyFont="1" applyBorder="1" applyAlignment="1">
      <alignment horizontal="left" vertical="center" wrapText="1"/>
    </xf>
    <xf numFmtId="0" fontId="11" fillId="8" borderId="42" xfId="3" applyFont="1" applyFill="1" applyBorder="1" applyAlignment="1">
      <alignment horizontal="left" vertical="center" wrapText="1"/>
    </xf>
    <xf numFmtId="0" fontId="11" fillId="8" borderId="36" xfId="3" applyFont="1" applyFill="1" applyBorder="1" applyAlignment="1">
      <alignment horizontal="center" vertical="center" wrapText="1"/>
    </xf>
    <xf numFmtId="0" fontId="11" fillId="8" borderId="69" xfId="3" applyFont="1" applyFill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8" borderId="2" xfId="3" applyFont="1" applyFill="1" applyBorder="1" applyAlignment="1">
      <alignment horizontal="center" vertical="center" wrapText="1"/>
    </xf>
    <xf numFmtId="0" fontId="11" fillId="8" borderId="75" xfId="3" applyFont="1" applyFill="1" applyBorder="1" applyAlignment="1">
      <alignment horizontal="center" vertical="center" wrapText="1"/>
    </xf>
    <xf numFmtId="0" fontId="11" fillId="8" borderId="49" xfId="3" applyFont="1" applyFill="1" applyBorder="1" applyAlignment="1">
      <alignment horizontal="center" vertical="center" wrapText="1"/>
    </xf>
    <xf numFmtId="0" fontId="11" fillId="8" borderId="31" xfId="3" applyFont="1" applyFill="1" applyBorder="1" applyAlignment="1">
      <alignment horizontal="center" vertical="center" wrapText="1"/>
    </xf>
    <xf numFmtId="0" fontId="11" fillId="8" borderId="52" xfId="3" applyFont="1" applyFill="1" applyBorder="1" applyAlignment="1">
      <alignment horizontal="left" vertical="center" wrapText="1"/>
    </xf>
    <xf numFmtId="0" fontId="11" fillId="8" borderId="50" xfId="3" applyFont="1" applyFill="1" applyBorder="1" applyAlignment="1">
      <alignment horizontal="center" vertical="center" wrapText="1"/>
    </xf>
    <xf numFmtId="0" fontId="11" fillId="0" borderId="48" xfId="3" applyFont="1" applyBorder="1" applyAlignment="1">
      <alignment horizontal="center" vertical="center" wrapText="1"/>
    </xf>
    <xf numFmtId="0" fontId="11" fillId="0" borderId="42" xfId="3" applyFont="1" applyBorder="1" applyAlignment="1">
      <alignment horizontal="left" vertical="center" wrapText="1"/>
    </xf>
    <xf numFmtId="0" fontId="11" fillId="0" borderId="36" xfId="3" applyFont="1" applyBorder="1" applyAlignment="1">
      <alignment horizontal="center" vertical="center" wrapText="1"/>
    </xf>
    <xf numFmtId="0" fontId="11" fillId="0" borderId="69" xfId="3" applyFont="1" applyBorder="1" applyAlignment="1">
      <alignment horizontal="center" vertical="center" wrapText="1"/>
    </xf>
    <xf numFmtId="0" fontId="11" fillId="8" borderId="67" xfId="3" applyFont="1" applyFill="1" applyBorder="1" applyAlignment="1">
      <alignment horizontal="left" vertical="center" wrapText="1"/>
    </xf>
    <xf numFmtId="0" fontId="11" fillId="0" borderId="71" xfId="3" applyFont="1" applyBorder="1" applyAlignment="1">
      <alignment horizontal="left" vertical="center" wrapText="1"/>
    </xf>
    <xf numFmtId="0" fontId="11" fillId="8" borderId="71" xfId="3" applyFont="1" applyFill="1" applyBorder="1" applyAlignment="1">
      <alignment horizontal="left" vertical="center" wrapText="1"/>
    </xf>
    <xf numFmtId="0" fontId="11" fillId="0" borderId="10" xfId="3" applyFont="1" applyBorder="1" applyAlignment="1">
      <alignment horizontal="left" vertical="center" wrapText="1"/>
    </xf>
    <xf numFmtId="0" fontId="11" fillId="0" borderId="109" xfId="3" applyFont="1" applyBorder="1" applyAlignment="1">
      <alignment horizontal="center" vertical="center" wrapText="1"/>
    </xf>
    <xf numFmtId="0" fontId="11" fillId="0" borderId="24" xfId="3" applyFont="1" applyBorder="1" applyAlignment="1">
      <alignment horizontal="center" vertical="center" wrapText="1"/>
    </xf>
    <xf numFmtId="0" fontId="11" fillId="0" borderId="138" xfId="3" applyFont="1" applyBorder="1" applyAlignment="1">
      <alignment horizontal="center" vertical="center" wrapText="1"/>
    </xf>
    <xf numFmtId="0" fontId="11" fillId="0" borderId="110" xfId="3" applyFont="1" applyBorder="1" applyAlignment="1">
      <alignment horizontal="left" vertical="center" wrapText="1"/>
    </xf>
    <xf numFmtId="0" fontId="11" fillId="8" borderId="143" xfId="3" applyFont="1" applyFill="1" applyBorder="1" applyAlignment="1">
      <alignment horizontal="center" vertical="center" wrapText="1"/>
    </xf>
    <xf numFmtId="0" fontId="11" fillId="8" borderId="144" xfId="3" applyFont="1" applyFill="1" applyBorder="1" applyAlignment="1">
      <alignment horizontal="center" vertical="center" wrapText="1"/>
    </xf>
    <xf numFmtId="0" fontId="11" fillId="0" borderId="32" xfId="3" quotePrefix="1" applyFont="1" applyBorder="1" applyAlignment="1">
      <alignment horizontal="center" vertical="center"/>
    </xf>
    <xf numFmtId="0" fontId="11" fillId="0" borderId="1" xfId="3" quotePrefix="1" applyFont="1" applyBorder="1" applyAlignment="1">
      <alignment horizontal="center" vertical="center"/>
    </xf>
    <xf numFmtId="0" fontId="11" fillId="0" borderId="36" xfId="3" quotePrefix="1" applyFont="1" applyBorder="1" applyAlignment="1">
      <alignment horizontal="center" vertical="center"/>
    </xf>
    <xf numFmtId="0" fontId="11" fillId="0" borderId="2" xfId="3" quotePrefix="1" applyFont="1" applyBorder="1" applyAlignment="1">
      <alignment horizontal="center" vertical="center"/>
    </xf>
    <xf numFmtId="0" fontId="11" fillId="0" borderId="75" xfId="3" applyFont="1" applyBorder="1" applyAlignment="1">
      <alignment horizontal="center" vertical="center" wrapText="1"/>
    </xf>
    <xf numFmtId="0" fontId="11" fillId="0" borderId="74" xfId="3" applyFont="1" applyBorder="1" applyAlignment="1">
      <alignment horizontal="center" vertical="center" wrapText="1"/>
    </xf>
    <xf numFmtId="0" fontId="11" fillId="0" borderId="71" xfId="3" applyFont="1" applyBorder="1" applyAlignment="1">
      <alignment horizontal="center" vertical="center" wrapText="1"/>
    </xf>
    <xf numFmtId="0" fontId="11" fillId="0" borderId="79" xfId="3" applyFont="1" applyBorder="1" applyAlignment="1">
      <alignment horizontal="center" vertical="center" wrapText="1"/>
    </xf>
    <xf numFmtId="0" fontId="11" fillId="0" borderId="40" xfId="3" applyFont="1" applyBorder="1" applyAlignment="1">
      <alignment horizontal="center" vertical="center" wrapText="1"/>
    </xf>
    <xf numFmtId="0" fontId="11" fillId="0" borderId="41" xfId="3" applyFont="1" applyBorder="1" applyAlignment="1">
      <alignment horizontal="center" vertical="center" wrapText="1"/>
    </xf>
    <xf numFmtId="0" fontId="11" fillId="0" borderId="42" xfId="3" applyFont="1" applyBorder="1" applyAlignment="1">
      <alignment horizontal="center" vertical="center" wrapText="1"/>
    </xf>
    <xf numFmtId="0" fontId="11" fillId="0" borderId="67" xfId="3" applyFont="1" applyBorder="1" applyAlignment="1">
      <alignment horizontal="center" vertical="center" wrapText="1"/>
    </xf>
    <xf numFmtId="0" fontId="11" fillId="8" borderId="32" xfId="3" applyFont="1" applyFill="1" applyBorder="1" applyAlignment="1">
      <alignment horizontal="left" vertical="center" wrapText="1"/>
    </xf>
    <xf numFmtId="0" fontId="11" fillId="8" borderId="36" xfId="3" applyFont="1" applyFill="1" applyBorder="1" applyAlignment="1">
      <alignment horizontal="left" vertical="center" wrapText="1"/>
    </xf>
    <xf numFmtId="0" fontId="11" fillId="0" borderId="32" xfId="3" applyFont="1" applyBorder="1" applyAlignment="1">
      <alignment horizontal="left" vertical="center" wrapText="1"/>
    </xf>
    <xf numFmtId="0" fontId="8" fillId="8" borderId="143" xfId="3" applyFont="1" applyFill="1" applyBorder="1" applyAlignment="1">
      <alignment horizontal="center" vertical="center" wrapText="1"/>
    </xf>
    <xf numFmtId="0" fontId="8" fillId="0" borderId="13" xfId="3" applyFont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114" xfId="3" applyFont="1" applyBorder="1" applyAlignment="1">
      <alignment horizontal="center" vertical="center" wrapText="1"/>
    </xf>
    <xf numFmtId="0" fontId="8" fillId="0" borderId="84" xfId="3" applyFont="1" applyBorder="1" applyAlignment="1">
      <alignment horizontal="center" vertical="center" wrapText="1"/>
    </xf>
    <xf numFmtId="0" fontId="15" fillId="5" borderId="0" xfId="3" applyFont="1" applyFill="1"/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 wrapText="1"/>
    </xf>
    <xf numFmtId="0" fontId="11" fillId="8" borderId="137" xfId="3" applyFont="1" applyFill="1" applyBorder="1" applyAlignment="1">
      <alignment horizontal="left" vertical="center" wrapText="1"/>
    </xf>
    <xf numFmtId="0" fontId="19" fillId="5" borderId="0" xfId="0" applyFont="1" applyFill="1" applyAlignment="1">
      <alignment vertical="center"/>
    </xf>
    <xf numFmtId="0" fontId="24" fillId="6" borderId="0" xfId="0" applyFont="1" applyFill="1" applyAlignment="1">
      <alignment vertical="center" wrapText="1"/>
    </xf>
    <xf numFmtId="0" fontId="8" fillId="8" borderId="69" xfId="3" applyFont="1" applyFill="1" applyBorder="1" applyAlignment="1">
      <alignment horizontal="center" vertical="center" wrapText="1"/>
    </xf>
    <xf numFmtId="0" fontId="8" fillId="8" borderId="138" xfId="3" applyFont="1" applyFill="1" applyBorder="1" applyAlignment="1">
      <alignment horizontal="center" vertical="center" wrapText="1"/>
    </xf>
    <xf numFmtId="0" fontId="8" fillId="5" borderId="48" xfId="3" applyFont="1" applyFill="1" applyBorder="1" applyAlignment="1">
      <alignment horizontal="center" vertical="center" wrapText="1"/>
    </xf>
    <xf numFmtId="0" fontId="8" fillId="5" borderId="69" xfId="3" applyFont="1" applyFill="1" applyBorder="1" applyAlignment="1">
      <alignment horizontal="center" vertical="center" wrapText="1"/>
    </xf>
    <xf numFmtId="0" fontId="8" fillId="0" borderId="13" xfId="3" applyFont="1" applyBorder="1" applyAlignment="1">
      <alignment horizontal="center" vertical="center"/>
    </xf>
    <xf numFmtId="0" fontId="8" fillId="0" borderId="14" xfId="3" applyFont="1" applyBorder="1" applyAlignment="1">
      <alignment horizontal="center" vertical="center" wrapText="1"/>
    </xf>
    <xf numFmtId="0" fontId="11" fillId="0" borderId="47" xfId="3" applyFont="1" applyBorder="1" applyAlignment="1">
      <alignment horizontal="center" vertical="center" wrapText="1"/>
    </xf>
    <xf numFmtId="0" fontId="11" fillId="0" borderId="55" xfId="3" applyFont="1" applyBorder="1" applyAlignment="1">
      <alignment horizontal="center" vertical="center" wrapText="1"/>
    </xf>
    <xf numFmtId="0" fontId="8" fillId="0" borderId="164" xfId="3" applyFont="1" applyBorder="1" applyAlignment="1">
      <alignment horizontal="center" vertical="center" wrapText="1"/>
    </xf>
    <xf numFmtId="0" fontId="8" fillId="0" borderId="116" xfId="3" applyFont="1" applyBorder="1" applyAlignment="1">
      <alignment horizontal="center" vertical="center" wrapText="1"/>
    </xf>
    <xf numFmtId="0" fontId="8" fillId="0" borderId="170" xfId="3" applyFont="1" applyBorder="1" applyAlignment="1">
      <alignment horizontal="center" vertical="center" wrapText="1"/>
    </xf>
    <xf numFmtId="0" fontId="8" fillId="0" borderId="171" xfId="3" applyFont="1" applyBorder="1" applyAlignment="1">
      <alignment horizontal="center" vertical="center" wrapText="1"/>
    </xf>
    <xf numFmtId="0" fontId="8" fillId="0" borderId="172" xfId="3" applyFont="1" applyBorder="1" applyAlignment="1">
      <alignment horizontal="center" vertical="center" wrapText="1"/>
    </xf>
    <xf numFmtId="0" fontId="8" fillId="0" borderId="174" xfId="3" applyFont="1" applyBorder="1" applyAlignment="1">
      <alignment horizontal="center" vertical="center" wrapText="1"/>
    </xf>
    <xf numFmtId="0" fontId="8" fillId="0" borderId="176" xfId="3" applyFont="1" applyBorder="1" applyAlignment="1">
      <alignment horizontal="center" vertical="center" wrapText="1"/>
    </xf>
    <xf numFmtId="0" fontId="8" fillId="0" borderId="177" xfId="3" applyFont="1" applyBorder="1" applyAlignment="1">
      <alignment horizontal="center" vertical="center" wrapText="1"/>
    </xf>
    <xf numFmtId="0" fontId="8" fillId="0" borderId="178" xfId="3" applyFont="1" applyBorder="1" applyAlignment="1">
      <alignment horizontal="center" vertical="center" wrapText="1"/>
    </xf>
    <xf numFmtId="0" fontId="8" fillId="0" borderId="181" xfId="3" applyFont="1" applyBorder="1" applyAlignment="1">
      <alignment horizontal="center" vertical="center" wrapText="1"/>
    </xf>
    <xf numFmtId="0" fontId="8" fillId="0" borderId="183" xfId="3" applyFont="1" applyBorder="1" applyAlignment="1">
      <alignment horizontal="center" vertical="center" wrapText="1"/>
    </xf>
    <xf numFmtId="0" fontId="8" fillId="0" borderId="185" xfId="3" applyFont="1" applyBorder="1" applyAlignment="1">
      <alignment horizontal="center" vertical="center" wrapText="1"/>
    </xf>
    <xf numFmtId="0" fontId="8" fillId="0" borderId="186" xfId="3" applyFont="1" applyBorder="1" applyAlignment="1">
      <alignment horizontal="center" vertical="center" wrapText="1"/>
    </xf>
    <xf numFmtId="0" fontId="8" fillId="0" borderId="187" xfId="3" applyFont="1" applyBorder="1" applyAlignment="1">
      <alignment horizontal="center" vertical="center" wrapText="1"/>
    </xf>
    <xf numFmtId="0" fontId="8" fillId="0" borderId="188" xfId="3" applyFont="1" applyBorder="1" applyAlignment="1">
      <alignment horizontal="center" vertical="center" wrapText="1"/>
    </xf>
    <xf numFmtId="0" fontId="8" fillId="5" borderId="8" xfId="3" applyFont="1" applyFill="1" applyBorder="1" applyAlignment="1">
      <alignment horizontal="center" vertical="center" wrapText="1"/>
    </xf>
    <xf numFmtId="0" fontId="8" fillId="5" borderId="31" xfId="3" applyFont="1" applyFill="1" applyBorder="1" applyAlignment="1">
      <alignment horizontal="center" vertical="center" wrapText="1"/>
    </xf>
    <xf numFmtId="0" fontId="8" fillId="5" borderId="28" xfId="3" applyFont="1" applyFill="1" applyBorder="1" applyAlignment="1">
      <alignment horizontal="center" vertical="center" wrapText="1"/>
    </xf>
    <xf numFmtId="0" fontId="8" fillId="5" borderId="29" xfId="3" applyFont="1" applyFill="1" applyBorder="1" applyAlignment="1">
      <alignment horizontal="center" vertical="center" wrapText="1"/>
    </xf>
    <xf numFmtId="0" fontId="8" fillId="5" borderId="30" xfId="3" applyFont="1" applyFill="1" applyBorder="1" applyAlignment="1">
      <alignment horizontal="center" vertical="center" wrapText="1"/>
    </xf>
    <xf numFmtId="0" fontId="8" fillId="5" borderId="26" xfId="3" applyFont="1" applyFill="1" applyBorder="1" applyAlignment="1">
      <alignment horizontal="center" vertical="center" wrapText="1"/>
    </xf>
    <xf numFmtId="0" fontId="8" fillId="5" borderId="63" xfId="3" applyFont="1" applyFill="1" applyBorder="1" applyAlignment="1">
      <alignment horizontal="center" vertical="center" wrapText="1"/>
    </xf>
    <xf numFmtId="0" fontId="8" fillId="5" borderId="71" xfId="3" applyFont="1" applyFill="1" applyBorder="1" applyAlignment="1">
      <alignment horizontal="center" vertical="center" wrapText="1"/>
    </xf>
    <xf numFmtId="0" fontId="8" fillId="5" borderId="1" xfId="3" applyFont="1" applyFill="1" applyBorder="1" applyAlignment="1">
      <alignment horizontal="center" vertical="center" wrapText="1"/>
    </xf>
    <xf numFmtId="0" fontId="8" fillId="0" borderId="40" xfId="3" applyFont="1" applyBorder="1" applyAlignment="1">
      <alignment horizontal="center" vertical="center" wrapText="1"/>
    </xf>
    <xf numFmtId="0" fontId="8" fillId="0" borderId="41" xfId="3" applyFont="1" applyBorder="1" applyAlignment="1">
      <alignment horizontal="center" vertical="center" wrapText="1"/>
    </xf>
    <xf numFmtId="0" fontId="8" fillId="0" borderId="52" xfId="3" applyFont="1" applyBorder="1" applyAlignment="1">
      <alignment horizontal="center" vertical="center" wrapText="1"/>
    </xf>
    <xf numFmtId="0" fontId="8" fillId="0" borderId="42" xfId="3" applyFont="1" applyBorder="1" applyAlignment="1">
      <alignment horizontal="center" vertical="center" wrapText="1"/>
    </xf>
    <xf numFmtId="0" fontId="8" fillId="0" borderId="137" xfId="3" applyFont="1" applyBorder="1" applyAlignment="1">
      <alignment horizontal="center" vertical="center" wrapText="1"/>
    </xf>
    <xf numFmtId="0" fontId="8" fillId="0" borderId="198" xfId="3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0" fontId="11" fillId="8" borderId="77" xfId="3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/>
    <xf numFmtId="20" fontId="30" fillId="0" borderId="0" xfId="0" applyNumberFormat="1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9" fillId="8" borderId="166" xfId="3" applyFill="1" applyBorder="1" applyAlignment="1">
      <alignment horizontal="center" vertical="center" wrapText="1"/>
    </xf>
    <xf numFmtId="0" fontId="9" fillId="0" borderId="164" xfId="3" applyBorder="1" applyAlignment="1">
      <alignment horizontal="center" vertical="center" wrapText="1"/>
    </xf>
    <xf numFmtId="0" fontId="9" fillId="8" borderId="164" xfId="3" applyFill="1" applyBorder="1" applyAlignment="1">
      <alignment horizontal="center" vertical="center" wrapText="1"/>
    </xf>
    <xf numFmtId="0" fontId="30" fillId="0" borderId="15" xfId="0" applyFont="1" applyBorder="1"/>
    <xf numFmtId="20" fontId="30" fillId="0" borderId="22" xfId="0" applyNumberFormat="1" applyFont="1" applyBorder="1" applyAlignment="1">
      <alignment vertical="center"/>
    </xf>
    <xf numFmtId="20" fontId="30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30" fillId="0" borderId="168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3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87" xfId="0" applyFont="1" applyBorder="1" applyAlignment="1">
      <alignment horizontal="center" vertical="center"/>
    </xf>
    <xf numFmtId="0" fontId="31" fillId="0" borderId="76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83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85" xfId="0" applyFont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192" xfId="0" applyFont="1" applyBorder="1" applyAlignment="1">
      <alignment horizontal="center" vertical="center"/>
    </xf>
    <xf numFmtId="0" fontId="31" fillId="0" borderId="193" xfId="0" applyFont="1" applyBorder="1" applyAlignment="1">
      <alignment horizontal="center" vertical="center"/>
    </xf>
    <xf numFmtId="9" fontId="31" fillId="0" borderId="72" xfId="0" applyNumberFormat="1" applyFont="1" applyBorder="1" applyAlignment="1">
      <alignment horizontal="center" vertical="center"/>
    </xf>
    <xf numFmtId="0" fontId="31" fillId="0" borderId="194" xfId="0" applyFont="1" applyBorder="1" applyAlignment="1">
      <alignment horizontal="center" vertical="center"/>
    </xf>
    <xf numFmtId="0" fontId="27" fillId="0" borderId="192" xfId="0" applyFont="1" applyBorder="1"/>
    <xf numFmtId="0" fontId="27" fillId="0" borderId="83" xfId="0" applyFont="1" applyBorder="1" applyAlignment="1">
      <alignment horizontal="center"/>
    </xf>
    <xf numFmtId="0" fontId="27" fillId="0" borderId="194" xfId="0" applyFont="1" applyBorder="1"/>
    <xf numFmtId="0" fontId="27" fillId="0" borderId="73" xfId="0" applyFont="1" applyBorder="1" applyAlignment="1">
      <alignment horizontal="center"/>
    </xf>
    <xf numFmtId="0" fontId="31" fillId="0" borderId="199" xfId="0" applyFont="1" applyBorder="1" applyAlignment="1">
      <alignment horizontal="center" vertical="center"/>
    </xf>
    <xf numFmtId="0" fontId="31" fillId="0" borderId="97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31" fillId="0" borderId="118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31" fillId="0" borderId="60" xfId="0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1" fillId="0" borderId="120" xfId="0" applyFont="1" applyBorder="1" applyAlignment="1">
      <alignment horizontal="center" vertical="center"/>
    </xf>
    <xf numFmtId="0" fontId="31" fillId="0" borderId="119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7" fontId="27" fillId="0" borderId="0" xfId="0" applyNumberFormat="1" applyFont="1"/>
    <xf numFmtId="167" fontId="30" fillId="0" borderId="12" xfId="0" applyNumberFormat="1" applyFont="1" applyBorder="1" applyAlignment="1">
      <alignment horizontal="center" vertical="center"/>
    </xf>
    <xf numFmtId="167" fontId="22" fillId="7" borderId="31" xfId="0" applyNumberFormat="1" applyFont="1" applyFill="1" applyBorder="1" applyAlignment="1">
      <alignment horizontal="center" vertical="center"/>
    </xf>
    <xf numFmtId="167" fontId="22" fillId="7" borderId="29" xfId="0" applyNumberFormat="1" applyFont="1" applyFill="1" applyBorder="1" applyAlignment="1">
      <alignment horizontal="center" vertical="center"/>
    </xf>
    <xf numFmtId="167" fontId="30" fillId="0" borderId="0" xfId="0" applyNumberFormat="1" applyFont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167" fontId="30" fillId="0" borderId="0" xfId="0" applyNumberFormat="1" applyFont="1"/>
    <xf numFmtId="0" fontId="30" fillId="0" borderId="204" xfId="0" applyFont="1" applyBorder="1" applyAlignment="1">
      <alignment horizontal="center" vertical="center"/>
    </xf>
    <xf numFmtId="49" fontId="31" fillId="0" borderId="73" xfId="0" applyNumberFormat="1" applyFont="1" applyBorder="1" applyAlignment="1">
      <alignment horizontal="center" vertical="center"/>
    </xf>
    <xf numFmtId="49" fontId="31" fillId="0" borderId="38" xfId="0" applyNumberFormat="1" applyFont="1" applyBorder="1" applyAlignment="1">
      <alignment horizontal="center" vertical="center"/>
    </xf>
    <xf numFmtId="0" fontId="30" fillId="0" borderId="207" xfId="0" applyFont="1" applyBorder="1" applyAlignment="1">
      <alignment horizontal="center" vertical="center"/>
    </xf>
    <xf numFmtId="0" fontId="31" fillId="0" borderId="99" xfId="0" applyFont="1" applyBorder="1" applyAlignment="1">
      <alignment horizontal="center" vertical="center"/>
    </xf>
    <xf numFmtId="0" fontId="31" fillId="0" borderId="100" xfId="0" applyFont="1" applyBorder="1" applyAlignment="1">
      <alignment horizontal="center" vertical="center"/>
    </xf>
    <xf numFmtId="0" fontId="31" fillId="0" borderId="89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0" borderId="209" xfId="0" applyFont="1" applyBorder="1" applyAlignment="1">
      <alignment horizontal="center" vertical="center"/>
    </xf>
    <xf numFmtId="9" fontId="31" fillId="0" borderId="83" xfId="11088" applyFont="1" applyBorder="1" applyAlignment="1">
      <alignment horizontal="center" vertical="center"/>
    </xf>
    <xf numFmtId="9" fontId="31" fillId="0" borderId="34" xfId="11088" applyFont="1" applyBorder="1" applyAlignment="1">
      <alignment horizontal="center" vertical="center"/>
    </xf>
    <xf numFmtId="9" fontId="31" fillId="0" borderId="76" xfId="11088" applyFont="1" applyBorder="1" applyAlignment="1">
      <alignment horizontal="center" vertical="center"/>
    </xf>
    <xf numFmtId="9" fontId="31" fillId="0" borderId="39" xfId="11088" applyFont="1" applyBorder="1" applyAlignment="1">
      <alignment horizontal="center" vertical="center"/>
    </xf>
    <xf numFmtId="166" fontId="8" fillId="11" borderId="4" xfId="3" applyNumberFormat="1" applyFont="1" applyFill="1" applyBorder="1" applyAlignment="1">
      <alignment horizontal="center" vertical="center"/>
    </xf>
    <xf numFmtId="166" fontId="8" fillId="11" borderId="97" xfId="3" applyNumberFormat="1" applyFont="1" applyFill="1" applyBorder="1" applyAlignment="1">
      <alignment horizontal="center" vertical="center"/>
    </xf>
    <xf numFmtId="166" fontId="8" fillId="11" borderId="105" xfId="3" applyNumberFormat="1" applyFont="1" applyFill="1" applyBorder="1" applyAlignment="1">
      <alignment horizontal="center" vertical="center"/>
    </xf>
    <xf numFmtId="166" fontId="8" fillId="11" borderId="109" xfId="3" applyNumberFormat="1" applyFont="1" applyFill="1" applyBorder="1" applyAlignment="1">
      <alignment horizontal="center" vertical="center"/>
    </xf>
    <xf numFmtId="166" fontId="8" fillId="11" borderId="106" xfId="3" applyNumberFormat="1" applyFont="1" applyFill="1" applyBorder="1" applyAlignment="1">
      <alignment horizontal="center" vertical="center" wrapText="1"/>
    </xf>
    <xf numFmtId="167" fontId="18" fillId="11" borderId="129" xfId="0" applyNumberFormat="1" applyFont="1" applyFill="1" applyBorder="1" applyAlignment="1">
      <alignment horizontal="center" vertical="center"/>
    </xf>
    <xf numFmtId="167" fontId="18" fillId="11" borderId="130" xfId="0" applyNumberFormat="1" applyFont="1" applyFill="1" applyBorder="1" applyAlignment="1">
      <alignment horizontal="center" vertical="center"/>
    </xf>
    <xf numFmtId="167" fontId="17" fillId="11" borderId="46" xfId="3" applyNumberFormat="1" applyFont="1" applyFill="1" applyBorder="1" applyAlignment="1">
      <alignment horizontal="center" vertical="center"/>
    </xf>
    <xf numFmtId="167" fontId="11" fillId="11" borderId="4" xfId="3" applyNumberFormat="1" applyFont="1" applyFill="1" applyBorder="1" applyAlignment="1">
      <alignment horizontal="center" vertical="center" wrapText="1"/>
    </xf>
    <xf numFmtId="167" fontId="11" fillId="11" borderId="17" xfId="3" applyNumberFormat="1" applyFont="1" applyFill="1" applyBorder="1" applyAlignment="1">
      <alignment horizontal="center" vertical="center" wrapText="1"/>
    </xf>
    <xf numFmtId="167" fontId="11" fillId="11" borderId="139" xfId="3" applyNumberFormat="1" applyFont="1" applyFill="1" applyBorder="1" applyAlignment="1">
      <alignment horizontal="center" vertical="center"/>
    </xf>
    <xf numFmtId="167" fontId="11" fillId="11" borderId="114" xfId="3" applyNumberFormat="1" applyFont="1" applyFill="1" applyBorder="1" applyAlignment="1">
      <alignment horizontal="center" vertical="center"/>
    </xf>
    <xf numFmtId="167" fontId="11" fillId="11" borderId="117" xfId="3" applyNumberFormat="1" applyFont="1" applyFill="1" applyBorder="1" applyAlignment="1">
      <alignment horizontal="center" vertical="center" wrapText="1"/>
    </xf>
    <xf numFmtId="167" fontId="18" fillId="11" borderId="47" xfId="0" applyNumberFormat="1" applyFont="1" applyFill="1" applyBorder="1" applyAlignment="1">
      <alignment horizontal="center" vertical="center"/>
    </xf>
    <xf numFmtId="167" fontId="18" fillId="11" borderId="131" xfId="0" applyNumberFormat="1" applyFont="1" applyFill="1" applyBorder="1" applyAlignment="1">
      <alignment horizontal="center" vertical="center"/>
    </xf>
    <xf numFmtId="0" fontId="30" fillId="0" borderId="100" xfId="0" applyFont="1" applyBorder="1" applyAlignment="1">
      <alignment horizontal="center" vertical="center"/>
    </xf>
    <xf numFmtId="0" fontId="30" fillId="0" borderId="21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16" fontId="39" fillId="0" borderId="6" xfId="0" applyNumberFormat="1" applyFont="1" applyBorder="1" applyAlignment="1">
      <alignment horizontal="center" vertical="center"/>
    </xf>
    <xf numFmtId="1" fontId="31" fillId="0" borderId="58" xfId="0" applyNumberFormat="1" applyFont="1" applyBorder="1" applyAlignment="1">
      <alignment horizontal="center" vertical="center"/>
    </xf>
    <xf numFmtId="1" fontId="31" fillId="0" borderId="59" xfId="0" applyNumberFormat="1" applyFont="1" applyBorder="1" applyAlignment="1">
      <alignment horizontal="center" vertical="center"/>
    </xf>
    <xf numFmtId="0" fontId="9" fillId="8" borderId="52" xfId="3" applyFill="1" applyBorder="1" applyAlignment="1">
      <alignment horizontal="left" vertical="center" wrapText="1"/>
    </xf>
    <xf numFmtId="0" fontId="27" fillId="0" borderId="214" xfId="0" applyFont="1" applyBorder="1" applyAlignment="1">
      <alignment horizontal="center" vertical="center"/>
    </xf>
    <xf numFmtId="0" fontId="27" fillId="0" borderId="215" xfId="0" applyFont="1" applyBorder="1" applyAlignment="1">
      <alignment horizontal="center" vertical="center"/>
    </xf>
    <xf numFmtId="0" fontId="30" fillId="0" borderId="193" xfId="0" applyFont="1" applyBorder="1" applyAlignment="1">
      <alignment horizontal="center" vertical="center"/>
    </xf>
    <xf numFmtId="0" fontId="9" fillId="8" borderId="218" xfId="3" applyFill="1" applyBorder="1" applyAlignment="1">
      <alignment horizontal="left" vertical="center" wrapText="1"/>
    </xf>
    <xf numFmtId="0" fontId="9" fillId="8" borderId="219" xfId="3" applyFill="1" applyBorder="1" applyAlignment="1">
      <alignment horizontal="center" vertical="center" wrapText="1"/>
    </xf>
    <xf numFmtId="0" fontId="9" fillId="8" borderId="220" xfId="3" applyFill="1" applyBorder="1" applyAlignment="1">
      <alignment horizontal="center" vertical="center" wrapText="1"/>
    </xf>
    <xf numFmtId="0" fontId="39" fillId="0" borderId="221" xfId="0" applyFont="1" applyBorder="1" applyAlignment="1">
      <alignment horizontal="center" vertical="center"/>
    </xf>
    <xf numFmtId="0" fontId="30" fillId="0" borderId="222" xfId="0" applyFont="1" applyBorder="1" applyAlignment="1">
      <alignment horizontal="center" vertical="center"/>
    </xf>
    <xf numFmtId="0" fontId="9" fillId="0" borderId="225" xfId="3" applyBorder="1" applyAlignment="1">
      <alignment horizontal="left" vertical="center" wrapText="1"/>
    </xf>
    <xf numFmtId="0" fontId="9" fillId="0" borderId="226" xfId="3" applyBorder="1" applyAlignment="1">
      <alignment horizontal="center" vertical="center" wrapText="1"/>
    </xf>
    <xf numFmtId="0" fontId="9" fillId="0" borderId="227" xfId="3" applyBorder="1" applyAlignment="1">
      <alignment horizontal="center" vertical="center" wrapText="1"/>
    </xf>
    <xf numFmtId="0" fontId="39" fillId="0" borderId="228" xfId="0" applyFont="1" applyBorder="1" applyAlignment="1">
      <alignment horizontal="center" vertical="center"/>
    </xf>
    <xf numFmtId="0" fontId="30" fillId="0" borderId="229" xfId="0" applyFont="1" applyBorder="1" applyAlignment="1">
      <alignment horizontal="center" vertical="center"/>
    </xf>
    <xf numFmtId="0" fontId="30" fillId="0" borderId="230" xfId="0" applyFont="1" applyBorder="1" applyAlignment="1">
      <alignment horizontal="center" vertical="center"/>
    </xf>
    <xf numFmtId="0" fontId="9" fillId="0" borderId="218" xfId="3" applyBorder="1" applyAlignment="1">
      <alignment horizontal="left" vertical="center" wrapText="1"/>
    </xf>
    <xf numFmtId="0" fontId="9" fillId="0" borderId="219" xfId="3" applyBorder="1" applyAlignment="1">
      <alignment horizontal="center" vertical="center" wrapText="1"/>
    </xf>
    <xf numFmtId="0" fontId="9" fillId="0" borderId="220" xfId="3" applyBorder="1" applyAlignment="1">
      <alignment horizontal="center" vertical="center" wrapText="1"/>
    </xf>
    <xf numFmtId="0" fontId="30" fillId="0" borderId="231" xfId="0" applyFont="1" applyBorder="1" applyAlignment="1">
      <alignment horizontal="center" vertical="center"/>
    </xf>
    <xf numFmtId="0" fontId="30" fillId="0" borderId="232" xfId="0" applyFont="1" applyBorder="1" applyAlignment="1">
      <alignment horizontal="center" vertical="center"/>
    </xf>
    <xf numFmtId="0" fontId="9" fillId="8" borderId="225" xfId="3" applyFill="1" applyBorder="1" applyAlignment="1">
      <alignment horizontal="left" vertical="center" wrapText="1"/>
    </xf>
    <xf numFmtId="0" fontId="9" fillId="8" borderId="226" xfId="3" applyFill="1" applyBorder="1" applyAlignment="1">
      <alignment horizontal="center" vertical="center" wrapText="1"/>
    </xf>
    <xf numFmtId="0" fontId="9" fillId="8" borderId="227" xfId="3" applyFill="1" applyBorder="1" applyAlignment="1">
      <alignment horizontal="center" vertical="center" wrapText="1"/>
    </xf>
    <xf numFmtId="0" fontId="30" fillId="0" borderId="233" xfId="0" applyFont="1" applyBorder="1" applyAlignment="1">
      <alignment horizontal="center" vertical="center"/>
    </xf>
    <xf numFmtId="0" fontId="30" fillId="0" borderId="234" xfId="0" applyFont="1" applyBorder="1" applyAlignment="1">
      <alignment horizontal="center" vertical="center"/>
    </xf>
    <xf numFmtId="0" fontId="9" fillId="8" borderId="240" xfId="3" applyFill="1" applyBorder="1" applyAlignment="1">
      <alignment horizontal="left" vertical="center" wrapText="1"/>
    </xf>
    <xf numFmtId="0" fontId="9" fillId="8" borderId="241" xfId="3" applyFill="1" applyBorder="1" applyAlignment="1">
      <alignment horizontal="center" vertical="center" wrapText="1"/>
    </xf>
    <xf numFmtId="0" fontId="9" fillId="8" borderId="242" xfId="3" applyFill="1" applyBorder="1" applyAlignment="1">
      <alignment horizontal="center" vertical="center" wrapText="1"/>
    </xf>
    <xf numFmtId="0" fontId="9" fillId="0" borderId="122" xfId="3" applyBorder="1" applyAlignment="1">
      <alignment horizontal="left" vertical="center" wrapText="1"/>
    </xf>
    <xf numFmtId="0" fontId="9" fillId="8" borderId="244" xfId="3" applyFill="1" applyBorder="1" applyAlignment="1">
      <alignment horizontal="left" vertical="center" wrapText="1"/>
    </xf>
    <xf numFmtId="0" fontId="9" fillId="8" borderId="245" xfId="3" applyFill="1" applyBorder="1" applyAlignment="1">
      <alignment horizontal="center" vertical="center" wrapText="1"/>
    </xf>
    <xf numFmtId="0" fontId="9" fillId="8" borderId="246" xfId="3" applyFill="1" applyBorder="1" applyAlignment="1">
      <alignment horizontal="center" vertical="center" wrapText="1"/>
    </xf>
    <xf numFmtId="0" fontId="39" fillId="0" borderId="247" xfId="0" applyFont="1" applyBorder="1" applyAlignment="1">
      <alignment horizontal="center" vertical="center"/>
    </xf>
    <xf numFmtId="0" fontId="30" fillId="0" borderId="248" xfId="0" applyFont="1" applyBorder="1" applyAlignment="1">
      <alignment horizontal="center" vertical="center"/>
    </xf>
    <xf numFmtId="0" fontId="9" fillId="0" borderId="251" xfId="3" applyBorder="1" applyAlignment="1">
      <alignment horizontal="left" vertical="center" wrapText="1"/>
    </xf>
    <xf numFmtId="0" fontId="9" fillId="0" borderId="253" xfId="3" applyBorder="1" applyAlignment="1">
      <alignment horizontal="center" vertical="center" wrapText="1"/>
    </xf>
    <xf numFmtId="0" fontId="9" fillId="0" borderId="254" xfId="3" applyBorder="1" applyAlignment="1">
      <alignment horizontal="center" vertical="center" wrapText="1"/>
    </xf>
    <xf numFmtId="0" fontId="39" fillId="0" borderId="255" xfId="0" applyFont="1" applyBorder="1" applyAlignment="1">
      <alignment horizontal="center" vertical="center"/>
    </xf>
    <xf numFmtId="0" fontId="30" fillId="0" borderId="256" xfId="0" applyFont="1" applyBorder="1" applyAlignment="1">
      <alignment horizontal="center" vertical="center"/>
    </xf>
    <xf numFmtId="0" fontId="9" fillId="0" borderId="244" xfId="3" applyBorder="1" applyAlignment="1">
      <alignment horizontal="left" vertical="center" wrapText="1"/>
    </xf>
    <xf numFmtId="0" fontId="9" fillId="0" borderId="245" xfId="3" applyBorder="1" applyAlignment="1">
      <alignment horizontal="center" vertical="center" wrapText="1"/>
    </xf>
    <xf numFmtId="0" fontId="9" fillId="0" borderId="246" xfId="3" applyBorder="1" applyAlignment="1">
      <alignment horizontal="center" vertical="center" wrapText="1"/>
    </xf>
    <xf numFmtId="0" fontId="9" fillId="8" borderId="163" xfId="3" applyFill="1" applyBorder="1" applyAlignment="1">
      <alignment horizontal="left" vertical="center" wrapText="1"/>
    </xf>
    <xf numFmtId="0" fontId="9" fillId="8" borderId="26" xfId="3" applyFill="1" applyBorder="1" applyAlignment="1">
      <alignment horizontal="center" vertical="center" wrapText="1"/>
    </xf>
    <xf numFmtId="0" fontId="9" fillId="8" borderId="159" xfId="3" applyFill="1" applyBorder="1" applyAlignment="1">
      <alignment horizontal="center" vertical="center" wrapText="1"/>
    </xf>
    <xf numFmtId="0" fontId="30" fillId="0" borderId="259" xfId="0" applyFont="1" applyBorder="1" applyAlignment="1">
      <alignment horizontal="center" vertical="center"/>
    </xf>
    <xf numFmtId="0" fontId="9" fillId="8" borderId="251" xfId="3" applyFill="1" applyBorder="1" applyAlignment="1">
      <alignment horizontal="left" vertical="center" wrapText="1"/>
    </xf>
    <xf numFmtId="0" fontId="9" fillId="8" borderId="253" xfId="3" applyFill="1" applyBorder="1" applyAlignment="1">
      <alignment horizontal="center" vertical="center" wrapText="1"/>
    </xf>
    <xf numFmtId="0" fontId="9" fillId="8" borderId="254" xfId="3" applyFill="1" applyBorder="1" applyAlignment="1">
      <alignment horizontal="center" vertical="center" wrapText="1"/>
    </xf>
    <xf numFmtId="0" fontId="9" fillId="0" borderId="165" xfId="3" applyBorder="1" applyAlignment="1">
      <alignment horizontal="left" vertical="center" wrapText="1"/>
    </xf>
    <xf numFmtId="0" fontId="9" fillId="0" borderId="64" xfId="3" applyBorder="1" applyAlignment="1">
      <alignment horizontal="center" vertical="center" wrapText="1"/>
    </xf>
    <xf numFmtId="0" fontId="9" fillId="0" borderId="263" xfId="3" applyBorder="1" applyAlignment="1">
      <alignment horizontal="center" vertical="center" wrapText="1"/>
    </xf>
    <xf numFmtId="0" fontId="9" fillId="0" borderId="265" xfId="3" applyBorder="1" applyAlignment="1">
      <alignment horizontal="left" vertical="center" wrapText="1"/>
    </xf>
    <xf numFmtId="0" fontId="9" fillId="0" borderId="241" xfId="3" applyBorder="1" applyAlignment="1">
      <alignment horizontal="center" vertical="center" wrapText="1"/>
    </xf>
    <xf numFmtId="0" fontId="9" fillId="0" borderId="242" xfId="3" applyBorder="1" applyAlignment="1">
      <alignment horizontal="center" vertical="center" wrapText="1"/>
    </xf>
    <xf numFmtId="0" fontId="9" fillId="8" borderId="267" xfId="3" applyFill="1" applyBorder="1" applyAlignment="1">
      <alignment horizontal="left" vertical="center" wrapText="1"/>
    </xf>
    <xf numFmtId="0" fontId="9" fillId="8" borderId="273" xfId="3" applyFill="1" applyBorder="1" applyAlignment="1">
      <alignment horizontal="center" vertical="center" wrapText="1"/>
    </xf>
    <xf numFmtId="0" fontId="9" fillId="8" borderId="274" xfId="3" applyFill="1" applyBorder="1" applyAlignment="1">
      <alignment horizontal="center" vertical="center" wrapText="1"/>
    </xf>
    <xf numFmtId="0" fontId="30" fillId="0" borderId="275" xfId="0" applyFont="1" applyBorder="1" applyAlignment="1">
      <alignment horizontal="center" vertical="center"/>
    </xf>
    <xf numFmtId="0" fontId="30" fillId="0" borderId="276" xfId="0" applyFont="1" applyBorder="1" applyAlignment="1">
      <alignment horizontal="center" vertical="center"/>
    </xf>
    <xf numFmtId="0" fontId="9" fillId="0" borderId="277" xfId="3" applyBorder="1" applyAlignment="1">
      <alignment horizontal="center" vertical="center" wrapText="1"/>
    </xf>
    <xf numFmtId="0" fontId="9" fillId="0" borderId="278" xfId="3" applyBorder="1" applyAlignment="1">
      <alignment horizontal="center" vertical="center" wrapText="1"/>
    </xf>
    <xf numFmtId="0" fontId="30" fillId="0" borderId="279" xfId="0" applyFont="1" applyBorder="1" applyAlignment="1">
      <alignment horizontal="center" vertical="center"/>
    </xf>
    <xf numFmtId="0" fontId="30" fillId="0" borderId="280" xfId="0" applyFont="1" applyBorder="1" applyAlignment="1">
      <alignment horizontal="center" vertical="center"/>
    </xf>
    <xf numFmtId="0" fontId="9" fillId="0" borderId="273" xfId="3" applyBorder="1" applyAlignment="1">
      <alignment horizontal="center" vertical="center" wrapText="1"/>
    </xf>
    <xf numFmtId="0" fontId="9" fillId="0" borderId="274" xfId="3" applyBorder="1" applyAlignment="1">
      <alignment horizontal="center" vertical="center" wrapText="1"/>
    </xf>
    <xf numFmtId="0" fontId="15" fillId="0" borderId="250" xfId="3" applyFont="1" applyBorder="1" applyAlignment="1">
      <alignment vertical="center"/>
    </xf>
    <xf numFmtId="0" fontId="8" fillId="0" borderId="12" xfId="3" applyFont="1" applyBorder="1" applyAlignment="1">
      <alignment horizontal="center" vertical="center"/>
    </xf>
    <xf numFmtId="0" fontId="8" fillId="12" borderId="185" xfId="3" applyFont="1" applyFill="1" applyBorder="1" applyAlignment="1">
      <alignment horizontal="center" vertical="center" wrapText="1"/>
    </xf>
    <xf numFmtId="0" fontId="30" fillId="0" borderId="286" xfId="0" applyFont="1" applyBorder="1" applyAlignment="1">
      <alignment horizontal="center" vertical="center"/>
    </xf>
    <xf numFmtId="0" fontId="30" fillId="0" borderId="287" xfId="0" applyFont="1" applyBorder="1" applyAlignment="1">
      <alignment horizontal="center" vertical="center"/>
    </xf>
    <xf numFmtId="0" fontId="39" fillId="0" borderId="288" xfId="0" applyFont="1" applyBorder="1" applyAlignment="1">
      <alignment horizontal="center" vertical="center"/>
    </xf>
    <xf numFmtId="0" fontId="39" fillId="0" borderId="76" xfId="0" applyFont="1" applyBorder="1" applyAlignment="1">
      <alignment horizontal="center" vertical="center"/>
    </xf>
    <xf numFmtId="0" fontId="39" fillId="0" borderId="148" xfId="0" applyFont="1" applyBorder="1" applyAlignment="1">
      <alignment horizontal="center" vertical="center"/>
    </xf>
    <xf numFmtId="0" fontId="39" fillId="0" borderId="289" xfId="0" applyFont="1" applyBorder="1" applyAlignment="1">
      <alignment horizontal="center" vertical="center"/>
    </xf>
    <xf numFmtId="0" fontId="30" fillId="0" borderId="290" xfId="0" applyFont="1" applyBorder="1" applyAlignment="1">
      <alignment horizontal="center" vertical="center"/>
    </xf>
    <xf numFmtId="0" fontId="30" fillId="0" borderId="281" xfId="0" applyFont="1" applyBorder="1" applyAlignment="1">
      <alignment horizontal="center" vertical="center"/>
    </xf>
    <xf numFmtId="0" fontId="39" fillId="0" borderId="291" xfId="0" applyFont="1" applyBorder="1" applyAlignment="1">
      <alignment horizontal="center" vertical="center"/>
    </xf>
    <xf numFmtId="0" fontId="39" fillId="0" borderId="292" xfId="0" applyFont="1" applyBorder="1" applyAlignment="1">
      <alignment horizontal="center" vertical="center"/>
    </xf>
    <xf numFmtId="0" fontId="39" fillId="0" borderId="289" xfId="0" quotePrefix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7" fillId="0" borderId="295" xfId="0" applyFont="1" applyBorder="1" applyAlignment="1">
      <alignment horizontal="center"/>
    </xf>
    <xf numFmtId="0" fontId="27" fillId="0" borderId="296" xfId="0" applyFont="1" applyBorder="1" applyAlignment="1">
      <alignment horizontal="center"/>
    </xf>
    <xf numFmtId="0" fontId="27" fillId="0" borderId="293" xfId="0" applyFont="1" applyBorder="1" applyAlignment="1">
      <alignment horizontal="center" vertical="center"/>
    </xf>
    <xf numFmtId="0" fontId="27" fillId="0" borderId="294" xfId="0" applyFont="1" applyBorder="1" applyAlignment="1">
      <alignment horizontal="center" vertical="center"/>
    </xf>
    <xf numFmtId="0" fontId="11" fillId="8" borderId="40" xfId="3" applyFont="1" applyFill="1" applyBorder="1" applyAlignment="1">
      <alignment horizontal="center" vertical="center" wrapText="1"/>
    </xf>
    <xf numFmtId="0" fontId="11" fillId="8" borderId="32" xfId="3" quotePrefix="1" applyFont="1" applyFill="1" applyBorder="1" applyAlignment="1">
      <alignment horizontal="center" vertical="center"/>
    </xf>
    <xf numFmtId="0" fontId="11" fillId="8" borderId="41" xfId="3" applyFont="1" applyFill="1" applyBorder="1" applyAlignment="1">
      <alignment horizontal="center" vertical="center" wrapText="1"/>
    </xf>
    <xf numFmtId="0" fontId="11" fillId="8" borderId="42" xfId="3" applyFont="1" applyFill="1" applyBorder="1" applyAlignment="1">
      <alignment horizontal="center" vertical="center" wrapText="1"/>
    </xf>
    <xf numFmtId="0" fontId="11" fillId="8" borderId="36" xfId="3" quotePrefix="1" applyFont="1" applyFill="1" applyBorder="1" applyAlignment="1">
      <alignment horizontal="center" vertical="center"/>
    </xf>
    <xf numFmtId="0" fontId="11" fillId="8" borderId="71" xfId="3" applyFont="1" applyFill="1" applyBorder="1" applyAlignment="1">
      <alignment horizontal="center" vertical="center" wrapText="1"/>
    </xf>
    <xf numFmtId="0" fontId="11" fillId="8" borderId="8" xfId="3" applyFont="1" applyFill="1" applyBorder="1" applyAlignment="1">
      <alignment horizontal="center" vertical="center" wrapText="1"/>
    </xf>
    <xf numFmtId="0" fontId="11" fillId="8" borderId="31" xfId="3" quotePrefix="1" applyFont="1" applyFill="1" applyBorder="1" applyAlignment="1">
      <alignment horizontal="center" vertical="center"/>
    </xf>
    <xf numFmtId="0" fontId="11" fillId="8" borderId="67" xfId="3" applyFont="1" applyFill="1" applyBorder="1" applyAlignment="1">
      <alignment horizontal="center" vertical="center" wrapText="1"/>
    </xf>
    <xf numFmtId="0" fontId="11" fillId="8" borderId="2" xfId="3" quotePrefix="1" applyFont="1" applyFill="1" applyBorder="1" applyAlignment="1">
      <alignment horizontal="center" vertical="center"/>
    </xf>
    <xf numFmtId="0" fontId="8" fillId="8" borderId="67" xfId="3" applyFont="1" applyFill="1" applyBorder="1" applyAlignment="1">
      <alignment horizontal="center" vertical="center" wrapText="1"/>
    </xf>
    <xf numFmtId="0" fontId="8" fillId="8" borderId="2" xfId="3" applyFont="1" applyFill="1" applyBorder="1" applyAlignment="1">
      <alignment horizontal="center" vertical="center" wrapText="1"/>
    </xf>
    <xf numFmtId="0" fontId="8" fillId="8" borderId="75" xfId="3" applyFont="1" applyFill="1" applyBorder="1" applyAlignment="1">
      <alignment horizontal="center" vertical="center" wrapText="1"/>
    </xf>
    <xf numFmtId="0" fontId="8" fillId="8" borderId="79" xfId="3" applyFont="1" applyFill="1" applyBorder="1" applyAlignment="1">
      <alignment horizontal="center" vertical="center" wrapText="1"/>
    </xf>
    <xf numFmtId="0" fontId="8" fillId="8" borderId="171" xfId="3" applyFont="1" applyFill="1" applyBorder="1" applyAlignment="1">
      <alignment horizontal="center" vertical="center" wrapText="1"/>
    </xf>
    <xf numFmtId="0" fontId="8" fillId="8" borderId="172" xfId="3" applyFont="1" applyFill="1" applyBorder="1" applyAlignment="1">
      <alignment horizontal="center" vertical="center" wrapText="1"/>
    </xf>
    <xf numFmtId="0" fontId="8" fillId="8" borderId="173" xfId="3" applyFont="1" applyFill="1" applyBorder="1" applyAlignment="1">
      <alignment horizontal="center" vertical="center" wrapText="1"/>
    </xf>
    <xf numFmtId="0" fontId="8" fillId="8" borderId="174" xfId="3" applyFont="1" applyFill="1" applyBorder="1" applyAlignment="1">
      <alignment horizontal="center" vertical="center" wrapText="1"/>
    </xf>
    <xf numFmtId="0" fontId="8" fillId="8" borderId="180" xfId="3" applyFont="1" applyFill="1" applyBorder="1" applyAlignment="1">
      <alignment horizontal="center" vertical="center" wrapText="1"/>
    </xf>
    <xf numFmtId="0" fontId="8" fillId="8" borderId="181" xfId="3" applyFont="1" applyFill="1" applyBorder="1" applyAlignment="1">
      <alignment horizontal="center" vertical="center" wrapText="1"/>
    </xf>
    <xf numFmtId="0" fontId="8" fillId="8" borderId="182" xfId="3" applyFont="1" applyFill="1" applyBorder="1" applyAlignment="1">
      <alignment horizontal="center" vertical="center" wrapText="1"/>
    </xf>
    <xf numFmtId="0" fontId="8" fillId="8" borderId="139" xfId="3" applyFont="1" applyFill="1" applyBorder="1" applyAlignment="1">
      <alignment horizontal="center" vertical="center" wrapText="1"/>
    </xf>
    <xf numFmtId="0" fontId="8" fillId="8" borderId="114" xfId="3" applyFont="1" applyFill="1" applyBorder="1" applyAlignment="1">
      <alignment horizontal="center" vertical="center" wrapText="1"/>
    </xf>
    <xf numFmtId="0" fontId="8" fillId="8" borderId="184" xfId="3" applyFont="1" applyFill="1" applyBorder="1" applyAlignment="1">
      <alignment horizontal="center" vertical="center" wrapText="1"/>
    </xf>
    <xf numFmtId="0" fontId="8" fillId="8" borderId="185" xfId="3" applyFont="1" applyFill="1" applyBorder="1" applyAlignment="1">
      <alignment horizontal="center" vertical="center" wrapText="1"/>
    </xf>
    <xf numFmtId="0" fontId="8" fillId="8" borderId="186" xfId="3" applyFont="1" applyFill="1" applyBorder="1" applyAlignment="1">
      <alignment horizontal="center" vertical="center" wrapText="1"/>
    </xf>
    <xf numFmtId="0" fontId="8" fillId="8" borderId="177" xfId="3" applyFont="1" applyFill="1" applyBorder="1" applyAlignment="1">
      <alignment horizontal="center" vertical="center" wrapText="1"/>
    </xf>
    <xf numFmtId="0" fontId="8" fillId="8" borderId="178" xfId="3" applyFont="1" applyFill="1" applyBorder="1" applyAlignment="1">
      <alignment horizontal="center" vertical="center" wrapText="1"/>
    </xf>
    <xf numFmtId="0" fontId="8" fillId="8" borderId="187" xfId="3" applyFont="1" applyFill="1" applyBorder="1" applyAlignment="1">
      <alignment horizontal="center" vertical="center" wrapText="1"/>
    </xf>
    <xf numFmtId="0" fontId="8" fillId="8" borderId="188" xfId="3" applyFont="1" applyFill="1" applyBorder="1" applyAlignment="1">
      <alignment horizontal="center" vertical="center" wrapText="1"/>
    </xf>
    <xf numFmtId="0" fontId="8" fillId="8" borderId="189" xfId="3" applyFont="1" applyFill="1" applyBorder="1" applyAlignment="1">
      <alignment horizontal="center" vertical="center" wrapText="1"/>
    </xf>
    <xf numFmtId="0" fontId="8" fillId="8" borderId="190" xfId="3" applyFont="1" applyFill="1" applyBorder="1" applyAlignment="1">
      <alignment horizontal="center" vertical="center" wrapText="1"/>
    </xf>
    <xf numFmtId="0" fontId="8" fillId="8" borderId="191" xfId="3" applyFont="1" applyFill="1" applyBorder="1" applyAlignment="1">
      <alignment horizontal="center" vertical="center" wrapText="1"/>
    </xf>
    <xf numFmtId="0" fontId="8" fillId="8" borderId="10" xfId="3" applyFont="1" applyFill="1" applyBorder="1" applyAlignment="1">
      <alignment horizontal="center" vertical="center" wrapText="1"/>
    </xf>
    <xf numFmtId="0" fontId="8" fillId="8" borderId="92" xfId="3" applyFont="1" applyFill="1" applyBorder="1" applyAlignment="1">
      <alignment horizontal="center" vertical="center" wrapText="1"/>
    </xf>
    <xf numFmtId="0" fontId="8" fillId="8" borderId="71" xfId="3" applyFont="1" applyFill="1" applyBorder="1" applyAlignment="1">
      <alignment horizontal="center" vertical="center" wrapText="1"/>
    </xf>
    <xf numFmtId="0" fontId="8" fillId="8" borderId="8" xfId="3" applyFont="1" applyFill="1" applyBorder="1" applyAlignment="1">
      <alignment horizontal="center" vertical="center" wrapText="1"/>
    </xf>
    <xf numFmtId="0" fontId="8" fillId="8" borderId="29" xfId="3" applyFont="1" applyFill="1" applyBorder="1" applyAlignment="1">
      <alignment horizontal="center" vertical="center" wrapText="1"/>
    </xf>
    <xf numFmtId="0" fontId="8" fillId="8" borderId="66" xfId="3" applyFont="1" applyFill="1" applyBorder="1" applyAlignment="1">
      <alignment horizontal="center" vertical="center" wrapText="1"/>
    </xf>
    <xf numFmtId="0" fontId="8" fillId="8" borderId="30" xfId="3" applyFont="1" applyFill="1" applyBorder="1" applyAlignment="1">
      <alignment horizontal="center" vertical="center" wrapText="1"/>
    </xf>
    <xf numFmtId="0" fontId="8" fillId="8" borderId="93" xfId="3" applyFont="1" applyFill="1" applyBorder="1" applyAlignment="1">
      <alignment horizontal="center" vertical="center" wrapText="1"/>
    </xf>
    <xf numFmtId="0" fontId="8" fillId="8" borderId="41" xfId="3" applyFont="1" applyFill="1" applyBorder="1" applyAlignment="1">
      <alignment horizontal="center" vertical="center" wrapText="1"/>
    </xf>
    <xf numFmtId="0" fontId="8" fillId="8" borderId="42" xfId="3" applyFont="1" applyFill="1" applyBorder="1" applyAlignment="1">
      <alignment horizontal="center" vertical="center" wrapText="1"/>
    </xf>
    <xf numFmtId="0" fontId="8" fillId="8" borderId="196" xfId="3" applyFont="1" applyFill="1" applyBorder="1" applyAlignment="1">
      <alignment horizontal="center" vertical="center" wrapText="1"/>
    </xf>
    <xf numFmtId="0" fontId="8" fillId="8" borderId="11" xfId="3" applyFont="1" applyFill="1" applyBorder="1" applyAlignment="1">
      <alignment horizontal="center" vertical="center" wrapText="1"/>
    </xf>
    <xf numFmtId="0" fontId="8" fillId="8" borderId="151" xfId="3" applyFont="1" applyFill="1" applyBorder="1" applyAlignment="1">
      <alignment horizontal="center" vertical="center" wrapText="1"/>
    </xf>
    <xf numFmtId="0" fontId="11" fillId="5" borderId="1" xfId="3" applyFont="1" applyFill="1" applyBorder="1" applyAlignment="1">
      <alignment horizontal="left" vertical="center" wrapText="1"/>
    </xf>
    <xf numFmtId="0" fontId="0" fillId="5" borderId="0" xfId="0" applyFill="1"/>
    <xf numFmtId="0" fontId="11" fillId="5" borderId="1" xfId="3" applyFont="1" applyFill="1" applyBorder="1" applyAlignment="1">
      <alignment horizontal="center" vertical="center" wrapText="1"/>
    </xf>
    <xf numFmtId="0" fontId="11" fillId="5" borderId="49" xfId="3" applyFont="1" applyFill="1" applyBorder="1" applyAlignment="1">
      <alignment horizontal="center" vertical="center" wrapText="1"/>
    </xf>
    <xf numFmtId="0" fontId="11" fillId="0" borderId="36" xfId="3" applyFont="1" applyBorder="1" applyAlignment="1">
      <alignment horizontal="left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279" xfId="0" applyFont="1" applyBorder="1" applyAlignment="1">
      <alignment horizontal="center" vertical="center" wrapText="1"/>
    </xf>
    <xf numFmtId="0" fontId="31" fillId="0" borderId="304" xfId="0" applyFont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0" borderId="305" xfId="0" applyFont="1" applyBorder="1" applyAlignment="1">
      <alignment horizontal="center" vertical="center"/>
    </xf>
    <xf numFmtId="0" fontId="31" fillId="0" borderId="306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307" xfId="0" applyFont="1" applyBorder="1" applyAlignment="1">
      <alignment horizontal="center" vertical="center"/>
    </xf>
    <xf numFmtId="0" fontId="31" fillId="0" borderId="308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309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/>
    </xf>
    <xf numFmtId="0" fontId="30" fillId="10" borderId="0" xfId="0" applyFont="1" applyFill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2" xfId="0" applyFont="1" applyBorder="1" applyAlignment="1">
      <alignment horizontal="center" vertical="center"/>
    </xf>
    <xf numFmtId="0" fontId="38" fillId="0" borderId="45" xfId="0" applyFont="1" applyBorder="1" applyAlignment="1">
      <alignment horizontal="center" vertical="center"/>
    </xf>
    <xf numFmtId="0" fontId="38" fillId="0" borderId="53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30" fillId="10" borderId="35" xfId="0" applyFont="1" applyFill="1" applyBorder="1" applyAlignment="1">
      <alignment horizontal="center" vertical="center"/>
    </xf>
    <xf numFmtId="0" fontId="30" fillId="10" borderId="0" xfId="0" applyFont="1" applyFill="1"/>
    <xf numFmtId="168" fontId="30" fillId="0" borderId="232" xfId="0" applyNumberFormat="1" applyFont="1" applyBorder="1" applyAlignment="1">
      <alignment horizontal="center" vertical="center"/>
    </xf>
    <xf numFmtId="0" fontId="30" fillId="0" borderId="86" xfId="0" applyFont="1" applyBorder="1" applyAlignment="1">
      <alignment horizontal="center" vertical="center"/>
    </xf>
    <xf numFmtId="0" fontId="30" fillId="0" borderId="22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235" xfId="0" applyFont="1" applyBorder="1" applyAlignment="1">
      <alignment horizontal="center" vertical="center"/>
    </xf>
    <xf numFmtId="49" fontId="30" fillId="0" borderId="5" xfId="0" applyNumberFormat="1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02" xfId="0" applyFont="1" applyBorder="1" applyAlignment="1">
      <alignment horizontal="center" vertical="center"/>
    </xf>
    <xf numFmtId="0" fontId="30" fillId="0" borderId="303" xfId="0" applyFont="1" applyBorder="1" applyAlignment="1">
      <alignment horizontal="center" vertical="center"/>
    </xf>
    <xf numFmtId="0" fontId="30" fillId="0" borderId="299" xfId="0" applyFont="1" applyBorder="1" applyAlignment="1">
      <alignment horizontal="center" vertical="center"/>
    </xf>
    <xf numFmtId="0" fontId="30" fillId="0" borderId="312" xfId="0" applyFont="1" applyBorder="1" applyAlignment="1">
      <alignment horizontal="center" vertical="center"/>
    </xf>
    <xf numFmtId="0" fontId="30" fillId="0" borderId="313" xfId="0" applyFont="1" applyBorder="1" applyAlignment="1">
      <alignment horizontal="center" vertical="center"/>
    </xf>
    <xf numFmtId="0" fontId="30" fillId="0" borderId="314" xfId="0" applyFont="1" applyBorder="1" applyAlignment="1">
      <alignment horizontal="center" vertical="center"/>
    </xf>
    <xf numFmtId="0" fontId="30" fillId="0" borderId="315" xfId="0" applyFont="1" applyBorder="1" applyAlignment="1">
      <alignment horizontal="center" vertical="center"/>
    </xf>
    <xf numFmtId="0" fontId="30" fillId="0" borderId="316" xfId="0" applyFont="1" applyBorder="1" applyAlignment="1">
      <alignment horizontal="center" vertical="center"/>
    </xf>
    <xf numFmtId="0" fontId="30" fillId="0" borderId="317" xfId="0" applyFont="1" applyBorder="1" applyAlignment="1">
      <alignment horizontal="center" vertical="center"/>
    </xf>
    <xf numFmtId="0" fontId="30" fillId="0" borderId="318" xfId="0" applyFont="1" applyBorder="1" applyAlignment="1">
      <alignment horizontal="center" vertical="center"/>
    </xf>
    <xf numFmtId="0" fontId="39" fillId="0" borderId="314" xfId="0" applyFont="1" applyBorder="1" applyAlignment="1">
      <alignment horizontal="center" vertical="center"/>
    </xf>
    <xf numFmtId="0" fontId="39" fillId="0" borderId="319" xfId="0" applyFont="1" applyBorder="1" applyAlignment="1">
      <alignment horizontal="center" vertical="center"/>
    </xf>
    <xf numFmtId="0" fontId="39" fillId="0" borderId="312" xfId="0" applyFon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31" fillId="0" borderId="166" xfId="0" applyFont="1" applyBorder="1" applyAlignment="1">
      <alignment horizontal="center" vertical="center"/>
    </xf>
    <xf numFmtId="0" fontId="31" fillId="0" borderId="301" xfId="0" applyFont="1" applyBorder="1" applyAlignment="1">
      <alignment horizontal="center" vertical="center"/>
    </xf>
    <xf numFmtId="0" fontId="31" fillId="0" borderId="320" xfId="0" applyFont="1" applyBorder="1" applyAlignment="1">
      <alignment horizontal="center" vertical="center"/>
    </xf>
    <xf numFmtId="0" fontId="30" fillId="13" borderId="229" xfId="0" applyFont="1" applyFill="1" applyBorder="1" applyAlignment="1">
      <alignment horizontal="center" vertical="center"/>
    </xf>
    <xf numFmtId="0" fontId="17" fillId="4" borderId="16" xfId="3" applyFont="1" applyFill="1" applyBorder="1" applyAlignment="1">
      <alignment horizontal="center" vertical="center"/>
    </xf>
    <xf numFmtId="0" fontId="17" fillId="4" borderId="17" xfId="3" applyFont="1" applyFill="1" applyBorder="1" applyAlignment="1">
      <alignment horizontal="center" vertical="center"/>
    </xf>
    <xf numFmtId="0" fontId="17" fillId="4" borderId="13" xfId="3" applyFont="1" applyFill="1" applyBorder="1" applyAlignment="1">
      <alignment horizontal="center" vertical="center"/>
    </xf>
    <xf numFmtId="0" fontId="17" fillId="4" borderId="14" xfId="3" applyFont="1" applyFill="1" applyBorder="1" applyAlignment="1">
      <alignment horizontal="center" vertical="center"/>
    </xf>
    <xf numFmtId="0" fontId="8" fillId="0" borderId="68" xfId="3" applyFont="1" applyBorder="1" applyAlignment="1">
      <alignment horizontal="center" vertical="center" wrapText="1"/>
    </xf>
    <xf numFmtId="0" fontId="0" fillId="0" borderId="321" xfId="0" applyBorder="1" applyAlignment="1">
      <alignment horizontal="center" vertical="center"/>
    </xf>
    <xf numFmtId="0" fontId="41" fillId="0" borderId="0" xfId="3" applyFont="1" applyAlignment="1">
      <alignment horizontal="center" vertical="center" wrapText="1"/>
    </xf>
    <xf numFmtId="0" fontId="28" fillId="10" borderId="0" xfId="3" applyFont="1" applyFill="1" applyAlignment="1">
      <alignment horizontal="center" vertical="center" wrapText="1"/>
    </xf>
    <xf numFmtId="0" fontId="25" fillId="6" borderId="0" xfId="0" applyFont="1" applyFill="1" applyAlignment="1">
      <alignment horizontal="left" vertical="center" wrapText="1"/>
    </xf>
    <xf numFmtId="0" fontId="11" fillId="8" borderId="16" xfId="3" applyFont="1" applyFill="1" applyBorder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11" fillId="8" borderId="0" xfId="3" applyFont="1" applyFill="1" applyAlignment="1">
      <alignment horizontal="center" vertical="center" wrapText="1"/>
    </xf>
    <xf numFmtId="0" fontId="11" fillId="0" borderId="13" xfId="3" applyFont="1" applyBorder="1" applyAlignment="1">
      <alignment horizontal="center" vertical="center" wrapText="1"/>
    </xf>
    <xf numFmtId="0" fontId="11" fillId="0" borderId="16" xfId="3" applyFont="1" applyBorder="1" applyAlignment="1">
      <alignment horizontal="center" vertical="center" wrapText="1"/>
    </xf>
    <xf numFmtId="0" fontId="11" fillId="8" borderId="13" xfId="3" applyFont="1" applyFill="1" applyBorder="1" applyAlignment="1">
      <alignment horizontal="center" vertical="center" wrapText="1"/>
    </xf>
    <xf numFmtId="0" fontId="11" fillId="0" borderId="70" xfId="3" applyFont="1" applyBorder="1" applyAlignment="1">
      <alignment horizontal="center" vertical="center" wrapText="1"/>
    </xf>
    <xf numFmtId="0" fontId="11" fillId="8" borderId="70" xfId="3" applyFont="1" applyFill="1" applyBorder="1" applyAlignment="1">
      <alignment horizontal="center" vertical="center" wrapText="1"/>
    </xf>
    <xf numFmtId="0" fontId="11" fillId="0" borderId="78" xfId="3" applyFont="1" applyBorder="1" applyAlignment="1">
      <alignment horizontal="center" vertical="center" wrapText="1"/>
    </xf>
    <xf numFmtId="0" fontId="11" fillId="5" borderId="70" xfId="3" applyFont="1" applyFill="1" applyBorder="1" applyAlignment="1">
      <alignment horizontal="center" vertical="center" wrapText="1"/>
    </xf>
    <xf numFmtId="0" fontId="11" fillId="0" borderId="77" xfId="3" applyFont="1" applyBorder="1" applyAlignment="1">
      <alignment horizontal="center" vertical="center" wrapText="1"/>
    </xf>
    <xf numFmtId="0" fontId="11" fillId="8" borderId="78" xfId="3" applyFont="1" applyFill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8" fillId="8" borderId="78" xfId="3" applyFont="1" applyFill="1" applyBorder="1" applyAlignment="1">
      <alignment horizontal="center" vertical="center" wrapText="1"/>
    </xf>
    <xf numFmtId="0" fontId="8" fillId="0" borderId="77" xfId="3" applyFont="1" applyBorder="1" applyAlignment="1">
      <alignment horizontal="center" vertical="center" wrapText="1"/>
    </xf>
    <xf numFmtId="0" fontId="8" fillId="8" borderId="70" xfId="3" applyFont="1" applyFill="1" applyBorder="1" applyAlignment="1">
      <alignment horizontal="center" vertical="center" wrapText="1"/>
    </xf>
    <xf numFmtId="0" fontId="8" fillId="0" borderId="78" xfId="3" applyFont="1" applyBorder="1" applyAlignment="1">
      <alignment horizontal="center" vertical="center" wrapText="1"/>
    </xf>
    <xf numFmtId="0" fontId="8" fillId="0" borderId="70" xfId="3" applyFont="1" applyBorder="1" applyAlignment="1">
      <alignment horizontal="center" vertical="center" wrapText="1"/>
    </xf>
    <xf numFmtId="0" fontId="8" fillId="8" borderId="77" xfId="3" applyFont="1" applyFill="1" applyBorder="1" applyAlignment="1">
      <alignment horizontal="center" vertical="center" wrapText="1"/>
    </xf>
    <xf numFmtId="0" fontId="8" fillId="0" borderId="322" xfId="3" applyFont="1" applyBorder="1" applyAlignment="1">
      <alignment horizontal="center" vertical="center" wrapText="1"/>
    </xf>
    <xf numFmtId="0" fontId="8" fillId="8" borderId="9" xfId="3" applyFont="1" applyFill="1" applyBorder="1" applyAlignment="1">
      <alignment horizontal="center" vertical="center" wrapText="1"/>
    </xf>
    <xf numFmtId="0" fontId="8" fillId="5" borderId="77" xfId="3" applyFont="1" applyFill="1" applyBorder="1" applyAlignment="1">
      <alignment horizontal="center" vertical="center" wrapText="1"/>
    </xf>
    <xf numFmtId="0" fontId="8" fillId="5" borderId="78" xfId="3" applyFont="1" applyFill="1" applyBorder="1" applyAlignment="1">
      <alignment horizontal="center" vertical="center" wrapText="1"/>
    </xf>
    <xf numFmtId="0" fontId="38" fillId="0" borderId="323" xfId="0" applyFont="1" applyBorder="1" applyAlignment="1">
      <alignment horizontal="center" vertical="center"/>
    </xf>
    <xf numFmtId="0" fontId="38" fillId="0" borderId="324" xfId="0" applyFont="1" applyBorder="1" applyAlignment="1">
      <alignment horizontal="center" vertical="center"/>
    </xf>
    <xf numFmtId="0" fontId="38" fillId="0" borderId="325" xfId="0" applyFont="1" applyBorder="1" applyAlignment="1">
      <alignment horizontal="center" vertical="center"/>
    </xf>
    <xf numFmtId="0" fontId="38" fillId="0" borderId="3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326" xfId="0" quotePrefix="1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7" fillId="7" borderId="23" xfId="3" applyFont="1" applyFill="1" applyBorder="1" applyAlignment="1">
      <alignment horizontal="center" vertical="center" wrapText="1"/>
    </xf>
    <xf numFmtId="0" fontId="7" fillId="7" borderId="140" xfId="3" applyFont="1" applyFill="1" applyBorder="1" applyAlignment="1">
      <alignment horizontal="center" vertical="center" wrapText="1"/>
    </xf>
    <xf numFmtId="0" fontId="7" fillId="7" borderId="68" xfId="3" applyFont="1" applyFill="1" applyBorder="1" applyAlignment="1">
      <alignment horizontal="center" vertical="center" wrapText="1"/>
    </xf>
    <xf numFmtId="0" fontId="40" fillId="0" borderId="0" xfId="3" applyFont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20" fontId="22" fillId="7" borderId="71" xfId="0" applyNumberFormat="1" applyFont="1" applyFill="1" applyBorder="1" applyAlignment="1">
      <alignment horizontal="center" vertical="center"/>
    </xf>
    <xf numFmtId="167" fontId="22" fillId="7" borderId="8" xfId="0" applyNumberFormat="1" applyFont="1" applyFill="1" applyBorder="1" applyAlignment="1">
      <alignment horizontal="center" vertical="center"/>
    </xf>
    <xf numFmtId="16" fontId="22" fillId="7" borderId="328" xfId="0" applyNumberFormat="1" applyFont="1" applyFill="1" applyBorder="1" applyAlignment="1">
      <alignment vertical="center"/>
    </xf>
    <xf numFmtId="16" fontId="22" fillId="7" borderId="295" xfId="0" applyNumberFormat="1" applyFont="1" applyFill="1" applyBorder="1" applyAlignment="1">
      <alignment vertical="center"/>
    </xf>
    <xf numFmtId="16" fontId="22" fillId="7" borderId="329" xfId="0" applyNumberFormat="1" applyFont="1" applyFill="1" applyBorder="1" applyAlignment="1">
      <alignment horizontal="center" vertical="center"/>
    </xf>
    <xf numFmtId="16" fontId="22" fillId="7" borderId="330" xfId="0" applyNumberFormat="1" applyFont="1" applyFill="1" applyBorder="1" applyAlignment="1">
      <alignment horizontal="center" vertical="center"/>
    </xf>
    <xf numFmtId="16" fontId="22" fillId="7" borderId="331" xfId="0" applyNumberFormat="1" applyFont="1" applyFill="1" applyBorder="1" applyAlignment="1">
      <alignment horizontal="center" vertical="center"/>
    </xf>
    <xf numFmtId="16" fontId="22" fillId="7" borderId="332" xfId="0" applyNumberFormat="1" applyFont="1" applyFill="1" applyBorder="1" applyAlignment="1">
      <alignment horizontal="center" vertical="center"/>
    </xf>
    <xf numFmtId="16" fontId="22" fillId="7" borderId="333" xfId="0" applyNumberFormat="1" applyFont="1" applyFill="1" applyBorder="1" applyAlignment="1">
      <alignment vertical="center"/>
    </xf>
    <xf numFmtId="16" fontId="22" fillId="7" borderId="329" xfId="0" applyNumberFormat="1" applyFont="1" applyFill="1" applyBorder="1" applyAlignment="1">
      <alignment vertical="center"/>
    </xf>
    <xf numFmtId="16" fontId="22" fillId="7" borderId="331" xfId="0" applyNumberFormat="1" applyFont="1" applyFill="1" applyBorder="1" applyAlignment="1">
      <alignment vertical="center"/>
    </xf>
    <xf numFmtId="0" fontId="38" fillId="0" borderId="334" xfId="0" applyFont="1" applyBorder="1" applyAlignment="1">
      <alignment horizontal="center" vertical="center"/>
    </xf>
    <xf numFmtId="0" fontId="38" fillId="0" borderId="335" xfId="0" applyFont="1" applyBorder="1" applyAlignment="1">
      <alignment horizontal="center" vertical="center"/>
    </xf>
    <xf numFmtId="0" fontId="38" fillId="0" borderId="334" xfId="0" quotePrefix="1" applyFont="1" applyBorder="1" applyAlignment="1">
      <alignment horizontal="center" vertical="center"/>
    </xf>
    <xf numFmtId="0" fontId="38" fillId="0" borderId="336" xfId="0" applyFont="1" applyBorder="1" applyAlignment="1">
      <alignment horizontal="center" vertical="center"/>
    </xf>
    <xf numFmtId="0" fontId="38" fillId="0" borderId="337" xfId="0" applyFont="1" applyBorder="1" applyAlignment="1">
      <alignment horizontal="center" vertical="center"/>
    </xf>
    <xf numFmtId="0" fontId="38" fillId="0" borderId="336" xfId="0" quotePrefix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8" fillId="6" borderId="0" xfId="0" applyFont="1" applyFill="1" applyAlignment="1">
      <alignment horizontal="left" vertical="center" wrapText="1"/>
    </xf>
    <xf numFmtId="16" fontId="18" fillId="7" borderId="134" xfId="0" applyNumberFormat="1" applyFont="1" applyFill="1" applyBorder="1" applyAlignment="1">
      <alignment horizontal="center" vertical="center"/>
    </xf>
    <xf numFmtId="20" fontId="18" fillId="7" borderId="338" xfId="0" applyNumberFormat="1" applyFont="1" applyFill="1" applyBorder="1" applyAlignment="1">
      <alignment horizontal="center" vertical="center"/>
    </xf>
    <xf numFmtId="167" fontId="18" fillId="11" borderId="4" xfId="0" applyNumberFormat="1" applyFont="1" applyFill="1" applyBorder="1" applyAlignment="1">
      <alignment horizontal="center" vertical="center"/>
    </xf>
    <xf numFmtId="20" fontId="18" fillId="7" borderId="339" xfId="0" applyNumberFormat="1" applyFont="1" applyFill="1" applyBorder="1" applyAlignment="1">
      <alignment horizontal="center" vertical="center"/>
    </xf>
    <xf numFmtId="167" fontId="18" fillId="11" borderId="18" xfId="0" applyNumberFormat="1" applyFont="1" applyFill="1" applyBorder="1" applyAlignment="1">
      <alignment horizontal="center" vertical="center"/>
    </xf>
    <xf numFmtId="0" fontId="31" fillId="0" borderId="340" xfId="0" applyFont="1" applyBorder="1" applyAlignment="1">
      <alignment horizontal="center" vertical="center"/>
    </xf>
    <xf numFmtId="0" fontId="31" fillId="0" borderId="341" xfId="0" applyFont="1" applyBorder="1" applyAlignment="1">
      <alignment horizontal="center" vertical="center"/>
    </xf>
    <xf numFmtId="0" fontId="31" fillId="0" borderId="342" xfId="0" applyFont="1" applyBorder="1" applyAlignment="1">
      <alignment horizontal="center" vertical="center"/>
    </xf>
    <xf numFmtId="0" fontId="31" fillId="0" borderId="343" xfId="0" applyFont="1" applyBorder="1" applyAlignment="1">
      <alignment horizontal="center" vertical="center"/>
    </xf>
    <xf numFmtId="0" fontId="31" fillId="0" borderId="140" xfId="0" applyFont="1" applyBorder="1" applyAlignment="1">
      <alignment horizontal="center" vertical="center"/>
    </xf>
    <xf numFmtId="1" fontId="31" fillId="0" borderId="341" xfId="0" applyNumberFormat="1" applyFont="1" applyBorder="1" applyAlignment="1">
      <alignment horizontal="center" vertical="center"/>
    </xf>
    <xf numFmtId="0" fontId="27" fillId="0" borderId="343" xfId="0" applyFont="1" applyBorder="1" applyAlignment="1">
      <alignment horizontal="center" vertical="center"/>
    </xf>
    <xf numFmtId="0" fontId="27" fillId="0" borderId="197" xfId="0" applyFont="1" applyBorder="1" applyAlignment="1">
      <alignment horizontal="center" vertical="center"/>
    </xf>
    <xf numFmtId="0" fontId="32" fillId="0" borderId="17" xfId="0" applyFont="1" applyBorder="1" applyAlignment="1">
      <alignment vertical="center" wrapText="1"/>
    </xf>
    <xf numFmtId="0" fontId="32" fillId="0" borderId="51" xfId="0" applyFont="1" applyBorder="1" applyAlignment="1">
      <alignment vertical="center" wrapText="1"/>
    </xf>
    <xf numFmtId="0" fontId="32" fillId="0" borderId="14" xfId="0" applyFont="1" applyBorder="1" applyAlignment="1">
      <alignment vertical="center" wrapText="1"/>
    </xf>
    <xf numFmtId="0" fontId="32" fillId="0" borderId="23" xfId="0" applyFont="1" applyBorder="1" applyAlignment="1">
      <alignment vertical="center" wrapText="1"/>
    </xf>
    <xf numFmtId="0" fontId="32" fillId="0" borderId="140" xfId="0" applyFont="1" applyBorder="1" applyAlignment="1">
      <alignment vertical="center" wrapText="1"/>
    </xf>
    <xf numFmtId="0" fontId="32" fillId="0" borderId="68" xfId="0" applyFont="1" applyBorder="1" applyAlignment="1">
      <alignment vertical="center" wrapText="1"/>
    </xf>
    <xf numFmtId="0" fontId="27" fillId="0" borderId="34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6" fontId="18" fillId="7" borderId="4" xfId="0" applyNumberFormat="1" applyFont="1" applyFill="1" applyBorder="1"/>
    <xf numFmtId="0" fontId="29" fillId="6" borderId="0" xfId="0" applyFont="1" applyFill="1" applyAlignment="1">
      <alignment horizontal="left" vertical="center" wrapText="1"/>
    </xf>
    <xf numFmtId="0" fontId="31" fillId="0" borderId="324" xfId="0" applyFont="1" applyBorder="1" applyAlignment="1">
      <alignment horizontal="center" vertical="center"/>
    </xf>
    <xf numFmtId="49" fontId="31" fillId="0" borderId="335" xfId="0" applyNumberFormat="1" applyFont="1" applyBorder="1" applyAlignment="1">
      <alignment horizontal="center" vertical="center"/>
    </xf>
    <xf numFmtId="0" fontId="31" fillId="0" borderId="323" xfId="0" applyFont="1" applyBorder="1" applyAlignment="1">
      <alignment horizontal="center" vertical="center"/>
    </xf>
    <xf numFmtId="0" fontId="31" fillId="0" borderId="345" xfId="0" applyFont="1" applyBorder="1" applyAlignment="1">
      <alignment horizontal="center" vertical="center"/>
    </xf>
    <xf numFmtId="0" fontId="31" fillId="0" borderId="334" xfId="0" applyFont="1" applyBorder="1" applyAlignment="1">
      <alignment horizontal="center" vertical="center"/>
    </xf>
    <xf numFmtId="0" fontId="31" fillId="0" borderId="335" xfId="0" applyFont="1" applyBorder="1" applyAlignment="1">
      <alignment horizontal="center" vertical="center"/>
    </xf>
    <xf numFmtId="9" fontId="31" fillId="0" borderId="323" xfId="11088" applyFont="1" applyBorder="1" applyAlignment="1">
      <alignment horizontal="center" vertical="center"/>
    </xf>
    <xf numFmtId="9" fontId="31" fillId="0" borderId="324" xfId="11088" applyFont="1" applyBorder="1" applyAlignment="1">
      <alignment horizontal="center" vertical="center"/>
    </xf>
    <xf numFmtId="9" fontId="31" fillId="0" borderId="334" xfId="0" applyNumberFormat="1" applyFont="1" applyBorder="1" applyAlignment="1">
      <alignment horizontal="center" vertical="center"/>
    </xf>
    <xf numFmtId="0" fontId="27" fillId="0" borderId="323" xfId="0" applyFont="1" applyBorder="1" applyAlignment="1">
      <alignment horizontal="center"/>
    </xf>
    <xf numFmtId="0" fontId="27" fillId="0" borderId="335" xfId="0" applyFont="1" applyBorder="1" applyAlignment="1">
      <alignment horizontal="center"/>
    </xf>
    <xf numFmtId="0" fontId="31" fillId="0" borderId="68" xfId="0" applyFont="1" applyBorder="1" applyAlignment="1">
      <alignment horizontal="center" vertical="center"/>
    </xf>
    <xf numFmtId="0" fontId="7" fillId="7" borderId="184" xfId="3" applyFont="1" applyFill="1" applyBorder="1" applyAlignment="1">
      <alignment horizontal="center" vertical="center" wrapText="1"/>
    </xf>
    <xf numFmtId="0" fontId="7" fillId="7" borderId="147" xfId="3" applyFont="1" applyFill="1" applyBorder="1" applyAlignment="1">
      <alignment vertical="center" wrapText="1"/>
    </xf>
    <xf numFmtId="166" fontId="8" fillId="11" borderId="167" xfId="3" applyNumberFormat="1" applyFont="1" applyFill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184" xfId="3" applyFont="1" applyBorder="1" applyAlignment="1">
      <alignment horizontal="center" vertical="center" wrapText="1"/>
    </xf>
    <xf numFmtId="0" fontId="8" fillId="0" borderId="54" xfId="3" applyFont="1" applyBorder="1" applyAlignment="1">
      <alignment horizontal="center" vertical="center" wrapText="1"/>
    </xf>
    <xf numFmtId="0" fontId="8" fillId="5" borderId="7" xfId="3" applyFont="1" applyFill="1" applyBorder="1" applyAlignment="1">
      <alignment horizontal="center" vertical="center" wrapText="1"/>
    </xf>
    <xf numFmtId="0" fontId="8" fillId="8" borderId="7" xfId="3" applyFont="1" applyFill="1" applyBorder="1" applyAlignment="1">
      <alignment horizontal="center" vertical="center" wrapText="1"/>
    </xf>
    <xf numFmtId="0" fontId="8" fillId="5" borderId="54" xfId="3" applyFont="1" applyFill="1" applyBorder="1" applyAlignment="1">
      <alignment horizontal="center" vertical="center" wrapText="1"/>
    </xf>
    <xf numFmtId="0" fontId="8" fillId="5" borderId="70" xfId="3" applyFont="1" applyFill="1" applyBorder="1" applyAlignment="1">
      <alignment horizontal="center" vertical="center" wrapText="1"/>
    </xf>
    <xf numFmtId="0" fontId="8" fillId="8" borderId="54" xfId="3" applyFont="1" applyFill="1" applyBorder="1" applyAlignment="1">
      <alignment horizontal="center" vertical="center" wrapText="1"/>
    </xf>
    <xf numFmtId="0" fontId="8" fillId="0" borderId="102" xfId="3" applyFont="1" applyBorder="1" applyAlignment="1">
      <alignment horizontal="center" vertical="center" wrapText="1"/>
    </xf>
    <xf numFmtId="0" fontId="8" fillId="8" borderId="102" xfId="3" applyFont="1" applyFill="1" applyBorder="1" applyAlignment="1">
      <alignment horizontal="center" vertical="center" wrapText="1"/>
    </xf>
    <xf numFmtId="0" fontId="8" fillId="8" borderId="142" xfId="3" applyFont="1" applyFill="1" applyBorder="1" applyAlignment="1">
      <alignment horizontal="center" vertical="center" wrapText="1"/>
    </xf>
    <xf numFmtId="0" fontId="8" fillId="8" borderId="140" xfId="3" applyFont="1" applyFill="1" applyBorder="1" applyAlignment="1">
      <alignment horizontal="center" vertical="center" wrapText="1"/>
    </xf>
    <xf numFmtId="0" fontId="8" fillId="0" borderId="140" xfId="3" applyFont="1" applyBorder="1" applyAlignment="1">
      <alignment horizontal="center" vertical="center" wrapText="1"/>
    </xf>
    <xf numFmtId="0" fontId="8" fillId="8" borderId="68" xfId="3" applyFont="1" applyFill="1" applyBorder="1" applyAlignment="1">
      <alignment horizontal="center" vertical="center" wrapText="1"/>
    </xf>
    <xf numFmtId="0" fontId="8" fillId="8" borderId="23" xfId="3" applyFont="1" applyFill="1" applyBorder="1" applyAlignment="1">
      <alignment horizontal="center" vertical="center" wrapText="1"/>
    </xf>
    <xf numFmtId="0" fontId="8" fillId="5" borderId="140" xfId="3" applyFont="1" applyFill="1" applyBorder="1" applyAlignment="1">
      <alignment horizontal="center" vertical="center" wrapText="1"/>
    </xf>
    <xf numFmtId="0" fontId="8" fillId="5" borderId="23" xfId="3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11" fillId="8" borderId="111" xfId="3" applyFont="1" applyFill="1" applyBorder="1" applyAlignment="1">
      <alignment horizontal="center" vertical="center" wrapText="1"/>
    </xf>
    <xf numFmtId="0" fontId="17" fillId="4" borderId="51" xfId="3" applyFont="1" applyFill="1" applyBorder="1" applyAlignment="1">
      <alignment horizontal="center" vertical="center"/>
    </xf>
    <xf numFmtId="0" fontId="31" fillId="0" borderId="346" xfId="0" applyFont="1" applyBorder="1" applyAlignment="1">
      <alignment horizontal="center" vertical="center"/>
    </xf>
    <xf numFmtId="0" fontId="31" fillId="0" borderId="347" xfId="0" applyFont="1" applyBorder="1" applyAlignment="1">
      <alignment horizontal="center" vertical="center"/>
    </xf>
    <xf numFmtId="0" fontId="31" fillId="0" borderId="348" xfId="0" applyFont="1" applyBorder="1" applyAlignment="1">
      <alignment horizontal="center" vertical="center"/>
    </xf>
    <xf numFmtId="0" fontId="31" fillId="0" borderId="349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0" borderId="350" xfId="0" applyFont="1" applyBorder="1" applyAlignment="1">
      <alignment horizontal="center" vertical="center"/>
    </xf>
    <xf numFmtId="0" fontId="31" fillId="0" borderId="351" xfId="0" applyFont="1" applyBorder="1" applyAlignment="1">
      <alignment horizontal="center" vertical="center"/>
    </xf>
    <xf numFmtId="0" fontId="31" fillId="0" borderId="352" xfId="0" applyFont="1" applyBorder="1" applyAlignment="1">
      <alignment horizontal="center" vertical="center"/>
    </xf>
    <xf numFmtId="0" fontId="31" fillId="0" borderId="353" xfId="0" applyFont="1" applyBorder="1" applyAlignment="1">
      <alignment horizontal="center" vertical="center"/>
    </xf>
    <xf numFmtId="0" fontId="11" fillId="8" borderId="23" xfId="3" applyFont="1" applyFill="1" applyBorder="1" applyAlignment="1">
      <alignment horizontal="center" vertical="center" wrapText="1"/>
    </xf>
    <xf numFmtId="0" fontId="11" fillId="0" borderId="140" xfId="3" applyFont="1" applyBorder="1" applyAlignment="1">
      <alignment horizontal="center" vertical="center" wrapText="1"/>
    </xf>
    <xf numFmtId="0" fontId="11" fillId="8" borderId="140" xfId="3" applyFont="1" applyFill="1" applyBorder="1" applyAlignment="1">
      <alignment horizontal="center" vertical="center" wrapText="1"/>
    </xf>
    <xf numFmtId="0" fontId="11" fillId="8" borderId="68" xfId="3" applyFont="1" applyFill="1" applyBorder="1" applyAlignment="1">
      <alignment horizontal="center" vertical="center" wrapText="1"/>
    </xf>
    <xf numFmtId="0" fontId="11" fillId="0" borderId="68" xfId="3" applyFont="1" applyBorder="1" applyAlignment="1">
      <alignment horizontal="center" vertical="center" wrapText="1"/>
    </xf>
    <xf numFmtId="0" fontId="11" fillId="0" borderId="23" xfId="3" applyFont="1" applyBorder="1" applyAlignment="1">
      <alignment horizontal="center" vertical="center" wrapText="1"/>
    </xf>
    <xf numFmtId="0" fontId="30" fillId="0" borderId="355" xfId="0" applyFont="1" applyBorder="1" applyAlignment="1">
      <alignment horizontal="center" vertical="center"/>
    </xf>
    <xf numFmtId="0" fontId="27" fillId="0" borderId="356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 wrapText="1"/>
    </xf>
    <xf numFmtId="0" fontId="30" fillId="0" borderId="279" xfId="0" applyFont="1" applyBorder="1" applyAlignment="1">
      <alignment horizontal="center" vertical="center" wrapText="1"/>
    </xf>
    <xf numFmtId="16" fontId="18" fillId="7" borderId="357" xfId="0" applyNumberFormat="1" applyFont="1" applyFill="1" applyBorder="1" applyAlignment="1">
      <alignment horizontal="center" vertical="center"/>
    </xf>
    <xf numFmtId="16" fontId="18" fillId="7" borderId="358" xfId="0" applyNumberFormat="1" applyFont="1" applyFill="1" applyBorder="1" applyAlignment="1">
      <alignment horizontal="center" vertical="center"/>
    </xf>
    <xf numFmtId="20" fontId="18" fillId="7" borderId="349" xfId="0" applyNumberFormat="1" applyFont="1" applyFill="1" applyBorder="1" applyAlignment="1">
      <alignment horizontal="center" vertical="center"/>
    </xf>
    <xf numFmtId="20" fontId="18" fillId="7" borderId="84" xfId="0" applyNumberFormat="1" applyFont="1" applyFill="1" applyBorder="1" applyAlignment="1">
      <alignment horizontal="center" vertical="center"/>
    </xf>
    <xf numFmtId="20" fontId="18" fillId="7" borderId="91" xfId="0" applyNumberFormat="1" applyFont="1" applyFill="1" applyBorder="1" applyAlignment="1">
      <alignment horizontal="center" vertical="center"/>
    </xf>
    <xf numFmtId="0" fontId="39" fillId="10" borderId="76" xfId="0" applyFont="1" applyFill="1" applyBorder="1" applyAlignment="1">
      <alignment horizontal="center" vertical="center"/>
    </xf>
    <xf numFmtId="16" fontId="30" fillId="0" borderId="6" xfId="0" applyNumberFormat="1" applyFont="1" applyBorder="1" applyAlignment="1">
      <alignment horizontal="center" vertical="center"/>
    </xf>
    <xf numFmtId="0" fontId="39" fillId="13" borderId="319" xfId="0" applyFont="1" applyFill="1" applyBorder="1" applyAlignment="1">
      <alignment horizontal="center" vertical="center"/>
    </xf>
    <xf numFmtId="168" fontId="31" fillId="0" borderId="306" xfId="0" applyNumberFormat="1" applyFont="1" applyBorder="1" applyAlignment="1">
      <alignment horizontal="center" vertical="center"/>
    </xf>
    <xf numFmtId="0" fontId="30" fillId="0" borderId="361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45" fillId="8" borderId="159" xfId="3" applyFont="1" applyFill="1" applyBorder="1" applyAlignment="1">
      <alignment horizontal="center" vertical="center" wrapText="1"/>
    </xf>
    <xf numFmtId="0" fontId="45" fillId="0" borderId="49" xfId="3" applyFont="1" applyBorder="1" applyAlignment="1">
      <alignment horizontal="center" vertical="center" wrapText="1"/>
    </xf>
    <xf numFmtId="0" fontId="45" fillId="8" borderId="49" xfId="3" applyFont="1" applyFill="1" applyBorder="1" applyAlignment="1">
      <alignment horizontal="center" vertical="center" wrapText="1"/>
    </xf>
    <xf numFmtId="0" fontId="45" fillId="8" borderId="50" xfId="3" applyFont="1" applyFill="1" applyBorder="1" applyAlignment="1">
      <alignment horizontal="center" vertical="center" wrapText="1"/>
    </xf>
    <xf numFmtId="0" fontId="45" fillId="0" borderId="220" xfId="3" applyFont="1" applyBorder="1" applyAlignment="1">
      <alignment horizontal="center" vertical="center" wrapText="1"/>
    </xf>
    <xf numFmtId="0" fontId="45" fillId="0" borderId="50" xfId="3" applyFont="1" applyBorder="1" applyAlignment="1">
      <alignment horizontal="center" vertical="center" wrapText="1"/>
    </xf>
    <xf numFmtId="0" fontId="45" fillId="8" borderId="227" xfId="3" applyFont="1" applyFill="1" applyBorder="1" applyAlignment="1">
      <alignment horizontal="center" vertical="center" wrapText="1"/>
    </xf>
    <xf numFmtId="0" fontId="45" fillId="0" borderId="75" xfId="3" applyFont="1" applyBorder="1" applyAlignment="1">
      <alignment horizontal="center" vertical="center" wrapText="1"/>
    </xf>
    <xf numFmtId="0" fontId="45" fillId="8" borderId="220" xfId="3" applyFont="1" applyFill="1" applyBorder="1" applyAlignment="1">
      <alignment horizontal="center" vertical="center" wrapText="1"/>
    </xf>
    <xf numFmtId="0" fontId="45" fillId="0" borderId="227" xfId="3" applyFont="1" applyBorder="1" applyAlignment="1">
      <alignment horizontal="center" vertical="center" wrapText="1"/>
    </xf>
    <xf numFmtId="0" fontId="45" fillId="8" borderId="166" xfId="3" applyFont="1" applyFill="1" applyBorder="1" applyAlignment="1">
      <alignment horizontal="center" vertical="center" wrapText="1"/>
    </xf>
    <xf numFmtId="0" fontId="45" fillId="0" borderId="164" xfId="3" applyFont="1" applyBorder="1" applyAlignment="1">
      <alignment horizontal="center" vertical="center" wrapText="1"/>
    </xf>
    <xf numFmtId="0" fontId="45" fillId="8" borderId="164" xfId="3" applyFont="1" applyFill="1" applyBorder="1" applyAlignment="1">
      <alignment horizontal="center" vertical="center" wrapText="1"/>
    </xf>
    <xf numFmtId="0" fontId="45" fillId="8" borderId="75" xfId="3" applyFont="1" applyFill="1" applyBorder="1" applyAlignment="1">
      <alignment horizontal="center" vertical="center" wrapText="1"/>
    </xf>
    <xf numFmtId="0" fontId="45" fillId="0" borderId="254" xfId="3" applyFont="1" applyBorder="1" applyAlignment="1">
      <alignment horizontal="center" vertical="center" wrapText="1"/>
    </xf>
    <xf numFmtId="0" fontId="45" fillId="0" borderId="246" xfId="3" applyFont="1" applyBorder="1" applyAlignment="1">
      <alignment horizontal="center" vertical="center" wrapText="1"/>
    </xf>
    <xf numFmtId="0" fontId="31" fillId="0" borderId="229" xfId="0" applyFont="1" applyBorder="1" applyAlignment="1">
      <alignment horizontal="center" vertical="center"/>
    </xf>
    <xf numFmtId="0" fontId="45" fillId="0" borderId="69" xfId="3" applyFont="1" applyBorder="1" applyAlignment="1">
      <alignment horizontal="center" vertical="center" wrapText="1"/>
    </xf>
    <xf numFmtId="0" fontId="45" fillId="8" borderId="48" xfId="3" applyFont="1" applyFill="1" applyBorder="1" applyAlignment="1">
      <alignment horizontal="center" vertical="center" wrapText="1"/>
    </xf>
    <xf numFmtId="0" fontId="45" fillId="0" borderId="138" xfId="3" applyFont="1" applyBorder="1" applyAlignment="1">
      <alignment horizontal="center" vertical="center" wrapText="1"/>
    </xf>
    <xf numFmtId="0" fontId="45" fillId="8" borderId="242" xfId="3" applyFont="1" applyFill="1" applyBorder="1" applyAlignment="1">
      <alignment horizontal="center" vertical="center" wrapText="1"/>
    </xf>
    <xf numFmtId="0" fontId="45" fillId="8" borderId="254" xfId="3" applyFont="1" applyFill="1" applyBorder="1" applyAlignment="1">
      <alignment horizontal="center" vertical="center" wrapText="1"/>
    </xf>
    <xf numFmtId="0" fontId="45" fillId="8" borderId="246" xfId="3" applyFont="1" applyFill="1" applyBorder="1" applyAlignment="1">
      <alignment horizontal="center" vertical="center" wrapText="1"/>
    </xf>
    <xf numFmtId="0" fontId="11" fillId="5" borderId="31" xfId="3" applyFont="1" applyFill="1" applyBorder="1" applyAlignment="1">
      <alignment horizontal="left" vertical="center" wrapText="1"/>
    </xf>
    <xf numFmtId="0" fontId="11" fillId="5" borderId="31" xfId="3" applyFont="1" applyFill="1" applyBorder="1" applyAlignment="1">
      <alignment horizontal="center" vertical="center" wrapText="1"/>
    </xf>
    <xf numFmtId="0" fontId="8" fillId="0" borderId="31" xfId="3" applyFont="1" applyBorder="1" applyAlignment="1">
      <alignment horizontal="left" vertical="center" wrapText="1"/>
    </xf>
    <xf numFmtId="0" fontId="8" fillId="0" borderId="114" xfId="3" applyFont="1" applyBorder="1" applyAlignment="1">
      <alignment horizontal="left" vertical="center" wrapText="1"/>
    </xf>
    <xf numFmtId="0" fontId="31" fillId="0" borderId="362" xfId="0" applyFont="1" applyBorder="1" applyAlignment="1">
      <alignment horizontal="center" vertical="center"/>
    </xf>
    <xf numFmtId="0" fontId="31" fillId="0" borderId="363" xfId="0" applyFont="1" applyBorder="1" applyAlignment="1">
      <alignment horizontal="center" vertical="center"/>
    </xf>
    <xf numFmtId="0" fontId="31" fillId="0" borderId="364" xfId="0" applyFont="1" applyBorder="1" applyAlignment="1">
      <alignment horizontal="center" vertical="center"/>
    </xf>
    <xf numFmtId="0" fontId="31" fillId="0" borderId="365" xfId="0" applyFont="1" applyBorder="1" applyAlignment="1">
      <alignment horizontal="center" vertical="center"/>
    </xf>
    <xf numFmtId="0" fontId="31" fillId="0" borderId="366" xfId="0" applyFont="1" applyBorder="1" applyAlignment="1">
      <alignment horizontal="center" vertical="center"/>
    </xf>
    <xf numFmtId="0" fontId="31" fillId="0" borderId="367" xfId="0" applyFont="1" applyBorder="1" applyAlignment="1">
      <alignment horizontal="center" vertical="center"/>
    </xf>
    <xf numFmtId="0" fontId="31" fillId="0" borderId="368" xfId="0" applyFont="1" applyBorder="1" applyAlignment="1">
      <alignment horizontal="center" vertical="center"/>
    </xf>
    <xf numFmtId="0" fontId="31" fillId="0" borderId="369" xfId="0" applyFont="1" applyBorder="1" applyAlignment="1">
      <alignment horizontal="center" vertical="center"/>
    </xf>
    <xf numFmtId="0" fontId="11" fillId="0" borderId="98" xfId="3" applyFont="1" applyBorder="1" applyAlignment="1">
      <alignment horizontal="center" vertical="center" wrapText="1"/>
    </xf>
    <xf numFmtId="0" fontId="11" fillId="0" borderId="127" xfId="3" applyFont="1" applyBorder="1" applyAlignment="1">
      <alignment horizontal="center" vertical="center" wrapText="1"/>
    </xf>
    <xf numFmtId="168" fontId="30" fillId="0" borderId="35" xfId="0" applyNumberFormat="1" applyFont="1" applyBorder="1" applyAlignment="1">
      <alignment horizontal="center" vertical="center"/>
    </xf>
    <xf numFmtId="168" fontId="30" fillId="0" borderId="38" xfId="0" applyNumberFormat="1" applyFont="1" applyBorder="1" applyAlignment="1">
      <alignment horizontal="center" vertical="center"/>
    </xf>
    <xf numFmtId="0" fontId="9" fillId="5" borderId="1" xfId="3" applyFill="1" applyBorder="1" applyAlignment="1">
      <alignment horizontal="center" vertical="center" wrapText="1"/>
    </xf>
    <xf numFmtId="0" fontId="9" fillId="5" borderId="2" xfId="3" applyFill="1" applyBorder="1" applyAlignment="1">
      <alignment horizontal="center" vertical="center" wrapText="1"/>
    </xf>
    <xf numFmtId="0" fontId="9" fillId="5" borderId="75" xfId="3" applyFill="1" applyBorder="1" applyAlignment="1">
      <alignment horizontal="center" vertical="center" wrapText="1"/>
    </xf>
    <xf numFmtId="0" fontId="9" fillId="0" borderId="26" xfId="3" applyBorder="1" applyAlignment="1">
      <alignment horizontal="center" vertical="center" wrapText="1"/>
    </xf>
    <xf numFmtId="0" fontId="30" fillId="0" borderId="378" xfId="0" applyFont="1" applyBorder="1" applyAlignment="1">
      <alignment horizontal="center" vertical="center"/>
    </xf>
    <xf numFmtId="0" fontId="30" fillId="0" borderId="99" xfId="0" applyFont="1" applyBorder="1" applyAlignment="1">
      <alignment horizontal="center" vertical="center"/>
    </xf>
    <xf numFmtId="0" fontId="30" fillId="0" borderId="379" xfId="0" applyFont="1" applyBorder="1" applyAlignment="1">
      <alignment horizontal="center" vertical="center"/>
    </xf>
    <xf numFmtId="0" fontId="30" fillId="0" borderId="380" xfId="0" applyFont="1" applyBorder="1" applyAlignment="1">
      <alignment horizontal="center" vertical="center"/>
    </xf>
    <xf numFmtId="0" fontId="30" fillId="0" borderId="381" xfId="0" applyFont="1" applyBorder="1" applyAlignment="1">
      <alignment horizontal="center" vertical="center"/>
    </xf>
    <xf numFmtId="0" fontId="9" fillId="8" borderId="24" xfId="3" applyFill="1" applyBorder="1" applyAlignment="1">
      <alignment horizontal="center" vertical="center" wrapText="1"/>
    </xf>
    <xf numFmtId="0" fontId="9" fillId="8" borderId="138" xfId="3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1" fillId="0" borderId="105" xfId="0" applyFont="1" applyBorder="1" applyAlignment="1">
      <alignment horizontal="center" vertical="center"/>
    </xf>
    <xf numFmtId="0" fontId="31" fillId="0" borderId="361" xfId="0" applyFont="1" applyBorder="1" applyAlignment="1">
      <alignment horizontal="center" vertical="center"/>
    </xf>
    <xf numFmtId="0" fontId="34" fillId="8" borderId="41" xfId="3" applyFont="1" applyFill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2" fontId="0" fillId="0" borderId="384" xfId="0" applyNumberForma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/>
    </xf>
    <xf numFmtId="0" fontId="30" fillId="0" borderId="385" xfId="0" applyFont="1" applyBorder="1" applyAlignment="1">
      <alignment horizontal="center" vertical="center"/>
    </xf>
    <xf numFmtId="0" fontId="30" fillId="0" borderId="386" xfId="0" applyFont="1" applyBorder="1" applyAlignment="1">
      <alignment horizontal="center" vertical="center"/>
    </xf>
    <xf numFmtId="0" fontId="45" fillId="8" borderId="41" xfId="3" applyFont="1" applyFill="1" applyBorder="1" applyAlignment="1">
      <alignment horizontal="left" vertical="center" wrapText="1"/>
    </xf>
    <xf numFmtId="0" fontId="45" fillId="8" borderId="40" xfId="3" applyFont="1" applyFill="1" applyBorder="1" applyAlignment="1">
      <alignment horizontal="left" vertical="center" wrapText="1"/>
    </xf>
    <xf numFmtId="0" fontId="45" fillId="0" borderId="41" xfId="3" applyFont="1" applyBorder="1" applyAlignment="1">
      <alignment horizontal="left" vertical="center" wrapText="1"/>
    </xf>
    <xf numFmtId="0" fontId="45" fillId="8" borderId="42" xfId="3" applyFont="1" applyFill="1" applyBorder="1" applyAlignment="1">
      <alignment horizontal="left" vertical="center" wrapText="1"/>
    </xf>
    <xf numFmtId="0" fontId="45" fillId="0" borderId="40" xfId="3" applyFont="1" applyBorder="1" applyAlignment="1">
      <alignment horizontal="left" vertical="center" wrapText="1"/>
    </xf>
    <xf numFmtId="0" fontId="45" fillId="8" borderId="251" xfId="3" applyFont="1" applyFill="1" applyBorder="1" applyAlignment="1">
      <alignment horizontal="left" vertical="center" wrapText="1"/>
    </xf>
    <xf numFmtId="0" fontId="45" fillId="0" borderId="137" xfId="3" applyFont="1" applyBorder="1" applyAlignment="1">
      <alignment horizontal="left" vertical="center" wrapText="1"/>
    </xf>
    <xf numFmtId="0" fontId="45" fillId="0" borderId="52" xfId="3" applyFont="1" applyBorder="1" applyAlignment="1">
      <alignment horizontal="left" vertical="center" wrapText="1"/>
    </xf>
    <xf numFmtId="0" fontId="45" fillId="8" borderId="272" xfId="3" applyFont="1" applyFill="1" applyBorder="1" applyAlignment="1">
      <alignment horizontal="left" vertical="center" wrapText="1"/>
    </xf>
    <xf numFmtId="0" fontId="45" fillId="8" borderId="32" xfId="3" applyFont="1" applyFill="1" applyBorder="1" applyAlignment="1">
      <alignment horizontal="left" vertical="center" wrapText="1"/>
    </xf>
    <xf numFmtId="0" fontId="45" fillId="0" borderId="1" xfId="3" applyFont="1" applyBorder="1" applyAlignment="1">
      <alignment horizontal="left" vertical="center" wrapText="1"/>
    </xf>
    <xf numFmtId="0" fontId="45" fillId="8" borderId="1" xfId="3" applyFont="1" applyFill="1" applyBorder="1" applyAlignment="1">
      <alignment horizontal="left" vertical="center" wrapText="1"/>
    </xf>
    <xf numFmtId="0" fontId="45" fillId="0" borderId="36" xfId="3" applyFont="1" applyBorder="1" applyAlignment="1">
      <alignment horizontal="left" vertical="center" wrapText="1"/>
    </xf>
    <xf numFmtId="0" fontId="45" fillId="0" borderId="226" xfId="3" applyFont="1" applyBorder="1" applyAlignment="1">
      <alignment horizontal="left" vertical="center" wrapText="1"/>
    </xf>
    <xf numFmtId="0" fontId="45" fillId="8" borderId="67" xfId="3" applyFont="1" applyFill="1" applyBorder="1" applyAlignment="1">
      <alignment horizontal="left" vertical="center" wrapText="1"/>
    </xf>
    <xf numFmtId="0" fontId="45" fillId="5" borderId="67" xfId="3" applyFont="1" applyFill="1" applyBorder="1" applyAlignment="1">
      <alignment horizontal="left" vertical="center" wrapText="1"/>
    </xf>
    <xf numFmtId="0" fontId="45" fillId="8" borderId="10" xfId="3" applyFont="1" applyFill="1" applyBorder="1" applyAlignment="1">
      <alignment horizontal="left" vertical="center" wrapText="1"/>
    </xf>
    <xf numFmtId="0" fontId="45" fillId="8" borderId="30" xfId="3" applyFont="1" applyFill="1" applyBorder="1" applyAlignment="1">
      <alignment horizontal="left" vertical="center" wrapText="1"/>
    </xf>
    <xf numFmtId="0" fontId="45" fillId="5" borderId="71" xfId="3" applyFont="1" applyFill="1" applyBorder="1" applyAlignment="1">
      <alignment horizontal="left" vertical="center" wrapText="1"/>
    </xf>
    <xf numFmtId="0" fontId="45" fillId="8" borderId="71" xfId="3" applyFont="1" applyFill="1" applyBorder="1" applyAlignment="1">
      <alignment horizontal="left" vertical="center" wrapText="1"/>
    </xf>
    <xf numFmtId="0" fontId="45" fillId="0" borderId="8" xfId="3" applyFont="1" applyBorder="1" applyAlignment="1">
      <alignment horizontal="left" vertical="center" wrapText="1"/>
    </xf>
    <xf numFmtId="0" fontId="45" fillId="0" borderId="93" xfId="3" applyFont="1" applyBorder="1" applyAlignment="1">
      <alignment horizontal="left" vertical="center" wrapText="1"/>
    </xf>
    <xf numFmtId="0" fontId="45" fillId="0" borderId="377" xfId="3" applyFont="1" applyBorder="1" applyAlignment="1">
      <alignment horizontal="left" vertical="center" wrapText="1"/>
    </xf>
    <xf numFmtId="0" fontId="45" fillId="0" borderId="376" xfId="3" applyFont="1" applyBorder="1" applyAlignment="1">
      <alignment horizontal="left" vertical="center" wrapText="1"/>
    </xf>
    <xf numFmtId="0" fontId="45" fillId="0" borderId="71" xfId="3" applyFont="1" applyBorder="1" applyAlignment="1">
      <alignment horizontal="left" vertical="center" wrapText="1"/>
    </xf>
    <xf numFmtId="0" fontId="11" fillId="0" borderId="52" xfId="3" applyFont="1" applyBorder="1" applyAlignment="1">
      <alignment horizontal="left" vertical="center" wrapText="1"/>
    </xf>
    <xf numFmtId="0" fontId="11" fillId="8" borderId="163" xfId="3" applyFont="1" applyFill="1" applyBorder="1" applyAlignment="1">
      <alignment horizontal="left" vertical="center" wrapText="1"/>
    </xf>
    <xf numFmtId="0" fontId="11" fillId="8" borderId="26" xfId="3" applyFont="1" applyFill="1" applyBorder="1" applyAlignment="1">
      <alignment horizontal="center" vertical="center" wrapText="1"/>
    </xf>
    <xf numFmtId="0" fontId="11" fillId="8" borderId="159" xfId="3" applyFont="1" applyFill="1" applyBorder="1" applyAlignment="1">
      <alignment horizontal="center" vertical="center" wrapText="1"/>
    </xf>
    <xf numFmtId="0" fontId="11" fillId="0" borderId="137" xfId="3" applyFont="1" applyBorder="1" applyAlignment="1">
      <alignment horizontal="left" vertical="center" wrapText="1"/>
    </xf>
    <xf numFmtId="0" fontId="11" fillId="0" borderId="359" xfId="3" applyFont="1" applyBorder="1" applyAlignment="1">
      <alignment horizontal="left" vertical="center" wrapText="1"/>
    </xf>
    <xf numFmtId="0" fontId="11" fillId="0" borderId="360" xfId="3" applyFont="1" applyBorder="1" applyAlignment="1">
      <alignment horizontal="center" vertical="center" wrapText="1"/>
    </xf>
    <xf numFmtId="0" fontId="30" fillId="12" borderId="35" xfId="0" applyFont="1" applyFill="1" applyBorder="1" applyAlignment="1">
      <alignment horizontal="center" vertical="center"/>
    </xf>
    <xf numFmtId="16" fontId="30" fillId="0" borderId="222" xfId="0" applyNumberFormat="1" applyFont="1" applyBorder="1" applyAlignment="1">
      <alignment horizontal="center" vertical="center"/>
    </xf>
    <xf numFmtId="49" fontId="39" fillId="0" borderId="193" xfId="0" applyNumberFormat="1" applyFont="1" applyBorder="1" applyAlignment="1">
      <alignment horizontal="center" vertical="center"/>
    </xf>
    <xf numFmtId="0" fontId="39" fillId="0" borderId="168" xfId="0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/>
    </xf>
    <xf numFmtId="0" fontId="39" fillId="0" borderId="231" xfId="0" applyFont="1" applyBorder="1" applyAlignment="1">
      <alignment horizontal="center" vertical="center"/>
    </xf>
    <xf numFmtId="0" fontId="39" fillId="0" borderId="388" xfId="0" applyFont="1" applyBorder="1" applyAlignment="1">
      <alignment horizontal="center" vertical="center"/>
    </xf>
    <xf numFmtId="0" fontId="39" fillId="13" borderId="388" xfId="0" applyFont="1" applyFill="1" applyBorder="1" applyAlignment="1">
      <alignment horizontal="center" vertical="center"/>
    </xf>
    <xf numFmtId="0" fontId="39" fillId="0" borderId="204" xfId="0" applyFont="1" applyBorder="1" applyAlignment="1">
      <alignment horizontal="center" vertical="center"/>
    </xf>
    <xf numFmtId="0" fontId="39" fillId="10" borderId="6" xfId="0" applyFont="1" applyFill="1" applyBorder="1" applyAlignment="1">
      <alignment horizontal="center" vertical="center"/>
    </xf>
    <xf numFmtId="0" fontId="30" fillId="0" borderId="389" xfId="0" applyFont="1" applyBorder="1" applyAlignment="1">
      <alignment horizontal="center" vertical="center"/>
    </xf>
    <xf numFmtId="1" fontId="30" fillId="0" borderId="168" xfId="0" applyNumberFormat="1" applyFont="1" applyBorder="1" applyAlignment="1">
      <alignment horizontal="center" vertical="center"/>
    </xf>
    <xf numFmtId="16" fontId="39" fillId="0" borderId="221" xfId="0" applyNumberFormat="1" applyFont="1" applyBorder="1" applyAlignment="1">
      <alignment horizontal="center" vertical="center"/>
    </xf>
    <xf numFmtId="0" fontId="39" fillId="12" borderId="6" xfId="0" applyFont="1" applyFill="1" applyBorder="1" applyAlignment="1">
      <alignment horizontal="center" vertical="center"/>
    </xf>
    <xf numFmtId="0" fontId="30" fillId="0" borderId="288" xfId="0" applyFont="1" applyBorder="1" applyAlignment="1">
      <alignment horizontal="center" vertical="center"/>
    </xf>
    <xf numFmtId="0" fontId="30" fillId="0" borderId="85" xfId="0" applyFont="1" applyBorder="1" applyAlignment="1">
      <alignment horizontal="center" vertical="center"/>
    </xf>
    <xf numFmtId="49" fontId="30" fillId="0" borderId="222" xfId="0" applyNumberFormat="1" applyFont="1" applyBorder="1" applyAlignment="1">
      <alignment horizontal="center" vertical="center"/>
    </xf>
    <xf numFmtId="49" fontId="30" fillId="0" borderId="193" xfId="0" applyNumberFormat="1" applyFont="1" applyBorder="1" applyAlignment="1">
      <alignment horizontal="center" vertical="center"/>
    </xf>
    <xf numFmtId="0" fontId="1" fillId="0" borderId="32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35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2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20" fontId="22" fillId="7" borderId="70" xfId="0" applyNumberFormat="1" applyFont="1" applyFill="1" applyBorder="1" applyAlignment="1">
      <alignment horizontal="center" vertical="center"/>
    </xf>
    <xf numFmtId="167" fontId="22" fillId="7" borderId="7" xfId="0" applyNumberFormat="1" applyFont="1" applyFill="1" applyBorder="1" applyAlignment="1">
      <alignment horizontal="center" vertical="center"/>
    </xf>
    <xf numFmtId="0" fontId="30" fillId="0" borderId="390" xfId="0" applyFont="1" applyBorder="1" applyAlignment="1">
      <alignment horizontal="center" vertical="center"/>
    </xf>
    <xf numFmtId="0" fontId="30" fillId="0" borderId="391" xfId="0" applyFont="1" applyBorder="1" applyAlignment="1">
      <alignment horizontal="center" vertical="center"/>
    </xf>
    <xf numFmtId="0" fontId="30" fillId="0" borderId="392" xfId="0" applyFont="1" applyBorder="1" applyAlignment="1">
      <alignment horizontal="center" vertical="center"/>
    </xf>
    <xf numFmtId="168" fontId="30" fillId="0" borderId="393" xfId="0" applyNumberFormat="1" applyFont="1" applyBorder="1" applyAlignment="1">
      <alignment horizontal="center" vertical="center"/>
    </xf>
    <xf numFmtId="0" fontId="30" fillId="0" borderId="394" xfId="0" applyFont="1" applyBorder="1" applyAlignment="1">
      <alignment horizontal="center" vertical="center"/>
    </xf>
    <xf numFmtId="0" fontId="30" fillId="0" borderId="393" xfId="0" applyFont="1" applyBorder="1" applyAlignment="1">
      <alignment horizontal="center" vertical="center"/>
    </xf>
    <xf numFmtId="0" fontId="30" fillId="0" borderId="395" xfId="0" applyFont="1" applyBorder="1" applyAlignment="1">
      <alignment horizontal="center" vertical="center"/>
    </xf>
    <xf numFmtId="0" fontId="39" fillId="0" borderId="393" xfId="0" applyFont="1" applyBorder="1" applyAlignment="1">
      <alignment horizontal="center" vertical="center"/>
    </xf>
    <xf numFmtId="0" fontId="39" fillId="0" borderId="394" xfId="0" applyFont="1" applyBorder="1" applyAlignment="1">
      <alignment horizontal="center" vertical="center"/>
    </xf>
    <xf numFmtId="0" fontId="39" fillId="0" borderId="224" xfId="0" applyFont="1" applyBorder="1" applyAlignment="1">
      <alignment horizontal="center" vertical="center"/>
    </xf>
    <xf numFmtId="49" fontId="39" fillId="0" borderId="396" xfId="0" applyNumberFormat="1" applyFont="1" applyBorder="1" applyAlignment="1">
      <alignment horizontal="center" vertical="center"/>
    </xf>
    <xf numFmtId="49" fontId="30" fillId="0" borderId="393" xfId="0" applyNumberFormat="1" applyFont="1" applyBorder="1" applyAlignment="1">
      <alignment horizontal="center" vertical="center"/>
    </xf>
    <xf numFmtId="0" fontId="30" fillId="12" borderId="391" xfId="0" applyFont="1" applyFill="1" applyBorder="1" applyAlignment="1">
      <alignment horizontal="center" vertical="center"/>
    </xf>
    <xf numFmtId="0" fontId="30" fillId="0" borderId="398" xfId="0" applyFont="1" applyBorder="1" applyAlignment="1">
      <alignment horizontal="center" vertical="center"/>
    </xf>
    <xf numFmtId="0" fontId="30" fillId="0" borderId="396" xfId="0" applyFont="1" applyBorder="1" applyAlignment="1">
      <alignment horizontal="center" vertical="center"/>
    </xf>
    <xf numFmtId="0" fontId="30" fillId="0" borderId="399" xfId="0" applyFont="1" applyBorder="1" applyAlignment="1">
      <alignment horizontal="center" vertical="center"/>
    </xf>
    <xf numFmtId="0" fontId="30" fillId="0" borderId="400" xfId="0" applyFont="1" applyBorder="1" applyAlignment="1">
      <alignment horizontal="center" vertical="center"/>
    </xf>
    <xf numFmtId="0" fontId="30" fillId="0" borderId="397" xfId="0" applyFont="1" applyBorder="1" applyAlignment="1">
      <alignment horizontal="center" vertical="center"/>
    </xf>
    <xf numFmtId="0" fontId="39" fillId="0" borderId="391" xfId="0" applyFont="1" applyBorder="1" applyAlignment="1">
      <alignment horizontal="center" vertical="center"/>
    </xf>
    <xf numFmtId="0" fontId="30" fillId="13" borderId="395" xfId="0" applyFont="1" applyFill="1" applyBorder="1" applyAlignment="1">
      <alignment horizontal="center" vertical="center"/>
    </xf>
    <xf numFmtId="0" fontId="30" fillId="10" borderId="391" xfId="0" applyFont="1" applyFill="1" applyBorder="1" applyAlignment="1">
      <alignment horizontal="center" vertical="center"/>
    </xf>
    <xf numFmtId="0" fontId="30" fillId="0" borderId="401" xfId="0" applyFont="1" applyBorder="1" applyAlignment="1">
      <alignment horizontal="center" vertical="center"/>
    </xf>
    <xf numFmtId="0" fontId="30" fillId="0" borderId="402" xfId="0" applyFont="1" applyBorder="1" applyAlignment="1">
      <alignment horizontal="center" vertical="center"/>
    </xf>
    <xf numFmtId="0" fontId="30" fillId="0" borderId="403" xfId="0" applyFont="1" applyBorder="1" applyAlignment="1">
      <alignment horizontal="center" vertical="center"/>
    </xf>
    <xf numFmtId="0" fontId="30" fillId="0" borderId="404" xfId="0" applyFont="1" applyBorder="1" applyAlignment="1">
      <alignment horizontal="center" vertical="center"/>
    </xf>
    <xf numFmtId="49" fontId="39" fillId="0" borderId="402" xfId="0" applyNumberFormat="1" applyFont="1" applyBorder="1" applyAlignment="1">
      <alignment horizontal="center" vertical="center"/>
    </xf>
    <xf numFmtId="0" fontId="30" fillId="0" borderId="405" xfId="0" applyFont="1" applyBorder="1" applyAlignment="1">
      <alignment horizontal="center" vertical="center"/>
    </xf>
    <xf numFmtId="49" fontId="30" fillId="0" borderId="405" xfId="0" applyNumberFormat="1" applyFont="1" applyBorder="1" applyAlignment="1">
      <alignment horizontal="center" vertical="center"/>
    </xf>
    <xf numFmtId="0" fontId="30" fillId="0" borderId="406" xfId="0" applyFont="1" applyBorder="1" applyAlignment="1">
      <alignment horizontal="center" vertical="center"/>
    </xf>
    <xf numFmtId="0" fontId="30" fillId="12" borderId="402" xfId="0" applyFont="1" applyFill="1" applyBorder="1" applyAlignment="1">
      <alignment horizontal="center" vertical="center"/>
    </xf>
    <xf numFmtId="0" fontId="30" fillId="0" borderId="407" xfId="0" applyFont="1" applyBorder="1" applyAlignment="1">
      <alignment horizontal="center" vertical="center"/>
    </xf>
    <xf numFmtId="0" fontId="30" fillId="0" borderId="408" xfId="0" applyFont="1" applyBorder="1" applyAlignment="1">
      <alignment horizontal="center" vertical="center"/>
    </xf>
    <xf numFmtId="0" fontId="30" fillId="13" borderId="406" xfId="0" applyFont="1" applyFill="1" applyBorder="1" applyAlignment="1">
      <alignment horizontal="center" vertical="center"/>
    </xf>
    <xf numFmtId="0" fontId="30" fillId="10" borderId="402" xfId="0" applyFont="1" applyFill="1" applyBorder="1" applyAlignment="1">
      <alignment horizontal="center" vertical="center"/>
    </xf>
    <xf numFmtId="168" fontId="30" fillId="0" borderId="405" xfId="0" applyNumberFormat="1" applyFont="1" applyBorder="1" applyAlignment="1">
      <alignment horizontal="center" vertical="center"/>
    </xf>
    <xf numFmtId="0" fontId="30" fillId="0" borderId="138" xfId="0" applyFont="1" applyBorder="1" applyAlignment="1">
      <alignment vertical="center"/>
    </xf>
    <xf numFmtId="0" fontId="39" fillId="0" borderId="405" xfId="0" applyFont="1" applyBorder="1" applyAlignment="1">
      <alignment horizontal="center" vertical="center"/>
    </xf>
    <xf numFmtId="0" fontId="39" fillId="0" borderId="404" xfId="0" applyFont="1" applyBorder="1" applyAlignment="1">
      <alignment horizontal="center" vertical="center"/>
    </xf>
    <xf numFmtId="0" fontId="39" fillId="0" borderId="409" xfId="0" applyFont="1" applyBorder="1" applyAlignment="1">
      <alignment horizontal="center" vertical="center"/>
    </xf>
    <xf numFmtId="0" fontId="39" fillId="0" borderId="408" xfId="0" applyFont="1" applyBorder="1" applyAlignment="1">
      <alignment horizontal="center" vertical="center"/>
    </xf>
    <xf numFmtId="0" fontId="39" fillId="0" borderId="402" xfId="0" applyFont="1" applyBorder="1" applyAlignment="1">
      <alignment horizontal="center" vertical="center"/>
    </xf>
    <xf numFmtId="0" fontId="30" fillId="0" borderId="411" xfId="0" applyFont="1" applyBorder="1" applyAlignment="1">
      <alignment horizontal="center" vertical="center"/>
    </xf>
    <xf numFmtId="0" fontId="30" fillId="0" borderId="412" xfId="0" applyFont="1" applyBorder="1" applyAlignment="1">
      <alignment horizontal="center" vertical="center"/>
    </xf>
    <xf numFmtId="0" fontId="30" fillId="0" borderId="413" xfId="0" applyFont="1" applyBorder="1" applyAlignment="1">
      <alignment horizontal="center" vertical="center"/>
    </xf>
    <xf numFmtId="0" fontId="30" fillId="0" borderId="414" xfId="0" applyFont="1" applyBorder="1" applyAlignment="1">
      <alignment horizontal="center" vertical="center"/>
    </xf>
    <xf numFmtId="0" fontId="30" fillId="0" borderId="415" xfId="0" applyFont="1" applyBorder="1" applyAlignment="1">
      <alignment horizontal="center" vertical="center"/>
    </xf>
    <xf numFmtId="0" fontId="39" fillId="0" borderId="414" xfId="0" applyFont="1" applyBorder="1" applyAlignment="1">
      <alignment horizontal="center" vertical="center"/>
    </xf>
    <xf numFmtId="0" fontId="39" fillId="0" borderId="412" xfId="0" applyFont="1" applyBorder="1" applyAlignment="1">
      <alignment horizontal="center" vertical="center"/>
    </xf>
    <xf numFmtId="0" fontId="39" fillId="0" borderId="416" xfId="0" applyFont="1" applyBorder="1" applyAlignment="1">
      <alignment horizontal="center" vertical="center"/>
    </xf>
    <xf numFmtId="49" fontId="39" fillId="0" borderId="411" xfId="0" applyNumberFormat="1" applyFont="1" applyBorder="1" applyAlignment="1">
      <alignment horizontal="center" vertical="center"/>
    </xf>
    <xf numFmtId="0" fontId="39" fillId="0" borderId="417" xfId="0" applyFont="1" applyBorder="1" applyAlignment="1">
      <alignment horizontal="center" vertical="center"/>
    </xf>
    <xf numFmtId="49" fontId="30" fillId="0" borderId="414" xfId="0" applyNumberFormat="1" applyFont="1" applyBorder="1" applyAlignment="1">
      <alignment horizontal="center" vertical="center"/>
    </xf>
    <xf numFmtId="0" fontId="30" fillId="12" borderId="411" xfId="0" applyFont="1" applyFill="1" applyBorder="1" applyAlignment="1">
      <alignment horizontal="center" vertical="center"/>
    </xf>
    <xf numFmtId="0" fontId="30" fillId="0" borderId="410" xfId="0" applyFont="1" applyBorder="1" applyAlignment="1">
      <alignment horizontal="center" vertical="center"/>
    </xf>
    <xf numFmtId="0" fontId="30" fillId="0" borderId="417" xfId="0" applyFont="1" applyBorder="1" applyAlignment="1">
      <alignment horizontal="center" vertical="center"/>
    </xf>
    <xf numFmtId="0" fontId="39" fillId="0" borderId="411" xfId="0" applyFont="1" applyBorder="1" applyAlignment="1">
      <alignment horizontal="center" vertical="center"/>
    </xf>
    <xf numFmtId="0" fontId="30" fillId="13" borderId="415" xfId="0" applyFont="1" applyFill="1" applyBorder="1" applyAlignment="1">
      <alignment horizontal="center" vertical="center"/>
    </xf>
    <xf numFmtId="0" fontId="30" fillId="10" borderId="411" xfId="0" applyFont="1" applyFill="1" applyBorder="1" applyAlignment="1">
      <alignment horizontal="center" vertical="center"/>
    </xf>
    <xf numFmtId="0" fontId="30" fillId="0" borderId="420" xfId="0" applyFont="1" applyBorder="1" applyAlignment="1">
      <alignment horizontal="center" vertical="center"/>
    </xf>
    <xf numFmtId="0" fontId="30" fillId="0" borderId="122" xfId="0" applyFont="1" applyBorder="1" applyAlignment="1">
      <alignment horizontal="center" vertical="center"/>
    </xf>
    <xf numFmtId="0" fontId="30" fillId="0" borderId="138" xfId="0" applyFont="1" applyBorder="1" applyAlignment="1">
      <alignment horizontal="center" vertical="center"/>
    </xf>
    <xf numFmtId="0" fontId="38" fillId="0" borderId="423" xfId="0" applyFont="1" applyBorder="1" applyAlignment="1">
      <alignment horizontal="center" vertical="center"/>
    </xf>
    <xf numFmtId="0" fontId="38" fillId="0" borderId="384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0" fillId="0" borderId="426" xfId="0" applyBorder="1" applyAlignment="1">
      <alignment horizontal="center" vertical="center"/>
    </xf>
    <xf numFmtId="2" fontId="0" fillId="0" borderId="19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336" xfId="0" applyNumberFormat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192" xfId="0" applyFont="1" applyBorder="1" applyAlignment="1">
      <alignment horizontal="center" vertical="center"/>
    </xf>
    <xf numFmtId="0" fontId="38" fillId="0" borderId="430" xfId="0" applyFont="1" applyBorder="1" applyAlignment="1">
      <alignment horizontal="center" vertical="center"/>
    </xf>
    <xf numFmtId="0" fontId="47" fillId="0" borderId="431" xfId="0" applyFont="1" applyBorder="1" applyAlignment="1">
      <alignment horizontal="center" vertical="center"/>
    </xf>
    <xf numFmtId="0" fontId="38" fillId="0" borderId="431" xfId="0" applyFont="1" applyBorder="1" applyAlignment="1">
      <alignment horizontal="center" vertical="center"/>
    </xf>
    <xf numFmtId="0" fontId="38" fillId="0" borderId="425" xfId="0" applyFont="1" applyBorder="1" applyAlignment="1">
      <alignment horizontal="center" vertical="center"/>
    </xf>
    <xf numFmtId="0" fontId="38" fillId="0" borderId="424" xfId="0" applyFont="1" applyBorder="1" applyAlignment="1">
      <alignment horizontal="center" vertical="center"/>
    </xf>
    <xf numFmtId="0" fontId="38" fillId="0" borderId="193" xfId="0" applyFont="1" applyBorder="1" applyAlignment="1">
      <alignment horizontal="center" vertical="center"/>
    </xf>
    <xf numFmtId="49" fontId="39" fillId="0" borderId="336" xfId="0" applyNumberFormat="1" applyFont="1" applyBorder="1" applyAlignment="1">
      <alignment horizontal="center" vertical="center"/>
    </xf>
    <xf numFmtId="49" fontId="39" fillId="0" borderId="432" xfId="0" applyNumberFormat="1" applyFont="1" applyBorder="1" applyAlignment="1">
      <alignment horizontal="center" vertical="center"/>
    </xf>
    <xf numFmtId="0" fontId="30" fillId="0" borderId="427" xfId="0" applyFont="1" applyBorder="1" applyAlignment="1">
      <alignment horizontal="center" vertical="center"/>
    </xf>
    <xf numFmtId="168" fontId="30" fillId="0" borderId="391" xfId="0" applyNumberFormat="1" applyFont="1" applyBorder="1" applyAlignment="1">
      <alignment horizontal="center" vertical="center"/>
    </xf>
    <xf numFmtId="168" fontId="30" fillId="0" borderId="434" xfId="0" applyNumberFormat="1" applyFont="1" applyBorder="1" applyAlignment="1">
      <alignment horizontal="center" vertical="center"/>
    </xf>
    <xf numFmtId="0" fontId="30" fillId="0" borderId="435" xfId="0" applyFont="1" applyBorder="1" applyAlignment="1">
      <alignment horizontal="center" vertical="center"/>
    </xf>
    <xf numFmtId="0" fontId="30" fillId="0" borderId="436" xfId="0" applyFont="1" applyBorder="1" applyAlignment="1">
      <alignment horizontal="center" vertical="center"/>
    </xf>
    <xf numFmtId="0" fontId="30" fillId="0" borderId="434" xfId="0" applyFont="1" applyBorder="1" applyAlignment="1">
      <alignment horizontal="center" vertical="center"/>
    </xf>
    <xf numFmtId="0" fontId="30" fillId="0" borderId="437" xfId="0" applyFont="1" applyBorder="1" applyAlignment="1">
      <alignment horizontal="center" vertical="center"/>
    </xf>
    <xf numFmtId="0" fontId="30" fillId="0" borderId="438" xfId="0" applyFont="1" applyBorder="1" applyAlignment="1">
      <alignment horizontal="center" vertical="center"/>
    </xf>
    <xf numFmtId="0" fontId="30" fillId="0" borderId="192" xfId="0" applyFont="1" applyBorder="1" applyAlignment="1">
      <alignment horizontal="center" vertical="center"/>
    </xf>
    <xf numFmtId="168" fontId="30" fillId="0" borderId="193" xfId="0" applyNumberFormat="1" applyFont="1" applyBorder="1" applyAlignment="1">
      <alignment horizontal="center" vertical="center"/>
    </xf>
    <xf numFmtId="168" fontId="30" fillId="0" borderId="194" xfId="0" applyNumberFormat="1" applyFont="1" applyBorder="1" applyAlignment="1">
      <alignment horizontal="center" vertical="center"/>
    </xf>
    <xf numFmtId="0" fontId="30" fillId="0" borderId="430" xfId="0" applyFont="1" applyBorder="1" applyAlignment="1">
      <alignment horizontal="center" vertical="center"/>
    </xf>
    <xf numFmtId="0" fontId="30" fillId="0" borderId="439" xfId="0" applyFont="1" applyBorder="1" applyAlignment="1">
      <alignment horizontal="center" vertical="center"/>
    </xf>
    <xf numFmtId="0" fontId="30" fillId="0" borderId="440" xfId="0" applyFont="1" applyBorder="1" applyAlignment="1">
      <alignment horizontal="center" vertical="center"/>
    </xf>
    <xf numFmtId="0" fontId="30" fillId="0" borderId="433" xfId="0" applyFont="1" applyBorder="1" applyAlignment="1">
      <alignment horizontal="center" vertical="center"/>
    </xf>
    <xf numFmtId="0" fontId="30" fillId="0" borderId="194" xfId="0" applyFont="1" applyBorder="1" applyAlignment="1">
      <alignment horizontal="center" vertical="center"/>
    </xf>
    <xf numFmtId="0" fontId="30" fillId="0" borderId="431" xfId="0" applyFont="1" applyBorder="1" applyAlignment="1">
      <alignment horizontal="center" vertical="center"/>
    </xf>
    <xf numFmtId="0" fontId="30" fillId="0" borderId="441" xfId="0" applyFont="1" applyBorder="1" applyAlignment="1">
      <alignment horizontal="center" vertical="center"/>
    </xf>
    <xf numFmtId="0" fontId="30" fillId="0" borderId="442" xfId="0" applyFont="1" applyBorder="1" applyAlignment="1">
      <alignment horizontal="center" vertical="center"/>
    </xf>
    <xf numFmtId="167" fontId="22" fillId="7" borderId="443" xfId="0" applyNumberFormat="1" applyFont="1" applyFill="1" applyBorder="1" applyAlignment="1">
      <alignment horizontal="center" vertical="center"/>
    </xf>
    <xf numFmtId="16" fontId="22" fillId="7" borderId="211" xfId="0" applyNumberFormat="1" applyFont="1" applyFill="1" applyBorder="1" applyAlignment="1">
      <alignment horizontal="center" vertical="center"/>
    </xf>
    <xf numFmtId="16" fontId="18" fillId="7" borderId="429" xfId="0" applyNumberFormat="1" applyFont="1" applyFill="1" applyBorder="1" applyAlignment="1">
      <alignment horizontal="center" vertical="center"/>
    </xf>
    <xf numFmtId="0" fontId="48" fillId="0" borderId="287" xfId="0" applyFont="1" applyBorder="1" applyAlignment="1">
      <alignment horizontal="center" vertical="center"/>
    </xf>
    <xf numFmtId="0" fontId="30" fillId="14" borderId="35" xfId="0" applyFont="1" applyFill="1" applyBorder="1" applyAlignment="1">
      <alignment horizontal="center" vertical="center"/>
    </xf>
    <xf numFmtId="0" fontId="27" fillId="14" borderId="0" xfId="0" applyFont="1" applyFill="1"/>
    <xf numFmtId="0" fontId="30" fillId="14" borderId="0" xfId="0" applyFont="1" applyFill="1" applyAlignment="1">
      <alignment horizontal="center" vertical="center"/>
    </xf>
    <xf numFmtId="20" fontId="22" fillId="14" borderId="1" xfId="0" applyNumberFormat="1" applyFont="1" applyFill="1" applyBorder="1" applyAlignment="1">
      <alignment horizontal="center" vertical="center"/>
    </xf>
    <xf numFmtId="167" fontId="22" fillId="14" borderId="31" xfId="0" applyNumberFormat="1" applyFont="1" applyFill="1" applyBorder="1" applyAlignment="1">
      <alignment horizontal="center" vertical="center"/>
    </xf>
    <xf numFmtId="0" fontId="30" fillId="14" borderId="229" xfId="0" applyFont="1" applyFill="1" applyBorder="1" applyAlignment="1">
      <alignment horizontal="center" vertical="center"/>
    </xf>
    <xf numFmtId="0" fontId="30" fillId="14" borderId="286" xfId="0" applyFont="1" applyFill="1" applyBorder="1" applyAlignment="1">
      <alignment horizontal="center" vertical="center"/>
    </xf>
    <xf numFmtId="16" fontId="22" fillId="7" borderId="115" xfId="0" applyNumberFormat="1" applyFont="1" applyFill="1" applyBorder="1" applyAlignment="1">
      <alignment horizontal="center" vertical="center"/>
    </xf>
    <xf numFmtId="0" fontId="30" fillId="14" borderId="0" xfId="0" applyFont="1" applyFill="1"/>
    <xf numFmtId="0" fontId="30" fillId="14" borderId="0" xfId="0" applyFont="1" applyFill="1" applyAlignment="1">
      <alignment vertical="center"/>
    </xf>
    <xf numFmtId="0" fontId="30" fillId="0" borderId="0" xfId="0" applyFont="1" applyAlignment="1">
      <alignment horizontal="center"/>
    </xf>
    <xf numFmtId="0" fontId="39" fillId="0" borderId="45" xfId="0" applyFont="1" applyBorder="1" applyAlignment="1">
      <alignment horizontal="center" vertical="center"/>
    </xf>
    <xf numFmtId="0" fontId="30" fillId="14" borderId="13" xfId="0" applyFont="1" applyFill="1" applyBorder="1" applyAlignment="1">
      <alignment horizontal="center" vertical="center"/>
    </xf>
    <xf numFmtId="0" fontId="39" fillId="0" borderId="123" xfId="0" applyFont="1" applyBorder="1" applyAlignment="1">
      <alignment horizontal="center" vertical="center"/>
    </xf>
    <xf numFmtId="0" fontId="39" fillId="0" borderId="127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30" fillId="0" borderId="447" xfId="0" applyFont="1" applyBorder="1" applyAlignment="1">
      <alignment horizontal="center" vertical="center"/>
    </xf>
    <xf numFmtId="0" fontId="30" fillId="0" borderId="448" xfId="0" applyFont="1" applyBorder="1" applyAlignment="1">
      <alignment horizontal="center" vertical="center"/>
    </xf>
    <xf numFmtId="0" fontId="30" fillId="0" borderId="449" xfId="0" applyFont="1" applyBorder="1" applyAlignment="1">
      <alignment horizontal="center" vertical="center"/>
    </xf>
    <xf numFmtId="168" fontId="30" fillId="0" borderId="450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vertical="center"/>
    </xf>
    <xf numFmtId="0" fontId="30" fillId="0" borderId="451" xfId="0" applyFont="1" applyBorder="1" applyAlignment="1">
      <alignment horizontal="center" vertical="center"/>
    </xf>
    <xf numFmtId="0" fontId="30" fillId="0" borderId="450" xfId="0" applyFont="1" applyBorder="1" applyAlignment="1">
      <alignment horizontal="center" vertical="center"/>
    </xf>
    <xf numFmtId="0" fontId="30" fillId="0" borderId="452" xfId="0" applyFont="1" applyBorder="1" applyAlignment="1">
      <alignment horizontal="center" vertical="center"/>
    </xf>
    <xf numFmtId="0" fontId="39" fillId="0" borderId="450" xfId="0" applyFont="1" applyBorder="1" applyAlignment="1">
      <alignment horizontal="center" vertical="center"/>
    </xf>
    <xf numFmtId="0" fontId="39" fillId="0" borderId="451" xfId="0" applyFont="1" applyBorder="1" applyAlignment="1">
      <alignment horizontal="center" vertical="center"/>
    </xf>
    <xf numFmtId="0" fontId="39" fillId="0" borderId="453" xfId="0" applyFont="1" applyBorder="1" applyAlignment="1">
      <alignment horizontal="center" vertical="center"/>
    </xf>
    <xf numFmtId="49" fontId="39" fillId="0" borderId="448" xfId="0" applyNumberFormat="1" applyFont="1" applyBorder="1" applyAlignment="1">
      <alignment horizontal="center" vertical="center"/>
    </xf>
    <xf numFmtId="0" fontId="39" fillId="0" borderId="454" xfId="0" applyFont="1" applyBorder="1" applyAlignment="1">
      <alignment horizontal="center" vertical="center"/>
    </xf>
    <xf numFmtId="49" fontId="30" fillId="0" borderId="450" xfId="0" applyNumberFormat="1" applyFont="1" applyBorder="1" applyAlignment="1">
      <alignment horizontal="center" vertical="center"/>
    </xf>
    <xf numFmtId="0" fontId="30" fillId="12" borderId="448" xfId="0" applyFont="1" applyFill="1" applyBorder="1" applyAlignment="1">
      <alignment horizontal="center" vertical="center"/>
    </xf>
    <xf numFmtId="0" fontId="30" fillId="0" borderId="455" xfId="0" applyFont="1" applyBorder="1" applyAlignment="1">
      <alignment horizontal="center" vertical="center"/>
    </xf>
    <xf numFmtId="0" fontId="30" fillId="0" borderId="454" xfId="0" applyFont="1" applyBorder="1" applyAlignment="1">
      <alignment horizontal="center" vertical="center"/>
    </xf>
    <xf numFmtId="0" fontId="39" fillId="0" borderId="448" xfId="0" applyFont="1" applyBorder="1" applyAlignment="1">
      <alignment horizontal="center" vertical="center"/>
    </xf>
    <xf numFmtId="0" fontId="30" fillId="13" borderId="452" xfId="0" applyFont="1" applyFill="1" applyBorder="1" applyAlignment="1">
      <alignment horizontal="center" vertical="center"/>
    </xf>
    <xf numFmtId="0" fontId="30" fillId="10" borderId="448" xfId="0" applyFont="1" applyFill="1" applyBorder="1" applyAlignment="1">
      <alignment horizontal="center" vertical="center"/>
    </xf>
    <xf numFmtId="0" fontId="39" fillId="0" borderId="147" xfId="0" applyFont="1" applyBorder="1" applyAlignment="1">
      <alignment horizontal="center" vertical="center"/>
    </xf>
    <xf numFmtId="16" fontId="22" fillId="7" borderId="134" xfId="0" applyNumberFormat="1" applyFont="1" applyFill="1" applyBorder="1" applyAlignment="1">
      <alignment horizontal="center" vertical="center"/>
    </xf>
    <xf numFmtId="20" fontId="22" fillId="7" borderId="135" xfId="0" applyNumberFormat="1" applyFont="1" applyFill="1" applyBorder="1" applyAlignment="1">
      <alignment horizontal="center" vertical="center"/>
    </xf>
    <xf numFmtId="167" fontId="22" fillId="7" borderId="338" xfId="0" applyNumberFormat="1" applyFont="1" applyFill="1" applyBorder="1" applyAlignment="1">
      <alignment horizontal="center" vertical="center"/>
    </xf>
    <xf numFmtId="0" fontId="30" fillId="0" borderId="346" xfId="0" applyFont="1" applyBorder="1" applyAlignment="1">
      <alignment horizontal="center" vertical="center"/>
    </xf>
    <xf numFmtId="0" fontId="30" fillId="0" borderId="334" xfId="0" applyFont="1" applyBorder="1" applyAlignment="1">
      <alignment horizontal="center" vertical="center"/>
    </xf>
    <xf numFmtId="0" fontId="30" fillId="0" borderId="345" xfId="0" applyFont="1" applyBorder="1" applyAlignment="1">
      <alignment horizontal="center" vertical="center"/>
    </xf>
    <xf numFmtId="168" fontId="30" fillId="0" borderId="456" xfId="0" applyNumberFormat="1" applyFont="1" applyBorder="1" applyAlignment="1">
      <alignment horizontal="center" vertical="center"/>
    </xf>
    <xf numFmtId="0" fontId="30" fillId="0" borderId="140" xfId="0" applyFont="1" applyBorder="1" applyAlignment="1">
      <alignment horizontal="center" vertical="center"/>
    </xf>
    <xf numFmtId="0" fontId="30" fillId="0" borderId="324" xfId="0" applyFont="1" applyBorder="1" applyAlignment="1">
      <alignment horizontal="center" vertical="center"/>
    </xf>
    <xf numFmtId="0" fontId="30" fillId="0" borderId="456" xfId="0" applyFont="1" applyBorder="1" applyAlignment="1">
      <alignment horizontal="center" vertical="center"/>
    </xf>
    <xf numFmtId="0" fontId="30" fillId="0" borderId="457" xfId="0" applyFont="1" applyBorder="1" applyAlignment="1">
      <alignment horizontal="center" vertical="center"/>
    </xf>
    <xf numFmtId="0" fontId="39" fillId="0" borderId="456" xfId="0" applyFont="1" applyBorder="1" applyAlignment="1">
      <alignment horizontal="center" vertical="center"/>
    </xf>
    <xf numFmtId="0" fontId="39" fillId="0" borderId="324" xfId="0" applyFont="1" applyBorder="1" applyAlignment="1">
      <alignment horizontal="center" vertical="center"/>
    </xf>
    <xf numFmtId="0" fontId="39" fillId="0" borderId="458" xfId="0" applyFont="1" applyBorder="1" applyAlignment="1">
      <alignment horizontal="center" vertical="center"/>
    </xf>
    <xf numFmtId="49" fontId="39" fillId="0" borderId="334" xfId="0" applyNumberFormat="1" applyFont="1" applyBorder="1" applyAlignment="1">
      <alignment horizontal="center" vertical="center"/>
    </xf>
    <xf numFmtId="0" fontId="39" fillId="0" borderId="459" xfId="0" applyFont="1" applyBorder="1" applyAlignment="1">
      <alignment horizontal="center" vertical="center"/>
    </xf>
    <xf numFmtId="49" fontId="30" fillId="0" borderId="456" xfId="0" applyNumberFormat="1" applyFont="1" applyBorder="1" applyAlignment="1">
      <alignment horizontal="center" vertical="center"/>
    </xf>
    <xf numFmtId="0" fontId="30" fillId="12" borderId="334" xfId="0" applyFont="1" applyFill="1" applyBorder="1" applyAlignment="1">
      <alignment horizontal="center" vertical="center"/>
    </xf>
    <xf numFmtId="0" fontId="30" fillId="0" borderId="460" xfId="0" applyFont="1" applyBorder="1" applyAlignment="1">
      <alignment horizontal="center" vertical="center"/>
    </xf>
    <xf numFmtId="0" fontId="30" fillId="0" borderId="459" xfId="0" applyFont="1" applyBorder="1" applyAlignment="1">
      <alignment horizontal="center" vertical="center"/>
    </xf>
    <xf numFmtId="0" fontId="39" fillId="0" borderId="334" xfId="0" applyFont="1" applyBorder="1" applyAlignment="1">
      <alignment horizontal="center" vertical="center"/>
    </xf>
    <xf numFmtId="0" fontId="30" fillId="13" borderId="457" xfId="0" applyFont="1" applyFill="1" applyBorder="1" applyAlignment="1">
      <alignment horizontal="center" vertical="center"/>
    </xf>
    <xf numFmtId="0" fontId="30" fillId="10" borderId="334" xfId="0" applyFont="1" applyFill="1" applyBorder="1" applyAlignment="1">
      <alignment horizontal="center" vertical="center"/>
    </xf>
    <xf numFmtId="0" fontId="30" fillId="14" borderId="334" xfId="0" applyFont="1" applyFill="1" applyBorder="1" applyAlignment="1">
      <alignment horizontal="center" vertical="center"/>
    </xf>
    <xf numFmtId="0" fontId="39" fillId="0" borderId="68" xfId="0" applyFont="1" applyBorder="1" applyAlignment="1">
      <alignment horizontal="center" vertical="center"/>
    </xf>
    <xf numFmtId="0" fontId="30" fillId="14" borderId="334" xfId="0" applyFont="1" applyFill="1" applyBorder="1" applyAlignment="1">
      <alignment horizontal="center" vertical="center" wrapText="1"/>
    </xf>
    <xf numFmtId="0" fontId="30" fillId="14" borderId="35" xfId="0" applyFont="1" applyFill="1" applyBorder="1" applyAlignment="1">
      <alignment horizontal="left" vertical="center"/>
    </xf>
    <xf numFmtId="0" fontId="30" fillId="0" borderId="323" xfId="0" applyFont="1" applyBorder="1" applyAlignment="1">
      <alignment horizontal="center" vertical="center"/>
    </xf>
    <xf numFmtId="168" fontId="30" fillId="0" borderId="334" xfId="0" applyNumberFormat="1" applyFont="1" applyBorder="1" applyAlignment="1">
      <alignment horizontal="center" vertical="center"/>
    </xf>
    <xf numFmtId="168" fontId="30" fillId="0" borderId="335" xfId="0" applyNumberFormat="1" applyFont="1" applyBorder="1" applyAlignment="1">
      <alignment horizontal="center" vertical="center"/>
    </xf>
    <xf numFmtId="0" fontId="30" fillId="0" borderId="461" xfId="0" applyFont="1" applyBorder="1" applyAlignment="1">
      <alignment horizontal="center" vertical="center"/>
    </xf>
    <xf numFmtId="0" fontId="30" fillId="0" borderId="462" xfId="0" applyFont="1" applyBorder="1" applyAlignment="1">
      <alignment horizontal="center" vertical="center"/>
    </xf>
    <xf numFmtId="0" fontId="30" fillId="0" borderId="335" xfId="0" applyFont="1" applyBorder="1" applyAlignment="1">
      <alignment horizontal="center" vertical="center"/>
    </xf>
    <xf numFmtId="0" fontId="30" fillId="0" borderId="463" xfId="0" applyFont="1" applyBorder="1" applyAlignment="1">
      <alignment horizontal="center" vertical="center"/>
    </xf>
    <xf numFmtId="0" fontId="30" fillId="14" borderId="345" xfId="0" applyFont="1" applyFill="1" applyBorder="1" applyAlignment="1">
      <alignment horizontal="center" vertical="center"/>
    </xf>
    <xf numFmtId="0" fontId="30" fillId="14" borderId="86" xfId="0" applyFont="1" applyFill="1" applyBorder="1" applyAlignment="1">
      <alignment horizontal="center" vertical="center"/>
    </xf>
    <xf numFmtId="0" fontId="30" fillId="14" borderId="39" xfId="0" applyFont="1" applyFill="1" applyBorder="1" applyAlignment="1">
      <alignment horizontal="center" vertical="center"/>
    </xf>
    <xf numFmtId="0" fontId="30" fillId="14" borderId="6" xfId="0" applyFont="1" applyFill="1" applyBorder="1" applyAlignment="1">
      <alignment horizontal="center" vertical="center"/>
    </xf>
    <xf numFmtId="16" fontId="18" fillId="7" borderId="115" xfId="0" applyNumberFormat="1" applyFont="1" applyFill="1" applyBorder="1" applyAlignment="1">
      <alignment horizontal="center" vertical="center"/>
    </xf>
    <xf numFmtId="168" fontId="30" fillId="14" borderId="35" xfId="0" applyNumberFormat="1" applyFont="1" applyFill="1" applyBorder="1" applyAlignment="1">
      <alignment horizontal="center" vertical="center"/>
    </xf>
    <xf numFmtId="168" fontId="30" fillId="14" borderId="38" xfId="0" applyNumberFormat="1" applyFont="1" applyFill="1" applyBorder="1" applyAlignment="1">
      <alignment horizontal="center" vertical="center"/>
    </xf>
    <xf numFmtId="168" fontId="30" fillId="14" borderId="391" xfId="0" applyNumberFormat="1" applyFont="1" applyFill="1" applyBorder="1" applyAlignment="1">
      <alignment horizontal="center" vertical="center"/>
    </xf>
    <xf numFmtId="168" fontId="30" fillId="14" borderId="434" xfId="0" applyNumberFormat="1" applyFont="1" applyFill="1" applyBorder="1" applyAlignment="1">
      <alignment horizontal="center" vertical="center"/>
    </xf>
    <xf numFmtId="0" fontId="30" fillId="14" borderId="5" xfId="0" applyFont="1" applyFill="1" applyBorder="1" applyAlignment="1">
      <alignment horizontal="center" vertical="center"/>
    </xf>
    <xf numFmtId="0" fontId="30" fillId="14" borderId="37" xfId="0" applyFont="1" applyFill="1" applyBorder="1" applyAlignment="1">
      <alignment horizontal="center" vertical="center"/>
    </xf>
    <xf numFmtId="168" fontId="30" fillId="14" borderId="334" xfId="0" applyNumberFormat="1" applyFont="1" applyFill="1" applyBorder="1" applyAlignment="1">
      <alignment horizontal="center" vertical="center"/>
    </xf>
    <xf numFmtId="168" fontId="30" fillId="14" borderId="335" xfId="0" applyNumberFormat="1" applyFont="1" applyFill="1" applyBorder="1" applyAlignment="1">
      <alignment horizontal="center" vertical="center"/>
    </xf>
    <xf numFmtId="0" fontId="39" fillId="14" borderId="247" xfId="0" applyFont="1" applyFill="1" applyBorder="1" applyAlignment="1">
      <alignment horizontal="center" vertical="center"/>
    </xf>
    <xf numFmtId="0" fontId="39" fillId="14" borderId="397" xfId="0" applyFont="1" applyFill="1" applyBorder="1" applyAlignment="1">
      <alignment horizontal="center" vertical="center"/>
    </xf>
    <xf numFmtId="0" fontId="30" fillId="14" borderId="456" xfId="0" applyFont="1" applyFill="1" applyBorder="1" applyAlignment="1">
      <alignment horizontal="center" vertical="center"/>
    </xf>
    <xf numFmtId="0" fontId="30" fillId="14" borderId="450" xfId="0" applyFont="1" applyFill="1" applyBorder="1" applyAlignment="1">
      <alignment horizontal="center" vertical="center"/>
    </xf>
    <xf numFmtId="0" fontId="30" fillId="14" borderId="405" xfId="0" applyFont="1" applyFill="1" applyBorder="1" applyAlignment="1">
      <alignment horizontal="center" vertical="center"/>
    </xf>
    <xf numFmtId="0" fontId="30" fillId="14" borderId="222" xfId="0" applyFont="1" applyFill="1" applyBorder="1" applyAlignment="1">
      <alignment horizontal="center" vertical="center"/>
    </xf>
    <xf numFmtId="0" fontId="30" fillId="14" borderId="411" xfId="0" applyFont="1" applyFill="1" applyBorder="1" applyAlignment="1">
      <alignment horizontal="center" vertical="center"/>
    </xf>
    <xf numFmtId="0" fontId="30" fillId="14" borderId="402" xfId="0" applyFont="1" applyFill="1" applyBorder="1" applyAlignment="1">
      <alignment horizontal="center" vertical="center"/>
    </xf>
    <xf numFmtId="0" fontId="30" fillId="14" borderId="391" xfId="0" applyFont="1" applyFill="1" applyBorder="1" applyAlignment="1">
      <alignment horizontal="center" vertical="center"/>
    </xf>
    <xf numFmtId="0" fontId="30" fillId="14" borderId="393" xfId="0" applyFont="1" applyFill="1" applyBorder="1" applyAlignment="1">
      <alignment horizontal="center" vertical="center"/>
    </xf>
    <xf numFmtId="0" fontId="30" fillId="14" borderId="414" xfId="0" applyFont="1" applyFill="1" applyBorder="1" applyAlignment="1">
      <alignment horizontal="center" vertical="center"/>
    </xf>
    <xf numFmtId="0" fontId="39" fillId="14" borderId="314" xfId="0" applyFont="1" applyFill="1" applyBorder="1" applyAlignment="1">
      <alignment horizontal="center" vertical="center"/>
    </xf>
    <xf numFmtId="0" fontId="30" fillId="14" borderId="313" xfId="0" applyFont="1" applyFill="1" applyBorder="1" applyAlignment="1">
      <alignment horizontal="center" vertical="center"/>
    </xf>
    <xf numFmtId="49" fontId="9" fillId="8" borderId="49" xfId="3" applyNumberFormat="1" applyFill="1" applyBorder="1" applyAlignment="1">
      <alignment horizontal="center" vertical="center" wrapText="1"/>
    </xf>
    <xf numFmtId="0" fontId="30" fillId="14" borderId="87" xfId="0" applyFont="1" applyFill="1" applyBorder="1" applyAlignment="1">
      <alignment horizontal="center" vertical="center"/>
    </xf>
    <xf numFmtId="0" fontId="39" fillId="14" borderId="76" xfId="0" applyFont="1" applyFill="1" applyBorder="1" applyAlignment="1">
      <alignment horizontal="center" vertical="center"/>
    </xf>
    <xf numFmtId="16" fontId="18" fillId="7" borderId="208" xfId="0" applyNumberFormat="1" applyFont="1" applyFill="1" applyBorder="1" applyAlignment="1">
      <alignment horizontal="center" vertical="center"/>
    </xf>
    <xf numFmtId="16" fontId="18" fillId="7" borderId="211" xfId="0" applyNumberFormat="1" applyFont="1" applyFill="1" applyBorder="1" applyAlignment="1">
      <alignment horizontal="center" vertical="center"/>
    </xf>
    <xf numFmtId="0" fontId="34" fillId="0" borderId="284" xfId="0" applyFont="1" applyBorder="1" applyAlignment="1">
      <alignment horizontal="center" vertical="center" wrapText="1"/>
    </xf>
    <xf numFmtId="0" fontId="34" fillId="0" borderId="285" xfId="0" applyFont="1" applyBorder="1" applyAlignment="1">
      <alignment horizontal="center" vertical="center" wrapText="1"/>
    </xf>
    <xf numFmtId="0" fontId="30" fillId="0" borderId="224" xfId="0" applyFont="1" applyBorder="1" applyAlignment="1">
      <alignment horizontal="center" vertical="center"/>
    </xf>
    <xf numFmtId="49" fontId="30" fillId="0" borderId="391" xfId="0" applyNumberFormat="1" applyFont="1" applyBorder="1" applyAlignment="1">
      <alignment horizontal="center" vertical="center"/>
    </xf>
    <xf numFmtId="0" fontId="30" fillId="0" borderId="250" xfId="0" applyFont="1" applyBorder="1" applyAlignment="1">
      <alignment horizontal="center" vertical="center"/>
    </xf>
    <xf numFmtId="16" fontId="30" fillId="0" borderId="393" xfId="0" applyNumberFormat="1" applyFont="1" applyBorder="1" applyAlignment="1">
      <alignment horizontal="center" vertical="center"/>
    </xf>
    <xf numFmtId="0" fontId="30" fillId="13" borderId="224" xfId="0" applyFont="1" applyFill="1" applyBorder="1" applyAlignment="1">
      <alignment horizontal="center" vertical="center"/>
    </xf>
    <xf numFmtId="0" fontId="30" fillId="10" borderId="394" xfId="0" applyFont="1" applyFill="1" applyBorder="1" applyAlignment="1">
      <alignment horizontal="center" vertical="center"/>
    </xf>
    <xf numFmtId="0" fontId="30" fillId="14" borderId="394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169" fontId="30" fillId="14" borderId="394" xfId="0" applyNumberFormat="1" applyFont="1" applyFill="1" applyBorder="1" applyAlignment="1">
      <alignment horizontal="center" vertical="center"/>
    </xf>
    <xf numFmtId="0" fontId="30" fillId="12" borderId="394" xfId="0" applyFont="1" applyFill="1" applyBorder="1" applyAlignment="1">
      <alignment horizontal="center" vertical="center"/>
    </xf>
    <xf numFmtId="0" fontId="39" fillId="15" borderId="35" xfId="0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0" fontId="17" fillId="4" borderId="18" xfId="3" applyFont="1" applyFill="1" applyBorder="1" applyAlignment="1">
      <alignment horizontal="center" vertical="center"/>
    </xf>
    <xf numFmtId="0" fontId="17" fillId="4" borderId="15" xfId="3" applyFont="1" applyFill="1" applyBorder="1" applyAlignment="1">
      <alignment horizontal="center" vertical="center"/>
    </xf>
    <xf numFmtId="0" fontId="17" fillId="4" borderId="16" xfId="3" applyFont="1" applyFill="1" applyBorder="1" applyAlignment="1">
      <alignment horizontal="center" vertical="center"/>
    </xf>
    <xf numFmtId="0" fontId="17" fillId="4" borderId="12" xfId="3" applyFont="1" applyFill="1" applyBorder="1" applyAlignment="1">
      <alignment horizontal="center" vertical="center"/>
    </xf>
    <xf numFmtId="0" fontId="17" fillId="4" borderId="13" xfId="3" applyFont="1" applyFill="1" applyBorder="1" applyAlignment="1">
      <alignment horizontal="center" vertical="center"/>
    </xf>
    <xf numFmtId="9" fontId="15" fillId="0" borderId="257" xfId="4" applyFont="1" applyFill="1" applyBorder="1" applyAlignment="1">
      <alignment horizontal="center" vertical="center" wrapText="1"/>
    </xf>
    <xf numFmtId="9" fontId="15" fillId="0" borderId="261" xfId="4" applyFont="1" applyFill="1" applyBorder="1" applyAlignment="1">
      <alignment horizontal="center" vertical="center" wrapText="1"/>
    </xf>
    <xf numFmtId="9" fontId="15" fillId="0" borderId="22" xfId="4" applyFont="1" applyFill="1" applyBorder="1" applyAlignment="1">
      <alignment horizontal="center" vertical="center" wrapText="1"/>
    </xf>
    <xf numFmtId="9" fontId="15" fillId="0" borderId="51" xfId="4" applyFont="1" applyFill="1" applyBorder="1" applyAlignment="1">
      <alignment horizontal="center" vertical="center" wrapText="1"/>
    </xf>
    <xf numFmtId="9" fontId="15" fillId="0" borderId="223" xfId="4" applyFont="1" applyFill="1" applyBorder="1" applyAlignment="1">
      <alignment horizontal="center" vertical="center" wrapText="1"/>
    </xf>
    <xf numFmtId="9" fontId="15" fillId="0" borderId="239" xfId="4" applyFont="1" applyFill="1" applyBorder="1" applyAlignment="1">
      <alignment horizontal="center" vertical="center" wrapText="1"/>
    </xf>
    <xf numFmtId="9" fontId="15" fillId="0" borderId="216" xfId="4" applyFont="1" applyFill="1" applyBorder="1" applyAlignment="1">
      <alignment horizontal="center" vertical="center" wrapText="1"/>
    </xf>
    <xf numFmtId="9" fontId="15" fillId="0" borderId="238" xfId="4" applyFont="1" applyFill="1" applyBorder="1" applyAlignment="1">
      <alignment horizontal="center" vertical="center" wrapText="1"/>
    </xf>
    <xf numFmtId="9" fontId="15" fillId="0" borderId="260" xfId="4" applyFont="1" applyFill="1" applyBorder="1" applyAlignment="1">
      <alignment horizontal="center" vertical="center" wrapText="1"/>
    </xf>
    <xf numFmtId="9" fontId="15" fillId="0" borderId="262" xfId="4" applyFont="1" applyFill="1" applyBorder="1" applyAlignment="1">
      <alignment horizontal="center" vertical="center" wrapText="1"/>
    </xf>
    <xf numFmtId="9" fontId="15" fillId="0" borderId="216" xfId="4" applyFont="1" applyBorder="1" applyAlignment="1">
      <alignment horizontal="center" vertical="center" wrapText="1"/>
    </xf>
    <xf numFmtId="9" fontId="15" fillId="0" borderId="238" xfId="4" applyFont="1" applyBorder="1" applyAlignment="1">
      <alignment horizontal="center" vertical="center" wrapText="1"/>
    </xf>
    <xf numFmtId="9" fontId="15" fillId="0" borderId="22" xfId="4" applyFont="1" applyBorder="1" applyAlignment="1">
      <alignment horizontal="center" vertical="center" wrapText="1"/>
    </xf>
    <xf numFmtId="9" fontId="15" fillId="0" borderId="51" xfId="4" applyFont="1" applyBorder="1" applyAlignment="1">
      <alignment horizontal="center" vertical="center" wrapText="1"/>
    </xf>
    <xf numFmtId="9" fontId="15" fillId="0" borderId="223" xfId="4" applyFont="1" applyBorder="1" applyAlignment="1">
      <alignment horizontal="center" vertical="center" wrapText="1"/>
    </xf>
    <xf numFmtId="9" fontId="15" fillId="0" borderId="239" xfId="4" applyFont="1" applyBorder="1" applyAlignment="1">
      <alignment horizontal="center" vertical="center" wrapText="1"/>
    </xf>
    <xf numFmtId="9" fontId="15" fillId="0" borderId="137" xfId="4" applyFont="1" applyFill="1" applyBorder="1" applyAlignment="1">
      <alignment horizontal="center" vertical="center" wrapText="1"/>
    </xf>
    <xf numFmtId="9" fontId="15" fillId="0" borderId="11" xfId="4" applyFont="1" applyFill="1" applyBorder="1" applyAlignment="1">
      <alignment horizontal="center" vertical="center" wrapText="1"/>
    </xf>
    <xf numFmtId="9" fontId="15" fillId="0" borderId="41" xfId="4" applyFont="1" applyFill="1" applyBorder="1" applyAlignment="1">
      <alignment horizontal="center" vertical="center" wrapText="1"/>
    </xf>
    <xf numFmtId="9" fontId="15" fillId="0" borderId="70" xfId="4" applyFont="1" applyFill="1" applyBorder="1" applyAlignment="1">
      <alignment horizontal="center" vertical="center" wrapText="1"/>
    </xf>
    <xf numFmtId="9" fontId="15" fillId="0" borderId="42" xfId="4" applyFont="1" applyFill="1" applyBorder="1" applyAlignment="1">
      <alignment horizontal="center" vertical="center" wrapText="1"/>
    </xf>
    <xf numFmtId="9" fontId="15" fillId="0" borderId="78" xfId="4" applyFont="1" applyFill="1" applyBorder="1" applyAlignment="1">
      <alignment horizontal="center" vertical="center" wrapText="1"/>
    </xf>
    <xf numFmtId="0" fontId="40" fillId="0" borderId="282" xfId="3" applyFont="1" applyBorder="1" applyAlignment="1">
      <alignment horizontal="center" vertical="center" wrapText="1"/>
    </xf>
    <xf numFmtId="0" fontId="28" fillId="10" borderId="70" xfId="3" applyFont="1" applyFill="1" applyBorder="1" applyAlignment="1">
      <alignment horizontal="center" vertical="center" wrapText="1"/>
    </xf>
    <xf numFmtId="0" fontId="28" fillId="10" borderId="152" xfId="3" applyFont="1" applyFill="1" applyBorder="1" applyAlignment="1">
      <alignment horizontal="center" vertical="center" wrapText="1"/>
    </xf>
    <xf numFmtId="0" fontId="9" fillId="5" borderId="1" xfId="3" applyFill="1" applyBorder="1" applyAlignment="1">
      <alignment horizontal="left" vertical="center" wrapText="1"/>
    </xf>
    <xf numFmtId="0" fontId="9" fillId="5" borderId="1" xfId="3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 wrapText="1"/>
    </xf>
    <xf numFmtId="0" fontId="6" fillId="7" borderId="40" xfId="3" applyFont="1" applyFill="1" applyBorder="1" applyAlignment="1">
      <alignment horizontal="center" vertical="center"/>
    </xf>
    <xf numFmtId="0" fontId="6" fillId="7" borderId="128" xfId="3" applyFont="1" applyFill="1" applyBorder="1" applyAlignment="1">
      <alignment horizontal="center" vertical="center"/>
    </xf>
    <xf numFmtId="0" fontId="6" fillId="7" borderId="163" xfId="3" applyFont="1" applyFill="1" applyBorder="1" applyAlignment="1">
      <alignment horizontal="center" vertical="center"/>
    </xf>
    <xf numFmtId="0" fontId="6" fillId="7" borderId="25" xfId="3" applyFont="1" applyFill="1" applyBorder="1" applyAlignment="1">
      <alignment horizontal="center" vertical="center"/>
    </xf>
    <xf numFmtId="0" fontId="6" fillId="7" borderId="371" xfId="3" applyFont="1" applyFill="1" applyBorder="1" applyAlignment="1">
      <alignment horizontal="center" vertical="center"/>
    </xf>
    <xf numFmtId="0" fontId="6" fillId="7" borderId="43" xfId="3" applyFont="1" applyFill="1" applyBorder="1" applyAlignment="1">
      <alignment horizontal="center" vertical="center"/>
    </xf>
    <xf numFmtId="0" fontId="6" fillId="7" borderId="74" xfId="3" applyFont="1" applyFill="1" applyBorder="1" applyAlignment="1">
      <alignment horizontal="center" vertical="center"/>
    </xf>
    <xf numFmtId="0" fontId="6" fillId="7" borderId="30" xfId="3" applyFont="1" applyFill="1" applyBorder="1" applyAlignment="1">
      <alignment horizontal="center" vertical="center"/>
    </xf>
    <xf numFmtId="0" fontId="6" fillId="7" borderId="44" xfId="3" applyFont="1" applyFill="1" applyBorder="1" applyAlignment="1">
      <alignment horizontal="center" vertical="center"/>
    </xf>
    <xf numFmtId="0" fontId="6" fillId="7" borderId="32" xfId="3" applyFont="1" applyFill="1" applyBorder="1" applyAlignment="1">
      <alignment horizontal="center" vertical="center"/>
    </xf>
    <xf numFmtId="0" fontId="6" fillId="7" borderId="26" xfId="3" applyFont="1" applyFill="1" applyBorder="1" applyAlignment="1">
      <alignment horizontal="center" vertical="center"/>
    </xf>
    <xf numFmtId="0" fontId="6" fillId="7" borderId="27" xfId="3" applyFont="1" applyFill="1" applyBorder="1" applyAlignment="1">
      <alignment horizontal="center" vertical="center"/>
    </xf>
    <xf numFmtId="0" fontId="6" fillId="7" borderId="114" xfId="3" applyFont="1" applyFill="1" applyBorder="1" applyAlignment="1">
      <alignment horizontal="center" vertical="center"/>
    </xf>
    <xf numFmtId="0" fontId="6" fillId="7" borderId="48" xfId="3" applyFont="1" applyFill="1" applyBorder="1" applyAlignment="1">
      <alignment horizontal="center" vertical="center" wrapText="1"/>
    </xf>
    <xf numFmtId="0" fontId="6" fillId="7" borderId="159" xfId="3" applyFont="1" applyFill="1" applyBorder="1" applyAlignment="1">
      <alignment horizontal="center" vertical="center" wrapText="1"/>
    </xf>
    <xf numFmtId="0" fontId="6" fillId="7" borderId="258" xfId="3" applyFont="1" applyFill="1" applyBorder="1" applyAlignment="1">
      <alignment horizontal="center" vertical="center" wrapText="1"/>
    </xf>
    <xf numFmtId="0" fontId="6" fillId="9" borderId="96" xfId="3" applyFont="1" applyFill="1" applyBorder="1" applyAlignment="1">
      <alignment horizontal="center" vertical="center" wrapText="1"/>
    </xf>
    <xf numFmtId="0" fontId="6" fillId="9" borderId="373" xfId="3" applyFont="1" applyFill="1" applyBorder="1" applyAlignment="1">
      <alignment horizontal="center" vertical="center" wrapText="1"/>
    </xf>
    <xf numFmtId="0" fontId="6" fillId="9" borderId="22" xfId="3" applyFont="1" applyFill="1" applyBorder="1" applyAlignment="1">
      <alignment horizontal="center" vertical="center" wrapText="1"/>
    </xf>
    <xf numFmtId="0" fontId="6" fillId="9" borderId="51" xfId="3" applyFont="1" applyFill="1" applyBorder="1" applyAlignment="1">
      <alignment horizontal="center" vertical="center" wrapText="1"/>
    </xf>
    <xf numFmtId="0" fontId="6" fillId="9" borderId="12" xfId="3" applyFont="1" applyFill="1" applyBorder="1" applyAlignment="1">
      <alignment horizontal="center" vertical="center" wrapText="1"/>
    </xf>
    <xf numFmtId="0" fontId="6" fillId="9" borderId="14" xfId="3" applyFont="1" applyFill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90" xfId="3" applyFont="1" applyBorder="1" applyAlignment="1">
      <alignment horizontal="center" vertical="center" wrapText="1"/>
    </xf>
    <xf numFmtId="0" fontId="6" fillId="0" borderId="445" xfId="3" applyFont="1" applyBorder="1" applyAlignment="1">
      <alignment horizontal="center" vertical="center" wrapText="1"/>
    </xf>
    <xf numFmtId="0" fontId="6" fillId="0" borderId="91" xfId="3" applyFont="1" applyBorder="1" applyAlignment="1">
      <alignment horizontal="center" vertical="center" wrapText="1"/>
    </xf>
    <xf numFmtId="0" fontId="15" fillId="0" borderId="96" xfId="3" applyFont="1" applyBorder="1" applyAlignment="1">
      <alignment horizontal="center" vertical="center"/>
    </xf>
    <xf numFmtId="0" fontId="15" fillId="0" borderId="373" xfId="3" applyFont="1" applyBorder="1" applyAlignment="1">
      <alignment horizontal="center" vertical="center"/>
    </xf>
    <xf numFmtId="0" fontId="15" fillId="0" borderId="22" xfId="3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/>
    </xf>
    <xf numFmtId="0" fontId="15" fillId="0" borderId="223" xfId="3" applyFont="1" applyBorder="1" applyAlignment="1">
      <alignment horizontal="center" vertical="center"/>
    </xf>
    <xf numFmtId="0" fontId="15" fillId="0" borderId="239" xfId="3" applyFont="1" applyBorder="1" applyAlignment="1">
      <alignment horizontal="center" vertical="center"/>
    </xf>
    <xf numFmtId="0" fontId="15" fillId="0" borderId="216" xfId="3" applyFont="1" applyBorder="1" applyAlignment="1">
      <alignment horizontal="center" vertical="center" wrapText="1"/>
    </xf>
    <xf numFmtId="0" fontId="15" fillId="0" borderId="238" xfId="3" applyFont="1" applyBorder="1" applyAlignment="1">
      <alignment horizontal="center" vertical="center" wrapText="1"/>
    </xf>
    <xf numFmtId="0" fontId="15" fillId="0" borderId="22" xfId="3" applyFont="1" applyBorder="1" applyAlignment="1">
      <alignment horizontal="center" vertical="center" wrapText="1"/>
    </xf>
    <xf numFmtId="0" fontId="15" fillId="0" borderId="51" xfId="3" applyFont="1" applyBorder="1" applyAlignment="1">
      <alignment horizontal="center" vertical="center" wrapText="1"/>
    </xf>
    <xf numFmtId="0" fontId="15" fillId="0" borderId="223" xfId="3" applyFont="1" applyBorder="1" applyAlignment="1">
      <alignment horizontal="center" vertical="center" wrapText="1"/>
    </xf>
    <xf numFmtId="0" fontId="15" fillId="0" borderId="239" xfId="3" applyFont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/>
    </xf>
    <xf numFmtId="0" fontId="15" fillId="0" borderId="67" xfId="3" applyFont="1" applyBorder="1" applyAlignment="1">
      <alignment horizontal="center" vertical="center"/>
    </xf>
    <xf numFmtId="0" fontId="15" fillId="0" borderId="8" xfId="3" applyFont="1" applyBorder="1" applyAlignment="1">
      <alignment horizontal="center" vertical="center"/>
    </xf>
    <xf numFmtId="0" fontId="15" fillId="0" borderId="7" xfId="3" applyFont="1" applyBorder="1" applyAlignment="1">
      <alignment horizontal="center" vertical="center"/>
    </xf>
    <xf numFmtId="0" fontId="6" fillId="5" borderId="96" xfId="3" applyFont="1" applyFill="1" applyBorder="1" applyAlignment="1">
      <alignment horizontal="center" vertical="center" wrapText="1"/>
    </xf>
    <xf numFmtId="0" fontId="6" fillId="5" borderId="89" xfId="3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5" borderId="90" xfId="3" applyFont="1" applyFill="1" applyBorder="1" applyAlignment="1">
      <alignment horizontal="center" vertical="center"/>
    </xf>
    <xf numFmtId="0" fontId="6" fillId="5" borderId="445" xfId="3" applyFont="1" applyFill="1" applyBorder="1" applyAlignment="1">
      <alignment horizontal="center" vertical="center"/>
    </xf>
    <xf numFmtId="0" fontId="6" fillId="5" borderId="91" xfId="3" applyFont="1" applyFill="1" applyBorder="1" applyAlignment="1">
      <alignment horizontal="center" vertical="center"/>
    </xf>
    <xf numFmtId="0" fontId="15" fillId="0" borderId="310" xfId="3" applyFont="1" applyBorder="1" applyAlignment="1">
      <alignment horizontal="center" vertical="center"/>
    </xf>
    <xf numFmtId="0" fontId="15" fillId="0" borderId="236" xfId="3" applyFont="1" applyBorder="1" applyAlignment="1">
      <alignment horizontal="center" vertical="center"/>
    </xf>
    <xf numFmtId="0" fontId="15" fillId="0" borderId="71" xfId="3" applyFont="1" applyBorder="1" applyAlignment="1">
      <alignment horizontal="center" vertical="center"/>
    </xf>
    <xf numFmtId="0" fontId="15" fillId="0" borderId="70" xfId="3" applyFont="1" applyBorder="1" applyAlignment="1">
      <alignment horizontal="center" vertical="center"/>
    </xf>
    <xf numFmtId="0" fontId="15" fillId="0" borderId="267" xfId="3" applyFont="1" applyBorder="1" applyAlignment="1">
      <alignment horizontal="center" vertical="center"/>
    </xf>
    <xf numFmtId="0" fontId="15" fillId="0" borderId="237" xfId="3" applyFont="1" applyBorder="1" applyAlignment="1">
      <alignment horizontal="center" vertical="center"/>
    </xf>
    <xf numFmtId="9" fontId="15" fillId="0" borderId="217" xfId="4" applyFont="1" applyFill="1" applyBorder="1" applyAlignment="1">
      <alignment horizontal="center" vertical="center" wrapText="1"/>
    </xf>
    <xf numFmtId="9" fontId="15" fillId="0" borderId="0" xfId="4" applyFont="1" applyFill="1" applyBorder="1" applyAlignment="1">
      <alignment horizontal="center" vertical="center" wrapText="1"/>
    </xf>
    <xf numFmtId="9" fontId="15" fillId="0" borderId="224" xfId="4" applyFont="1" applyFill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5" fillId="0" borderId="1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 wrapText="1"/>
    </xf>
    <xf numFmtId="0" fontId="15" fillId="0" borderId="372" xfId="3" applyFont="1" applyBorder="1" applyAlignment="1">
      <alignment horizontal="center" vertical="center"/>
    </xf>
    <xf numFmtId="0" fontId="15" fillId="0" borderId="252" xfId="3" applyFont="1" applyBorder="1" applyAlignment="1">
      <alignment horizontal="center" vertical="center"/>
    </xf>
    <xf numFmtId="0" fontId="15" fillId="0" borderId="90" xfId="3" applyFont="1" applyBorder="1" applyAlignment="1">
      <alignment horizontal="center" vertical="center"/>
    </xf>
    <xf numFmtId="0" fontId="15" fillId="0" borderId="243" xfId="3" applyFont="1" applyBorder="1" applyAlignment="1">
      <alignment horizontal="center" vertical="center"/>
    </xf>
    <xf numFmtId="0" fontId="15" fillId="0" borderId="224" xfId="3" applyFont="1" applyBorder="1" applyAlignment="1">
      <alignment horizontal="center" vertical="center"/>
    </xf>
    <xf numFmtId="0" fontId="15" fillId="0" borderId="216" xfId="3" applyFont="1" applyBorder="1" applyAlignment="1">
      <alignment horizontal="center" vertical="center"/>
    </xf>
    <xf numFmtId="0" fontId="15" fillId="0" borderId="238" xfId="3" applyFont="1" applyBorder="1" applyAlignment="1">
      <alignment horizontal="center" vertical="center"/>
    </xf>
    <xf numFmtId="0" fontId="6" fillId="0" borderId="96" xfId="3" applyFont="1" applyBorder="1" applyAlignment="1">
      <alignment horizontal="center" vertical="center" wrapText="1"/>
    </xf>
    <xf numFmtId="0" fontId="6" fillId="0" borderId="373" xfId="3" applyFont="1" applyBorder="1" applyAlignment="1">
      <alignment horizontal="center" vertical="center" wrapText="1"/>
    </xf>
    <xf numFmtId="0" fontId="6" fillId="0" borderId="51" xfId="3" applyFont="1" applyBorder="1" applyAlignment="1">
      <alignment horizontal="center" vertical="center" wrapText="1"/>
    </xf>
    <xf numFmtId="0" fontId="6" fillId="0" borderId="97" xfId="3" applyFont="1" applyBorder="1" applyAlignment="1">
      <alignment horizontal="center" vertical="center" wrapText="1"/>
    </xf>
    <xf numFmtId="0" fontId="15" fillId="0" borderId="310" xfId="3" applyFont="1" applyBorder="1" applyAlignment="1">
      <alignment horizontal="center" vertical="center" wrapText="1"/>
    </xf>
    <xf numFmtId="0" fontId="15" fillId="0" borderId="260" xfId="3" applyFont="1" applyBorder="1" applyAlignment="1">
      <alignment horizontal="center" vertical="center" wrapText="1"/>
    </xf>
    <xf numFmtId="0" fontId="15" fillId="0" borderId="262" xfId="3" applyFont="1" applyBorder="1" applyAlignment="1">
      <alignment horizontal="center" vertical="center" wrapText="1"/>
    </xf>
    <xf numFmtId="16" fontId="22" fillId="7" borderId="115" xfId="0" applyNumberFormat="1" applyFont="1" applyFill="1" applyBorder="1" applyAlignment="1">
      <alignment horizontal="center" vertical="center"/>
    </xf>
    <xf numFmtId="16" fontId="22" fillId="7" borderId="446" xfId="0" applyNumberFormat="1" applyFont="1" applyFill="1" applyBorder="1" applyAlignment="1">
      <alignment horizontal="center" vertical="center"/>
    </xf>
    <xf numFmtId="16" fontId="22" fillId="7" borderId="311" xfId="0" applyNumberFormat="1" applyFont="1" applyFill="1" applyBorder="1" applyAlignment="1">
      <alignment horizontal="center" vertical="center"/>
    </xf>
    <xf numFmtId="0" fontId="34" fillId="0" borderId="284" xfId="0" applyFont="1" applyBorder="1" applyAlignment="1">
      <alignment horizontal="center" vertical="center" wrapText="1"/>
    </xf>
    <xf numFmtId="0" fontId="34" fillId="0" borderId="285" xfId="0" applyFont="1" applyBorder="1" applyAlignment="1">
      <alignment horizontal="center" vertical="center" wrapText="1"/>
    </xf>
    <xf numFmtId="0" fontId="34" fillId="0" borderId="421" xfId="0" applyFont="1" applyBorder="1" applyAlignment="1">
      <alignment horizontal="center" vertical="center" wrapText="1"/>
    </xf>
    <xf numFmtId="0" fontId="34" fillId="0" borderId="422" xfId="0" applyFont="1" applyBorder="1" applyAlignment="1">
      <alignment horizontal="center" vertical="center" wrapText="1"/>
    </xf>
    <xf numFmtId="0" fontId="34" fillId="0" borderId="418" xfId="0" applyFont="1" applyBorder="1" applyAlignment="1">
      <alignment horizontal="center" vertical="center" wrapText="1"/>
    </xf>
    <xf numFmtId="0" fontId="34" fillId="0" borderId="419" xfId="0" applyFont="1" applyBorder="1" applyAlignment="1">
      <alignment horizontal="center" vertical="center" wrapText="1"/>
    </xf>
    <xf numFmtId="0" fontId="34" fillId="0" borderId="466" xfId="0" applyFont="1" applyBorder="1" applyAlignment="1">
      <alignment horizontal="center" vertical="center" wrapText="1"/>
    </xf>
    <xf numFmtId="0" fontId="34" fillId="0" borderId="286" xfId="0" applyFont="1" applyBorder="1" applyAlignment="1">
      <alignment horizontal="center" vertical="center" wrapText="1"/>
    </xf>
    <xf numFmtId="16" fontId="18" fillId="7" borderId="115" xfId="0" applyNumberFormat="1" applyFont="1" applyFill="1" applyBorder="1" applyAlignment="1">
      <alignment horizontal="center"/>
    </xf>
    <xf numFmtId="16" fontId="18" fillId="7" borderId="311" xfId="0" applyNumberFormat="1" applyFont="1" applyFill="1" applyBorder="1" applyAlignment="1">
      <alignment horizontal="center"/>
    </xf>
    <xf numFmtId="0" fontId="34" fillId="0" borderId="195" xfId="0" applyFont="1" applyBorder="1" applyAlignment="1">
      <alignment horizontal="center" wrapText="1"/>
    </xf>
    <xf numFmtId="0" fontId="34" fillId="0" borderId="197" xfId="0" applyFont="1" applyBorder="1" applyAlignment="1">
      <alignment horizontal="center" wrapText="1"/>
    </xf>
    <xf numFmtId="0" fontId="17" fillId="4" borderId="46" xfId="3" applyFont="1" applyFill="1" applyBorder="1" applyAlignment="1">
      <alignment horizontal="center" vertical="center"/>
    </xf>
    <xf numFmtId="0" fontId="17" fillId="4" borderId="47" xfId="3" applyFont="1" applyFill="1" applyBorder="1" applyAlignment="1">
      <alignment horizontal="center" vertical="center"/>
    </xf>
    <xf numFmtId="0" fontId="17" fillId="4" borderId="55" xfId="3" applyFont="1" applyFill="1" applyBorder="1" applyAlignment="1">
      <alignment horizontal="center" vertical="center"/>
    </xf>
    <xf numFmtId="0" fontId="8" fillId="0" borderId="126" xfId="3" applyFont="1" applyBorder="1" applyAlignment="1">
      <alignment horizontal="center" vertical="center" wrapText="1"/>
    </xf>
    <xf numFmtId="0" fontId="8" fillId="0" borderId="124" xfId="3" applyFont="1" applyBorder="1" applyAlignment="1">
      <alignment horizontal="center" vertical="center" wrapText="1"/>
    </xf>
    <xf numFmtId="0" fontId="8" fillId="0" borderId="125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wrapText="1"/>
    </xf>
    <xf numFmtId="0" fontId="8" fillId="0" borderId="51" xfId="3" applyFont="1" applyBorder="1" applyAlignment="1">
      <alignment horizontal="center" vertical="center" wrapText="1"/>
    </xf>
    <xf numFmtId="0" fontId="8" fillId="0" borderId="12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300" xfId="3" applyFont="1" applyBorder="1" applyAlignment="1">
      <alignment horizontal="center" vertical="center" wrapText="1"/>
    </xf>
    <xf numFmtId="0" fontId="8" fillId="0" borderId="301" xfId="3" applyFont="1" applyBorder="1" applyAlignment="1">
      <alignment horizontal="center" vertical="center" wrapText="1"/>
    </xf>
    <xf numFmtId="0" fontId="21" fillId="0" borderId="149" xfId="3" applyFont="1" applyBorder="1" applyAlignment="1">
      <alignment horizontal="center" vertical="center" wrapText="1"/>
    </xf>
    <xf numFmtId="0" fontId="21" fillId="0" borderId="150" xfId="3" applyFont="1" applyBorder="1" applyAlignment="1">
      <alignment horizontal="center" vertical="center" wrapText="1"/>
    </xf>
    <xf numFmtId="0" fontId="21" fillId="0" borderId="169" xfId="3" applyFont="1" applyBorder="1" applyAlignment="1">
      <alignment horizontal="center" vertical="center" wrapText="1"/>
    </xf>
    <xf numFmtId="0" fontId="8" fillId="0" borderId="158" xfId="3" applyFont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center" vertical="center" wrapText="1"/>
    </xf>
    <xf numFmtId="0" fontId="21" fillId="5" borderId="140" xfId="3" applyFont="1" applyFill="1" applyBorder="1" applyAlignment="1">
      <alignment horizontal="center" vertical="center" wrapText="1"/>
    </xf>
    <xf numFmtId="0" fontId="21" fillId="5" borderId="68" xfId="3" applyFont="1" applyFill="1" applyBorder="1" applyAlignment="1">
      <alignment horizontal="center" vertical="center" wrapText="1"/>
    </xf>
    <xf numFmtId="0" fontId="8" fillId="0" borderId="175" xfId="3" applyFont="1" applyBorder="1" applyAlignment="1">
      <alignment horizontal="center" vertical="center" wrapText="1"/>
    </xf>
    <xf numFmtId="0" fontId="8" fillId="0" borderId="179" xfId="3" applyFont="1" applyBorder="1" applyAlignment="1">
      <alignment horizontal="center" vertical="center" wrapText="1"/>
    </xf>
    <xf numFmtId="0" fontId="21" fillId="0" borderId="96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6" fillId="0" borderId="126" xfId="3" applyFont="1" applyBorder="1" applyAlignment="1">
      <alignment horizontal="center" vertical="center" wrapText="1"/>
    </xf>
    <xf numFmtId="0" fontId="40" fillId="0" borderId="1" xfId="3" applyFont="1" applyBorder="1" applyAlignment="1">
      <alignment horizontal="center" vertical="center" wrapText="1"/>
    </xf>
    <xf numFmtId="0" fontId="28" fillId="10" borderId="1" xfId="3" applyFont="1" applyFill="1" applyBorder="1" applyAlignment="1">
      <alignment horizontal="center" vertical="center" wrapText="1"/>
    </xf>
    <xf numFmtId="0" fontId="29" fillId="5" borderId="1" xfId="3" applyFont="1" applyFill="1" applyBorder="1" applyAlignment="1">
      <alignment horizontal="left" vertical="center" wrapText="1"/>
    </xf>
    <xf numFmtId="0" fontId="29" fillId="5" borderId="1" xfId="3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left" vertical="center" wrapText="1"/>
    </xf>
    <xf numFmtId="0" fontId="7" fillId="7" borderId="15" xfId="3" applyFont="1" applyFill="1" applyBorder="1" applyAlignment="1">
      <alignment horizontal="center" vertical="center"/>
    </xf>
    <xf numFmtId="0" fontId="7" fillId="7" borderId="17" xfId="3" applyFont="1" applyFill="1" applyBorder="1" applyAlignment="1">
      <alignment horizontal="center" vertical="center"/>
    </xf>
    <xf numFmtId="0" fontId="8" fillId="0" borderId="97" xfId="3" applyFont="1" applyBorder="1" applyAlignment="1">
      <alignment horizontal="center" vertical="center" wrapText="1"/>
    </xf>
    <xf numFmtId="0" fontId="21" fillId="0" borderId="153" xfId="3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98" xfId="0" applyFont="1" applyBorder="1" applyAlignment="1">
      <alignment horizontal="center" vertical="center" wrapText="1"/>
    </xf>
    <xf numFmtId="16" fontId="18" fillId="7" borderId="211" xfId="0" applyNumberFormat="1" applyFont="1" applyFill="1" applyBorder="1" applyAlignment="1">
      <alignment horizontal="center" vertical="center"/>
    </xf>
    <xf numFmtId="16" fontId="18" fillId="7" borderId="212" xfId="0" applyNumberFormat="1" applyFont="1" applyFill="1" applyBorder="1" applyAlignment="1">
      <alignment horizontal="center" vertical="center"/>
    </xf>
    <xf numFmtId="0" fontId="32" fillId="0" borderId="297" xfId="0" applyFont="1" applyBorder="1" applyAlignment="1">
      <alignment horizontal="center" vertical="center" wrapText="1"/>
    </xf>
    <xf numFmtId="0" fontId="32" fillId="0" borderId="104" xfId="0" applyFont="1" applyBorder="1" applyAlignment="1">
      <alignment horizontal="center" vertical="center" wrapText="1"/>
    </xf>
    <xf numFmtId="0" fontId="7" fillId="7" borderId="155" xfId="3" applyFont="1" applyFill="1" applyBorder="1" applyAlignment="1">
      <alignment horizontal="center" vertical="center"/>
    </xf>
    <xf numFmtId="0" fontId="7" fillId="7" borderId="157" xfId="3" applyFont="1" applyFill="1" applyBorder="1" applyAlignment="1">
      <alignment horizontal="center" vertical="center"/>
    </xf>
    <xf numFmtId="0" fontId="7" fillId="7" borderId="156" xfId="3" applyFont="1" applyFill="1" applyBorder="1" applyAlignment="1">
      <alignment horizontal="center" vertical="center" wrapText="1"/>
    </xf>
    <xf numFmtId="0" fontId="7" fillId="7" borderId="158" xfId="3" applyFont="1" applyFill="1" applyBorder="1" applyAlignment="1">
      <alignment horizontal="center" vertical="center" wrapText="1"/>
    </xf>
    <xf numFmtId="0" fontId="7" fillId="7" borderId="154" xfId="3" applyFont="1" applyFill="1" applyBorder="1" applyAlignment="1">
      <alignment horizontal="center" vertical="center"/>
    </xf>
    <xf numFmtId="0" fontId="7" fillId="7" borderId="16" xfId="3" applyFont="1" applyFill="1" applyBorder="1" applyAlignment="1">
      <alignment horizontal="center" vertical="center"/>
    </xf>
    <xf numFmtId="0" fontId="7" fillId="7" borderId="13" xfId="3" applyFont="1" applyFill="1" applyBorder="1" applyAlignment="1">
      <alignment horizontal="center" vertical="center"/>
    </xf>
    <xf numFmtId="0" fontId="17" fillId="0" borderId="146" xfId="3" applyFont="1" applyBorder="1" applyAlignment="1">
      <alignment horizontal="center" vertical="center" wrapText="1"/>
    </xf>
    <xf numFmtId="0" fontId="17" fillId="0" borderId="135" xfId="3" applyFont="1" applyBorder="1" applyAlignment="1">
      <alignment horizontal="center" vertical="center" wrapText="1"/>
    </xf>
    <xf numFmtId="0" fontId="17" fillId="0" borderId="136" xfId="3" applyFont="1" applyBorder="1" applyAlignment="1">
      <alignment horizontal="center" vertical="center" wrapText="1"/>
    </xf>
    <xf numFmtId="0" fontId="7" fillId="7" borderId="149" xfId="3" applyFont="1" applyFill="1" applyBorder="1" applyAlignment="1">
      <alignment horizontal="center" vertical="center"/>
    </xf>
    <xf numFmtId="0" fontId="7" fillId="7" borderId="169" xfId="3" applyFont="1" applyFill="1" applyBorder="1" applyAlignment="1">
      <alignment horizontal="center" vertical="center"/>
    </xf>
    <xf numFmtId="0" fontId="17" fillId="0" borderId="23" xfId="3" applyFont="1" applyBorder="1" applyAlignment="1">
      <alignment horizontal="center" vertical="center"/>
    </xf>
    <xf numFmtId="0" fontId="17" fillId="0" borderId="140" xfId="3" applyFont="1" applyBorder="1" applyAlignment="1">
      <alignment horizontal="center" vertical="center"/>
    </xf>
    <xf numFmtId="0" fontId="17" fillId="0" borderId="68" xfId="3" applyFont="1" applyBorder="1" applyAlignment="1">
      <alignment horizontal="center" vertical="center"/>
    </xf>
    <xf numFmtId="0" fontId="16" fillId="0" borderId="15" xfId="3" applyFont="1" applyBorder="1" applyAlignment="1">
      <alignment horizontal="center" vertical="center" textRotation="255" wrapText="1"/>
    </xf>
    <xf numFmtId="0" fontId="16" fillId="0" borderId="22" xfId="3" applyFont="1" applyBorder="1" applyAlignment="1">
      <alignment horizontal="center" vertical="center" textRotation="255" wrapText="1"/>
    </xf>
    <xf numFmtId="0" fontId="16" fillId="0" borderId="140" xfId="3" applyFont="1" applyBorder="1" applyAlignment="1">
      <alignment horizontal="center" vertical="center" textRotation="255" wrapText="1"/>
    </xf>
    <xf numFmtId="0" fontId="17" fillId="0" borderId="23" xfId="3" applyFont="1" applyBorder="1" applyAlignment="1">
      <alignment horizontal="center" vertical="center" wrapText="1"/>
    </xf>
    <xf numFmtId="0" fontId="17" fillId="0" borderId="140" xfId="3" applyFont="1" applyBorder="1" applyAlignment="1">
      <alignment horizontal="center" vertical="center" wrapText="1"/>
    </xf>
    <xf numFmtId="0" fontId="17" fillId="0" borderId="68" xfId="3" applyFont="1" applyBorder="1" applyAlignment="1">
      <alignment horizontal="center" vertical="center" wrapText="1"/>
    </xf>
    <xf numFmtId="0" fontId="17" fillId="0" borderId="134" xfId="3" applyFont="1" applyBorder="1" applyAlignment="1">
      <alignment horizontal="center" vertical="center" wrapText="1"/>
    </xf>
    <xf numFmtId="0" fontId="29" fillId="5" borderId="70" xfId="3" applyFont="1" applyFill="1" applyBorder="1" applyAlignment="1">
      <alignment horizontal="left" vertical="center" wrapText="1"/>
    </xf>
    <xf numFmtId="0" fontId="29" fillId="5" borderId="71" xfId="3" applyFont="1" applyFill="1" applyBorder="1" applyAlignment="1">
      <alignment horizontal="left" vertical="center" wrapText="1"/>
    </xf>
    <xf numFmtId="0" fontId="19" fillId="5" borderId="70" xfId="0" applyFont="1" applyFill="1" applyBorder="1" applyAlignment="1">
      <alignment horizontal="center" vertical="center"/>
    </xf>
    <xf numFmtId="0" fontId="19" fillId="5" borderId="71" xfId="0" applyFont="1" applyFill="1" applyBorder="1" applyAlignment="1">
      <alignment horizontal="center" vertical="center"/>
    </xf>
    <xf numFmtId="0" fontId="8" fillId="6" borderId="70" xfId="0" applyFont="1" applyFill="1" applyBorder="1" applyAlignment="1">
      <alignment horizontal="left" vertical="center" wrapText="1"/>
    </xf>
    <xf numFmtId="0" fontId="8" fillId="6" borderId="152" xfId="0" applyFont="1" applyFill="1" applyBorder="1" applyAlignment="1">
      <alignment horizontal="left" vertical="center" wrapText="1"/>
    </xf>
    <xf numFmtId="0" fontId="8" fillId="6" borderId="71" xfId="0" applyFont="1" applyFill="1" applyBorder="1" applyAlignment="1">
      <alignment horizontal="left" vertical="center" wrapText="1"/>
    </xf>
    <xf numFmtId="0" fontId="17" fillId="0" borderId="115" xfId="3" applyFont="1" applyBorder="1" applyAlignment="1">
      <alignment horizontal="center" vertical="center"/>
    </xf>
    <xf numFmtId="0" fontId="17" fillId="0" borderId="95" xfId="3" applyFont="1" applyBorder="1" applyAlignment="1">
      <alignment horizontal="center" vertical="center"/>
    </xf>
    <xf numFmtId="0" fontId="17" fillId="0" borderId="132" xfId="3" applyFont="1" applyBorder="1" applyAlignment="1">
      <alignment horizontal="center" vertical="center"/>
    </xf>
    <xf numFmtId="0" fontId="17" fillId="0" borderId="94" xfId="3" applyFont="1" applyBorder="1" applyAlignment="1">
      <alignment horizontal="center" vertical="center"/>
    </xf>
    <xf numFmtId="0" fontId="17" fillId="0" borderId="95" xfId="3" applyFont="1" applyBorder="1" applyAlignment="1">
      <alignment horizontal="center" vertical="center" wrapText="1"/>
    </xf>
    <xf numFmtId="0" fontId="17" fillId="0" borderId="132" xfId="3" applyFont="1" applyBorder="1" applyAlignment="1">
      <alignment horizontal="center" vertical="center" wrapText="1"/>
    </xf>
    <xf numFmtId="0" fontId="17" fillId="0" borderId="133" xfId="3" applyFont="1" applyBorder="1" applyAlignment="1">
      <alignment horizontal="center" vertical="center" wrapText="1"/>
    </xf>
    <xf numFmtId="0" fontId="17" fillId="4" borderId="19" xfId="3" applyFont="1" applyFill="1" applyBorder="1" applyAlignment="1">
      <alignment horizontal="center" vertical="center"/>
    </xf>
    <xf numFmtId="0" fontId="17" fillId="0" borderId="382" xfId="3" applyFont="1" applyBorder="1" applyAlignment="1">
      <alignment horizontal="center" vertical="center" wrapText="1"/>
    </xf>
    <xf numFmtId="0" fontId="17" fillId="0" borderId="75" xfId="3" applyFont="1" applyBorder="1" applyAlignment="1">
      <alignment horizontal="center" vertical="center"/>
    </xf>
    <xf numFmtId="0" fontId="17" fillId="0" borderId="370" xfId="3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/>
    </xf>
    <xf numFmtId="0" fontId="17" fillId="0" borderId="375" xfId="3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/>
    </xf>
    <xf numFmtId="0" fontId="17" fillId="0" borderId="105" xfId="3" applyFont="1" applyBorder="1" applyAlignment="1">
      <alignment horizontal="center" vertical="center" wrapText="1"/>
    </xf>
    <xf numFmtId="0" fontId="17" fillId="0" borderId="106" xfId="3" applyFont="1" applyBorder="1" applyAlignment="1">
      <alignment horizontal="center" vertical="center"/>
    </xf>
    <xf numFmtId="0" fontId="17" fillId="0" borderId="0" xfId="3" applyFont="1" applyAlignment="1">
      <alignment horizontal="center" vertical="center" wrapText="1"/>
    </xf>
    <xf numFmtId="0" fontId="17" fillId="0" borderId="0" xfId="3" applyFont="1" applyAlignment="1">
      <alignment horizontal="center" vertical="center"/>
    </xf>
    <xf numFmtId="0" fontId="17" fillId="0" borderId="84" xfId="3" applyFont="1" applyBorder="1" applyAlignment="1">
      <alignment horizontal="center" vertical="center"/>
    </xf>
    <xf numFmtId="0" fontId="17" fillId="0" borderId="141" xfId="3" applyFont="1" applyBorder="1" applyAlignment="1">
      <alignment horizontal="center" vertical="center" wrapText="1"/>
    </xf>
    <xf numFmtId="0" fontId="17" fillId="0" borderId="142" xfId="3" applyFont="1" applyBorder="1" applyAlignment="1">
      <alignment horizontal="center" vertical="center"/>
    </xf>
    <xf numFmtId="0" fontId="17" fillId="4" borderId="17" xfId="3" applyFont="1" applyFill="1" applyBorder="1" applyAlignment="1">
      <alignment horizontal="center" vertical="center"/>
    </xf>
    <xf numFmtId="0" fontId="17" fillId="4" borderId="14" xfId="3" applyFont="1" applyFill="1" applyBorder="1" applyAlignment="1">
      <alignment horizontal="center" vertical="center"/>
    </xf>
    <xf numFmtId="0" fontId="17" fillId="0" borderId="82" xfId="3" applyFont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/>
    </xf>
    <xf numFmtId="0" fontId="17" fillId="0" borderId="107" xfId="3" applyFont="1" applyBorder="1" applyAlignment="1">
      <alignment horizontal="center" vertical="center" wrapText="1"/>
    </xf>
    <xf numFmtId="0" fontId="17" fillId="0" borderId="108" xfId="3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7" fillId="0" borderId="103" xfId="3" applyFont="1" applyBorder="1" applyAlignment="1">
      <alignment horizontal="center" vertical="center" wrapText="1"/>
    </xf>
    <xf numFmtId="0" fontId="17" fillId="0" borderId="97" xfId="3" applyFont="1" applyBorder="1" applyAlignment="1">
      <alignment horizontal="center" vertical="center" wrapText="1"/>
    </xf>
    <xf numFmtId="0" fontId="17" fillId="0" borderId="81" xfId="3" applyFont="1" applyBorder="1" applyAlignment="1">
      <alignment horizontal="center" vertical="center" wrapText="1"/>
    </xf>
    <xf numFmtId="0" fontId="17" fillId="0" borderId="373" xfId="3" applyFont="1" applyBorder="1" applyAlignment="1">
      <alignment horizontal="center" vertical="center" wrapText="1"/>
    </xf>
    <xf numFmtId="0" fontId="7" fillId="5" borderId="0" xfId="3" applyFont="1" applyFill="1" applyAlignment="1">
      <alignment horizontal="center" vertical="center"/>
    </xf>
    <xf numFmtId="0" fontId="7" fillId="7" borderId="40" xfId="3" applyFont="1" applyFill="1" applyBorder="1" applyAlignment="1">
      <alignment horizontal="center" vertical="center"/>
    </xf>
    <xf numFmtId="0" fontId="7" fillId="7" borderId="32" xfId="3" applyFont="1" applyFill="1" applyBorder="1" applyAlignment="1">
      <alignment horizontal="center" vertical="center"/>
    </xf>
    <xf numFmtId="0" fontId="7" fillId="7" borderId="123" xfId="3" applyFont="1" applyFill="1" applyBorder="1" applyAlignment="1">
      <alignment horizontal="center" vertical="center"/>
    </xf>
    <xf numFmtId="0" fontId="7" fillId="7" borderId="98" xfId="3" applyFont="1" applyFill="1" applyBorder="1" applyAlignment="1">
      <alignment horizontal="center" vertical="center"/>
    </xf>
    <xf numFmtId="0" fontId="7" fillId="7" borderId="77" xfId="3" applyFont="1" applyFill="1" applyBorder="1" applyAlignment="1">
      <alignment horizontal="center" vertical="center"/>
    </xf>
    <xf numFmtId="0" fontId="7" fillId="7" borderId="147" xfId="3" applyFont="1" applyFill="1" applyBorder="1" applyAlignment="1">
      <alignment horizontal="center" vertical="center"/>
    </xf>
    <xf numFmtId="0" fontId="37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6" fontId="18" fillId="7" borderId="208" xfId="0" applyNumberFormat="1" applyFont="1" applyFill="1" applyBorder="1" applyAlignment="1">
      <alignment horizontal="center" vertical="center"/>
    </xf>
    <xf numFmtId="0" fontId="43" fillId="0" borderId="195" xfId="0" applyFont="1" applyBorder="1" applyAlignment="1">
      <alignment horizontal="center" vertical="center" wrapText="1"/>
    </xf>
    <xf numFmtId="0" fontId="43" fillId="0" borderId="213" xfId="0" applyFont="1" applyBorder="1" applyAlignment="1">
      <alignment horizontal="center" vertical="center" wrapText="1"/>
    </xf>
    <xf numFmtId="0" fontId="7" fillId="0" borderId="22" xfId="3" applyFont="1" applyBorder="1" applyAlignment="1">
      <alignment horizontal="center" vertical="center" wrapText="1"/>
    </xf>
    <xf numFmtId="0" fontId="7" fillId="0" borderId="51" xfId="3" applyFont="1" applyBorder="1" applyAlignment="1">
      <alignment horizontal="center" vertical="center" wrapText="1"/>
    </xf>
    <xf numFmtId="0" fontId="7" fillId="7" borderId="48" xfId="3" applyFont="1" applyFill="1" applyBorder="1" applyAlignment="1">
      <alignment horizontal="center" vertical="center" wrapText="1"/>
    </xf>
    <xf numFmtId="0" fontId="7" fillId="7" borderId="127" xfId="3" applyFont="1" applyFill="1" applyBorder="1" applyAlignment="1">
      <alignment horizontal="center" vertical="center" wrapText="1"/>
    </xf>
    <xf numFmtId="0" fontId="7" fillId="0" borderId="81" xfId="3" applyFont="1" applyBorder="1" applyAlignment="1">
      <alignment horizontal="center" vertical="center" wrapText="1"/>
    </xf>
    <xf numFmtId="0" fontId="7" fillId="0" borderId="89" xfId="3" applyFont="1" applyBorder="1" applyAlignment="1">
      <alignment horizontal="center" vertical="center"/>
    </xf>
    <xf numFmtId="0" fontId="7" fillId="0" borderId="82" xfId="3" applyFont="1" applyBorder="1" applyAlignment="1">
      <alignment horizontal="center" vertical="center"/>
    </xf>
    <xf numFmtId="0" fontId="7" fillId="0" borderId="90" xfId="3" applyFont="1" applyBorder="1" applyAlignment="1">
      <alignment horizontal="center" vertical="center"/>
    </xf>
    <xf numFmtId="0" fontId="7" fillId="0" borderId="103" xfId="3" applyFont="1" applyBorder="1" applyAlignment="1">
      <alignment horizontal="center" vertical="center"/>
    </xf>
    <xf numFmtId="0" fontId="7" fillId="0" borderId="84" xfId="3" applyFont="1" applyBorder="1" applyAlignment="1">
      <alignment horizontal="center" vertical="center"/>
    </xf>
    <xf numFmtId="16" fontId="18" fillId="7" borderId="15" xfId="0" applyNumberFormat="1" applyFont="1" applyFill="1" applyBorder="1" applyAlignment="1">
      <alignment horizontal="center" vertical="center"/>
    </xf>
    <xf numFmtId="16" fontId="18" fillId="7" borderId="17" xfId="0" applyNumberFormat="1" applyFont="1" applyFill="1" applyBorder="1" applyAlignment="1">
      <alignment horizontal="center" vertical="center"/>
    </xf>
    <xf numFmtId="20" fontId="18" fillId="7" borderId="52" xfId="0" applyNumberFormat="1" applyFont="1" applyFill="1" applyBorder="1" applyAlignment="1">
      <alignment horizontal="center" vertical="center"/>
    </xf>
    <xf numFmtId="20" fontId="18" fillId="7" borderId="123" xfId="0" applyNumberFormat="1" applyFont="1" applyFill="1" applyBorder="1" applyAlignment="1">
      <alignment horizontal="center" vertical="center"/>
    </xf>
    <xf numFmtId="20" fontId="18" fillId="7" borderId="428" xfId="0" applyNumberFormat="1" applyFont="1" applyFill="1" applyBorder="1" applyAlignment="1">
      <alignment horizontal="center" vertical="center"/>
    </xf>
    <xf numFmtId="20" fontId="18" fillId="7" borderId="14" xfId="0" applyNumberFormat="1" applyFont="1" applyFill="1" applyBorder="1" applyAlignment="1">
      <alignment horizontal="center" vertical="center"/>
    </xf>
    <xf numFmtId="0" fontId="46" fillId="0" borderId="15" xfId="0" applyFont="1" applyBorder="1" applyAlignment="1">
      <alignment horizontal="center" vertical="center" wrapText="1"/>
    </xf>
    <xf numFmtId="0" fontId="46" fillId="0" borderId="12" xfId="0" applyFont="1" applyBorder="1" applyAlignment="1">
      <alignment horizontal="center" vertical="center" wrapText="1"/>
    </xf>
    <xf numFmtId="0" fontId="46" fillId="0" borderId="424" xfId="0" applyFont="1" applyBorder="1" applyAlignment="1">
      <alignment horizontal="center" vertical="center" wrapText="1"/>
    </xf>
    <xf numFmtId="0" fontId="46" fillId="0" borderId="425" xfId="0" applyFont="1" applyBorder="1" applyAlignment="1">
      <alignment horizontal="center" vertical="center" wrapText="1"/>
    </xf>
    <xf numFmtId="0" fontId="46" fillId="0" borderId="464" xfId="0" applyFont="1" applyBorder="1" applyAlignment="1">
      <alignment horizontal="center" vertical="center" wrapText="1"/>
    </xf>
    <xf numFmtId="0" fontId="46" fillId="0" borderId="465" xfId="0" applyFont="1" applyBorder="1" applyAlignment="1">
      <alignment horizontal="center" vertical="center" wrapText="1"/>
    </xf>
    <xf numFmtId="16" fontId="18" fillId="7" borderId="429" xfId="0" applyNumberFormat="1" applyFont="1" applyFill="1" applyBorder="1" applyAlignment="1">
      <alignment horizontal="center" vertical="center"/>
    </xf>
    <xf numFmtId="16" fontId="18" fillId="7" borderId="113" xfId="0" applyNumberFormat="1" applyFont="1" applyFill="1" applyBorder="1" applyAlignment="1">
      <alignment horizontal="center" vertical="center"/>
    </xf>
    <xf numFmtId="0" fontId="46" fillId="0" borderId="23" xfId="0" applyFont="1" applyBorder="1" applyAlignment="1">
      <alignment horizontal="center" vertical="center" wrapText="1"/>
    </xf>
    <xf numFmtId="0" fontId="46" fillId="0" borderId="68" xfId="0" applyFont="1" applyBorder="1" applyAlignment="1">
      <alignment horizontal="center" vertical="center" wrapText="1"/>
    </xf>
    <xf numFmtId="20" fontId="18" fillId="7" borderId="8" xfId="0" applyNumberFormat="1" applyFont="1" applyFill="1" applyBorder="1" applyAlignment="1">
      <alignment horizontal="center" vertical="center"/>
    </xf>
    <xf numFmtId="20" fontId="18" fillId="7" borderId="203" xfId="0" applyNumberFormat="1" applyFont="1" applyFill="1" applyBorder="1" applyAlignment="1">
      <alignment horizontal="center" vertical="center"/>
    </xf>
    <xf numFmtId="0" fontId="8" fillId="0" borderId="46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40" xfId="3" applyFont="1" applyBorder="1" applyAlignment="1">
      <alignment horizontal="center" vertical="center"/>
    </xf>
    <xf numFmtId="0" fontId="8" fillId="0" borderId="41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32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36" xfId="3" applyFont="1" applyBorder="1" applyAlignment="1">
      <alignment horizontal="center" vertical="center"/>
    </xf>
    <xf numFmtId="0" fontId="41" fillId="0" borderId="282" xfId="3" applyFont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5" fillId="5" borderId="70" xfId="3" applyFont="1" applyFill="1" applyBorder="1" applyAlignment="1">
      <alignment horizontal="left" vertical="center" wrapText="1"/>
    </xf>
    <xf numFmtId="0" fontId="25" fillId="5" borderId="152" xfId="3" applyFont="1" applyFill="1" applyBorder="1" applyAlignment="1">
      <alignment horizontal="left" vertical="center" wrapText="1"/>
    </xf>
    <xf numFmtId="0" fontId="25" fillId="5" borderId="71" xfId="3" applyFont="1" applyFill="1" applyBorder="1" applyAlignment="1">
      <alignment horizontal="left" vertical="center" wrapText="1"/>
    </xf>
    <xf numFmtId="0" fontId="0" fillId="0" borderId="0" xfId="0"/>
    <xf numFmtId="0" fontId="7" fillId="7" borderId="22" xfId="3" applyFont="1" applyFill="1" applyBorder="1" applyAlignment="1">
      <alignment horizontal="center" vertical="center"/>
    </xf>
    <xf numFmtId="0" fontId="7" fillId="7" borderId="51" xfId="3" applyFont="1" applyFill="1" applyBorder="1" applyAlignment="1">
      <alignment horizontal="center" vertical="center"/>
    </xf>
    <xf numFmtId="0" fontId="7" fillId="7" borderId="12" xfId="3" applyFont="1" applyFill="1" applyBorder="1" applyAlignment="1">
      <alignment horizontal="center" vertical="center"/>
    </xf>
    <xf numFmtId="0" fontId="7" fillId="7" borderId="14" xfId="3" applyFont="1" applyFill="1" applyBorder="1" applyAlignment="1">
      <alignment horizontal="center" vertical="center"/>
    </xf>
    <xf numFmtId="0" fontId="7" fillId="7" borderId="205" xfId="3" applyFont="1" applyFill="1" applyBorder="1" applyAlignment="1">
      <alignment horizontal="center" vertical="center"/>
    </xf>
    <xf numFmtId="0" fontId="7" fillId="7" borderId="90" xfId="3" applyFont="1" applyFill="1" applyBorder="1" applyAlignment="1">
      <alignment horizontal="center" vertical="center"/>
    </xf>
    <xf numFmtId="0" fontId="7" fillId="7" borderId="206" xfId="3" applyFont="1" applyFill="1" applyBorder="1" applyAlignment="1">
      <alignment horizontal="center" vertical="center"/>
    </xf>
    <xf numFmtId="0" fontId="7" fillId="7" borderId="200" xfId="3" applyFont="1" applyFill="1" applyBorder="1" applyAlignment="1">
      <alignment horizontal="center" vertical="center"/>
    </xf>
    <xf numFmtId="0" fontId="7" fillId="7" borderId="108" xfId="3" applyFont="1" applyFill="1" applyBorder="1" applyAlignment="1">
      <alignment horizontal="center" vertical="center"/>
    </xf>
    <xf numFmtId="0" fontId="7" fillId="7" borderId="201" xfId="3" applyFont="1" applyFill="1" applyBorder="1" applyAlignment="1">
      <alignment horizontal="center" vertical="center"/>
    </xf>
    <xf numFmtId="0" fontId="7" fillId="7" borderId="154" xfId="3" applyFont="1" applyFill="1" applyBorder="1" applyAlignment="1">
      <alignment horizontal="center" vertical="center" wrapText="1"/>
    </xf>
    <xf numFmtId="0" fontId="7" fillId="7" borderId="82" xfId="3" applyFont="1" applyFill="1" applyBorder="1" applyAlignment="1">
      <alignment horizontal="center" vertical="center" wrapText="1"/>
    </xf>
    <xf numFmtId="0" fontId="7" fillId="7" borderId="157" xfId="3" applyFont="1" applyFill="1" applyBorder="1" applyAlignment="1">
      <alignment horizontal="center" vertical="center" wrapText="1"/>
    </xf>
    <xf numFmtId="0" fontId="7" fillId="0" borderId="15" xfId="3" applyFont="1" applyBorder="1" applyAlignment="1">
      <alignment horizontal="center" vertical="center"/>
    </xf>
    <xf numFmtId="0" fontId="7" fillId="0" borderId="17" xfId="3" applyFont="1" applyBorder="1" applyAlignment="1">
      <alignment horizontal="center" vertical="center"/>
    </xf>
    <xf numFmtId="0" fontId="7" fillId="0" borderId="22" xfId="3" applyFont="1" applyBorder="1" applyAlignment="1">
      <alignment horizontal="center" vertical="center"/>
    </xf>
    <xf numFmtId="0" fontId="7" fillId="0" borderId="5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7" fillId="0" borderId="14" xfId="3" applyFont="1" applyBorder="1" applyAlignment="1">
      <alignment horizontal="center" vertical="center"/>
    </xf>
    <xf numFmtId="0" fontId="11" fillId="0" borderId="23" xfId="3" applyFont="1" applyBorder="1" applyAlignment="1">
      <alignment horizontal="center" vertical="center" textRotation="255"/>
    </xf>
    <xf numFmtId="0" fontId="11" fillId="0" borderId="140" xfId="3" applyFont="1" applyBorder="1" applyAlignment="1">
      <alignment horizontal="center" vertical="center" textRotation="255"/>
    </xf>
    <xf numFmtId="0" fontId="11" fillId="0" borderId="68" xfId="3" applyFont="1" applyBorder="1" applyAlignment="1">
      <alignment horizontal="center" vertical="center" textRotation="255"/>
    </xf>
    <xf numFmtId="0" fontId="11" fillId="0" borderId="122" xfId="3" applyFont="1" applyBorder="1" applyAlignment="1">
      <alignment horizontal="center" vertical="center"/>
    </xf>
    <xf numFmtId="0" fontId="11" fillId="0" borderId="123" xfId="3" applyFont="1" applyBorder="1" applyAlignment="1">
      <alignment horizontal="center" vertical="center"/>
    </xf>
    <xf numFmtId="0" fontId="11" fillId="0" borderId="116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8" fillId="0" borderId="137" xfId="3" applyFont="1" applyBorder="1" applyAlignment="1">
      <alignment horizontal="center" vertical="center"/>
    </xf>
    <xf numFmtId="0" fontId="8" fillId="0" borderId="122" xfId="3" applyFont="1" applyBorder="1" applyAlignment="1">
      <alignment horizontal="center" vertical="center"/>
    </xf>
    <xf numFmtId="0" fontId="8" fillId="0" borderId="24" xfId="3" applyFont="1" applyBorder="1" applyAlignment="1">
      <alignment horizontal="center" vertical="center"/>
    </xf>
    <xf numFmtId="0" fontId="8" fillId="0" borderId="116" xfId="3" applyFont="1" applyBorder="1" applyAlignment="1">
      <alignment horizontal="center" vertical="center"/>
    </xf>
    <xf numFmtId="0" fontId="8" fillId="0" borderId="123" xfId="3" applyFont="1" applyBorder="1" applyAlignment="1">
      <alignment horizontal="center" vertical="center"/>
    </xf>
    <xf numFmtId="0" fontId="8" fillId="0" borderId="114" xfId="3" applyFont="1" applyBorder="1" applyAlignment="1">
      <alignment horizontal="center" vertical="center"/>
    </xf>
    <xf numFmtId="0" fontId="8" fillId="0" borderId="98" xfId="3" applyFont="1" applyBorder="1" applyAlignment="1">
      <alignment horizontal="center" vertical="center"/>
    </xf>
    <xf numFmtId="0" fontId="15" fillId="0" borderId="445" xfId="3" applyFont="1" applyBorder="1" applyAlignment="1">
      <alignment horizontal="center" vertical="center" wrapText="1"/>
    </xf>
    <xf numFmtId="0" fontId="15" fillId="0" borderId="97" xfId="3" applyFont="1" applyBorder="1" applyAlignment="1">
      <alignment horizontal="center" vertical="center" wrapText="1"/>
    </xf>
    <xf numFmtId="0" fontId="34" fillId="14" borderId="284" xfId="0" applyFont="1" applyFill="1" applyBorder="1" applyAlignment="1">
      <alignment horizontal="center" vertical="center" wrapText="1"/>
    </xf>
    <xf numFmtId="0" fontId="34" fillId="14" borderId="285" xfId="0" applyFont="1" applyFill="1" applyBorder="1" applyAlignment="1">
      <alignment horizontal="center" vertical="center" wrapText="1"/>
    </xf>
    <xf numFmtId="0" fontId="6" fillId="0" borderId="81" xfId="3" applyFont="1" applyBorder="1" applyAlignment="1">
      <alignment horizontal="center" vertical="center" wrapText="1"/>
    </xf>
    <xf numFmtId="0" fontId="6" fillId="0" borderId="82" xfId="3" applyFont="1" applyBorder="1" applyAlignment="1">
      <alignment horizontal="center" vertical="center" wrapText="1"/>
    </xf>
    <xf numFmtId="0" fontId="6" fillId="0" borderId="103" xfId="3" applyFont="1" applyBorder="1" applyAlignment="1">
      <alignment horizontal="center" vertical="center" wrapText="1"/>
    </xf>
    <xf numFmtId="0" fontId="15" fillId="0" borderId="96" xfId="3" applyFont="1" applyBorder="1" applyAlignment="1">
      <alignment horizontal="center" vertical="center" wrapText="1"/>
    </xf>
    <xf numFmtId="0" fontId="15" fillId="0" borderId="373" xfId="3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6" fillId="7" borderId="143" xfId="3" applyFont="1" applyFill="1" applyBorder="1" applyAlignment="1">
      <alignment horizontal="center" vertical="center"/>
    </xf>
    <xf numFmtId="0" fontId="6" fillId="7" borderId="32" xfId="3" applyFont="1" applyFill="1" applyBorder="1" applyAlignment="1">
      <alignment horizontal="center" vertical="center" wrapText="1"/>
    </xf>
    <xf numFmtId="0" fontId="6" fillId="7" borderId="26" xfId="3" applyFont="1" applyFill="1" applyBorder="1" applyAlignment="1">
      <alignment horizontal="center" vertical="center" wrapText="1"/>
    </xf>
    <xf numFmtId="0" fontId="6" fillId="7" borderId="143" xfId="3" applyFont="1" applyFill="1" applyBorder="1" applyAlignment="1">
      <alignment horizontal="center" vertical="center" wrapText="1"/>
    </xf>
    <xf numFmtId="0" fontId="6" fillId="7" borderId="429" xfId="3" applyFont="1" applyFill="1" applyBorder="1" applyAlignment="1">
      <alignment horizontal="center" vertical="center"/>
    </xf>
    <xf numFmtId="0" fontId="6" fillId="7" borderId="81" xfId="3" applyFont="1" applyFill="1" applyBorder="1" applyAlignment="1">
      <alignment horizontal="center" vertical="center"/>
    </xf>
    <xf numFmtId="0" fontId="6" fillId="7" borderId="444" xfId="3" applyFont="1" applyFill="1" applyBorder="1" applyAlignment="1">
      <alignment horizontal="center" vertical="center"/>
    </xf>
    <xf numFmtId="0" fontId="6" fillId="7" borderId="141" xfId="3" applyFont="1" applyFill="1" applyBorder="1" applyAlignment="1">
      <alignment horizontal="center" vertical="center"/>
    </xf>
    <xf numFmtId="0" fontId="6" fillId="7" borderId="151" xfId="3" applyFont="1" applyFill="1" applyBorder="1" applyAlignment="1">
      <alignment horizontal="center" vertical="center"/>
    </xf>
    <xf numFmtId="0" fontId="6" fillId="5" borderId="82" xfId="3" applyFont="1" applyFill="1" applyBorder="1" applyAlignment="1">
      <alignment horizontal="center" vertical="center" wrapText="1"/>
    </xf>
    <xf numFmtId="0" fontId="6" fillId="5" borderId="0" xfId="3" applyFont="1" applyFill="1" applyAlignment="1">
      <alignment horizontal="center" vertical="center"/>
    </xf>
    <xf numFmtId="0" fontId="6" fillId="5" borderId="82" xfId="3" applyFont="1" applyFill="1" applyBorder="1" applyAlignment="1">
      <alignment horizontal="center" vertical="center"/>
    </xf>
    <xf numFmtId="0" fontId="6" fillId="5" borderId="103" xfId="3" applyFont="1" applyFill="1" applyBorder="1" applyAlignment="1">
      <alignment horizontal="center" vertical="center"/>
    </xf>
    <xf numFmtId="0" fontId="6" fillId="5" borderId="84" xfId="3" applyFont="1" applyFill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0" fontId="15" fillId="0" borderId="17" xfId="3" applyFont="1" applyBorder="1" applyAlignment="1">
      <alignment horizontal="center" vertical="center" wrapText="1"/>
    </xf>
    <xf numFmtId="0" fontId="15" fillId="0" borderId="12" xfId="3" applyFont="1" applyBorder="1" applyAlignment="1">
      <alignment horizontal="center" vertical="center" wrapText="1"/>
    </xf>
    <xf numFmtId="0" fontId="15" fillId="0" borderId="14" xfId="3" applyFont="1" applyBorder="1" applyAlignment="1">
      <alignment horizontal="center" vertical="center" wrapText="1"/>
    </xf>
    <xf numFmtId="0" fontId="15" fillId="0" borderId="218" xfId="3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/>
    </xf>
    <xf numFmtId="0" fontId="15" fillId="0" borderId="225" xfId="3" applyFont="1" applyBorder="1" applyAlignment="1">
      <alignment horizontal="center" vertical="center"/>
    </xf>
    <xf numFmtId="0" fontId="15" fillId="0" borderId="137" xfId="3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/>
    </xf>
    <xf numFmtId="0" fontId="15" fillId="0" borderId="264" xfId="3" applyFont="1" applyBorder="1" applyAlignment="1">
      <alignment horizontal="center" vertical="center"/>
    </xf>
    <xf numFmtId="0" fontId="15" fillId="0" borderId="266" xfId="3" applyFont="1" applyBorder="1" applyAlignment="1">
      <alignment horizontal="center" vertical="center"/>
    </xf>
    <xf numFmtId="0" fontId="15" fillId="0" borderId="218" xfId="3" applyFont="1" applyBorder="1" applyAlignment="1">
      <alignment horizontal="center" vertical="center" wrapText="1"/>
    </xf>
    <xf numFmtId="0" fontId="15" fillId="0" borderId="137" xfId="3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/>
    </xf>
    <xf numFmtId="0" fontId="15" fillId="0" borderId="78" xfId="3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/>
    </xf>
    <xf numFmtId="0" fontId="15" fillId="0" borderId="77" xfId="3" applyFont="1" applyBorder="1" applyAlignment="1">
      <alignment horizontal="center" vertical="center"/>
    </xf>
    <xf numFmtId="9" fontId="15" fillId="0" borderId="218" xfId="4" applyFont="1" applyFill="1" applyBorder="1" applyAlignment="1">
      <alignment horizontal="center" vertical="center" wrapText="1"/>
    </xf>
    <xf numFmtId="9" fontId="15" fillId="0" borderId="236" xfId="4" applyFont="1" applyFill="1" applyBorder="1" applyAlignment="1">
      <alignment horizontal="center" vertical="center" wrapText="1"/>
    </xf>
    <xf numFmtId="9" fontId="15" fillId="0" borderId="225" xfId="4" applyFont="1" applyFill="1" applyBorder="1" applyAlignment="1">
      <alignment horizontal="center" vertical="center" wrapText="1"/>
    </xf>
    <xf numFmtId="9" fontId="15" fillId="0" borderId="237" xfId="4" applyFont="1" applyFill="1" applyBorder="1" applyAlignment="1">
      <alignment horizontal="center" vertical="center" wrapText="1"/>
    </xf>
    <xf numFmtId="0" fontId="6" fillId="9" borderId="81" xfId="3" applyFont="1" applyFill="1" applyBorder="1" applyAlignment="1">
      <alignment horizontal="center" vertical="center" wrapText="1"/>
    </xf>
    <xf numFmtId="0" fontId="6" fillId="9" borderId="88" xfId="3" applyFont="1" applyFill="1" applyBorder="1" applyAlignment="1">
      <alignment horizontal="center" vertical="center" wrapText="1"/>
    </xf>
    <xf numFmtId="0" fontId="6" fillId="9" borderId="82" xfId="3" applyFont="1" applyFill="1" applyBorder="1" applyAlignment="1">
      <alignment horizontal="center" vertical="center" wrapText="1"/>
    </xf>
    <xf numFmtId="0" fontId="6" fillId="9" borderId="0" xfId="3" applyFont="1" applyFill="1" applyAlignment="1">
      <alignment horizontal="center" vertical="center" wrapText="1"/>
    </xf>
    <xf numFmtId="0" fontId="6" fillId="9" borderId="103" xfId="3" applyFont="1" applyFill="1" applyBorder="1" applyAlignment="1">
      <alignment horizontal="center" vertical="center" wrapText="1"/>
    </xf>
    <xf numFmtId="0" fontId="6" fillId="9" borderId="84" xfId="3" applyFont="1" applyFill="1" applyBorder="1" applyAlignment="1">
      <alignment horizontal="center" vertical="center" wrapText="1"/>
    </xf>
    <xf numFmtId="9" fontId="15" fillId="0" borderId="75" xfId="4" applyFont="1" applyFill="1" applyBorder="1" applyAlignment="1">
      <alignment horizontal="center" vertical="center" wrapText="1"/>
    </xf>
    <xf numFmtId="9" fontId="15" fillId="0" borderId="49" xfId="4" applyFont="1" applyFill="1" applyBorder="1" applyAlignment="1">
      <alignment horizontal="center" vertical="center" wrapText="1"/>
    </xf>
    <xf numFmtId="9" fontId="15" fillId="0" borderId="52" xfId="4" applyFont="1" applyFill="1" applyBorder="1" applyAlignment="1">
      <alignment horizontal="center" vertical="center" wrapText="1"/>
    </xf>
    <xf numFmtId="9" fontId="15" fillId="0" borderId="50" xfId="4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9" fontId="15" fillId="0" borderId="7" xfId="4" applyFont="1" applyFill="1" applyBorder="1" applyAlignment="1">
      <alignment horizontal="center" vertical="center" wrapText="1"/>
    </xf>
    <xf numFmtId="0" fontId="32" fillId="0" borderId="283" xfId="0" applyFont="1" applyBorder="1" applyAlignment="1">
      <alignment horizontal="center" vertical="center"/>
    </xf>
    <xf numFmtId="16" fontId="22" fillId="7" borderId="211" xfId="0" applyNumberFormat="1" applyFont="1" applyFill="1" applyBorder="1" applyAlignment="1">
      <alignment horizontal="center" vertical="center"/>
    </xf>
    <xf numFmtId="16" fontId="22" fillId="7" borderId="113" xfId="0" applyNumberFormat="1" applyFont="1" applyFill="1" applyBorder="1" applyAlignment="1">
      <alignment horizontal="center" vertical="center"/>
    </xf>
    <xf numFmtId="16" fontId="22" fillId="7" borderId="212" xfId="0" applyNumberFormat="1" applyFont="1" applyFill="1" applyBorder="1" applyAlignment="1">
      <alignment horizontal="center" vertical="center"/>
    </xf>
    <xf numFmtId="0" fontId="42" fillId="0" borderId="282" xfId="3" applyFont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1" fillId="5" borderId="1" xfId="3" applyFont="1" applyFill="1" applyBorder="1" applyAlignment="1">
      <alignment horizontal="left" vertical="center" wrapText="1"/>
    </xf>
    <xf numFmtId="0" fontId="6" fillId="7" borderId="160" xfId="3" applyFont="1" applyFill="1" applyBorder="1" applyAlignment="1">
      <alignment horizontal="center" vertical="center"/>
    </xf>
    <xf numFmtId="0" fontId="6" fillId="7" borderId="161" xfId="3" applyFont="1" applyFill="1" applyBorder="1" applyAlignment="1">
      <alignment horizontal="center" vertical="center"/>
    </xf>
    <xf numFmtId="0" fontId="6" fillId="7" borderId="117" xfId="3" applyFont="1" applyFill="1" applyBorder="1" applyAlignment="1">
      <alignment horizontal="center" vertical="center"/>
    </xf>
    <xf numFmtId="0" fontId="6" fillId="7" borderId="258" xfId="3" applyFont="1" applyFill="1" applyBorder="1" applyAlignment="1">
      <alignment horizontal="center" vertical="center"/>
    </xf>
    <xf numFmtId="0" fontId="6" fillId="7" borderId="162" xfId="3" applyFont="1" applyFill="1" applyBorder="1" applyAlignment="1">
      <alignment horizontal="center" vertical="center"/>
    </xf>
    <xf numFmtId="0" fontId="6" fillId="7" borderId="116" xfId="3" applyFont="1" applyFill="1" applyBorder="1" applyAlignment="1">
      <alignment horizontal="center" vertical="center"/>
    </xf>
    <xf numFmtId="0" fontId="6" fillId="7" borderId="122" xfId="3" applyFont="1" applyFill="1" applyBorder="1" applyAlignment="1">
      <alignment horizontal="center" vertical="center"/>
    </xf>
    <xf numFmtId="0" fontId="6" fillId="7" borderId="123" xfId="3" applyFont="1" applyFill="1" applyBorder="1" applyAlignment="1">
      <alignment horizontal="center" vertical="center"/>
    </xf>
    <xf numFmtId="0" fontId="6" fillId="7" borderId="162" xfId="3" applyFont="1" applyFill="1" applyBorder="1" applyAlignment="1">
      <alignment horizontal="center" vertical="center" wrapText="1"/>
    </xf>
    <xf numFmtId="0" fontId="6" fillId="5" borderId="0" xfId="3" applyFont="1" applyFill="1" applyAlignment="1">
      <alignment horizontal="center" vertical="center" wrapText="1"/>
    </xf>
    <xf numFmtId="0" fontId="15" fillId="5" borderId="82" xfId="3" applyFont="1" applyFill="1" applyBorder="1" applyAlignment="1">
      <alignment horizontal="center" vertical="center" wrapText="1"/>
    </xf>
    <xf numFmtId="0" fontId="15" fillId="5" borderId="51" xfId="3" applyFont="1" applyFill="1" applyBorder="1" applyAlignment="1">
      <alignment horizontal="center" vertical="center" wrapText="1"/>
    </xf>
    <xf numFmtId="9" fontId="15" fillId="0" borderId="387" xfId="4" applyFont="1" applyFill="1" applyBorder="1" applyAlignment="1">
      <alignment horizontal="center" vertical="center" wrapText="1"/>
    </xf>
    <xf numFmtId="9" fontId="15" fillId="0" borderId="90" xfId="4" applyFont="1" applyFill="1" applyBorder="1" applyAlignment="1">
      <alignment horizontal="center" vertical="center" wrapText="1"/>
    </xf>
    <xf numFmtId="0" fontId="16" fillId="4" borderId="3" xfId="3" applyFont="1" applyFill="1" applyBorder="1" applyAlignment="1">
      <alignment horizontal="center" vertical="center"/>
    </xf>
    <xf numFmtId="0" fontId="16" fillId="4" borderId="18" xfId="3" applyFont="1" applyFill="1" applyBorder="1" applyAlignment="1">
      <alignment horizontal="center" vertical="center"/>
    </xf>
    <xf numFmtId="0" fontId="16" fillId="4" borderId="15" xfId="3" applyFont="1" applyFill="1" applyBorder="1" applyAlignment="1">
      <alignment horizontal="center" vertical="center"/>
    </xf>
    <xf numFmtId="0" fontId="16" fillId="4" borderId="16" xfId="3" applyFont="1" applyFill="1" applyBorder="1" applyAlignment="1">
      <alignment horizontal="center" vertical="center"/>
    </xf>
    <xf numFmtId="0" fontId="16" fillId="4" borderId="12" xfId="3" applyFont="1" applyFill="1" applyBorder="1" applyAlignment="1">
      <alignment horizontal="center" vertical="center"/>
    </xf>
    <xf numFmtId="0" fontId="16" fillId="4" borderId="13" xfId="3" applyFont="1" applyFill="1" applyBorder="1" applyAlignment="1">
      <alignment horizontal="center" vertical="center"/>
    </xf>
    <xf numFmtId="0" fontId="15" fillId="0" borderId="383" xfId="3" applyFont="1" applyBorder="1" applyAlignment="1">
      <alignment horizontal="center" vertical="center" wrapText="1"/>
    </xf>
    <xf numFmtId="0" fontId="15" fillId="0" borderId="124" xfId="3" applyFont="1" applyBorder="1" applyAlignment="1">
      <alignment horizontal="center" vertical="center" wrapText="1"/>
    </xf>
    <xf numFmtId="0" fontId="15" fillId="0" borderId="158" xfId="3" applyFont="1" applyBorder="1" applyAlignment="1">
      <alignment horizontal="center" vertical="center" wrapText="1"/>
    </xf>
    <xf numFmtId="0" fontId="6" fillId="0" borderId="82" xfId="3" applyFont="1" applyBorder="1" applyAlignment="1">
      <alignment horizontal="center" vertical="center"/>
    </xf>
    <xf numFmtId="0" fontId="6" fillId="0" borderId="90" xfId="3" applyFont="1" applyBorder="1" applyAlignment="1">
      <alignment horizontal="center" vertical="center"/>
    </xf>
    <xf numFmtId="0" fontId="6" fillId="0" borderId="103" xfId="3" applyFont="1" applyBorder="1" applyAlignment="1">
      <alignment horizontal="center" vertical="center"/>
    </xf>
    <xf numFmtId="0" fontId="6" fillId="0" borderId="91" xfId="3" applyFont="1" applyBorder="1" applyAlignment="1">
      <alignment horizontal="center" vertical="center"/>
    </xf>
    <xf numFmtId="9" fontId="15" fillId="0" borderId="89" xfId="4" applyFont="1" applyFill="1" applyBorder="1" applyAlignment="1">
      <alignment horizontal="center" vertical="center" wrapText="1"/>
    </xf>
    <xf numFmtId="9" fontId="15" fillId="0" borderId="91" xfId="4" applyFont="1" applyFill="1" applyBorder="1" applyAlignment="1">
      <alignment horizontal="center" vertical="center" wrapText="1"/>
    </xf>
    <xf numFmtId="9" fontId="15" fillId="0" borderId="15" xfId="4" applyFont="1" applyFill="1" applyBorder="1" applyAlignment="1">
      <alignment horizontal="center" vertical="center" wrapText="1"/>
    </xf>
    <xf numFmtId="9" fontId="15" fillId="0" borderId="67" xfId="4" applyFont="1" applyFill="1" applyBorder="1" applyAlignment="1">
      <alignment horizontal="center" vertical="center" wrapText="1"/>
    </xf>
    <xf numFmtId="9" fontId="15" fillId="0" borderId="66" xfId="4" applyFont="1" applyFill="1" applyBorder="1" applyAlignment="1">
      <alignment horizontal="center" vertical="center" wrapText="1"/>
    </xf>
    <xf numFmtId="9" fontId="15" fillId="0" borderId="71" xfId="4" applyFont="1" applyFill="1" applyBorder="1" applyAlignment="1">
      <alignment horizontal="center" vertical="center" wrapText="1"/>
    </xf>
    <xf numFmtId="9" fontId="15" fillId="0" borderId="28" xfId="4" applyFont="1" applyFill="1" applyBorder="1" applyAlignment="1">
      <alignment horizontal="center" vertical="center" wrapText="1"/>
    </xf>
    <xf numFmtId="9" fontId="15" fillId="0" borderId="8" xfId="4" applyFont="1" applyFill="1" applyBorder="1" applyAlignment="1">
      <alignment horizontal="center" vertical="center" wrapText="1"/>
    </xf>
    <xf numFmtId="9" fontId="15" fillId="0" borderId="29" xfId="4" applyFont="1" applyFill="1" applyBorder="1" applyAlignment="1">
      <alignment horizontal="center" vertical="center" wrapText="1"/>
    </xf>
    <xf numFmtId="9" fontId="15" fillId="0" borderId="93" xfId="4" applyFont="1" applyFill="1" applyBorder="1" applyAlignment="1">
      <alignment horizontal="center" vertical="center" wrapText="1"/>
    </xf>
    <xf numFmtId="9" fontId="15" fillId="0" borderId="65" xfId="4" applyFont="1" applyFill="1" applyBorder="1" applyAlignment="1">
      <alignment horizontal="center" vertical="center" wrapText="1"/>
    </xf>
    <xf numFmtId="0" fontId="6" fillId="0" borderId="89" xfId="3" applyFont="1" applyBorder="1" applyAlignment="1">
      <alignment horizontal="center" vertical="center" wrapText="1"/>
    </xf>
    <xf numFmtId="0" fontId="15" fillId="0" borderId="89" xfId="3" applyFont="1" applyBorder="1" applyAlignment="1">
      <alignment horizontal="center" vertical="center" wrapText="1"/>
    </xf>
    <xf numFmtId="0" fontId="15" fillId="0" borderId="91" xfId="3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0" fontId="6" fillId="0" borderId="51" xfId="3" applyFont="1" applyBorder="1" applyAlignment="1">
      <alignment horizontal="center" vertical="center"/>
    </xf>
    <xf numFmtId="0" fontId="15" fillId="0" borderId="10" xfId="3" applyFont="1" applyBorder="1" applyAlignment="1">
      <alignment horizontal="center" vertical="center"/>
    </xf>
    <xf numFmtId="0" fontId="15" fillId="0" borderId="9" xfId="3" applyFont="1" applyBorder="1" applyAlignment="1">
      <alignment horizontal="center" vertical="center"/>
    </xf>
    <xf numFmtId="9" fontId="15" fillId="0" borderId="271" xfId="4" applyFont="1" applyFill="1" applyBorder="1" applyAlignment="1">
      <alignment horizontal="center" vertical="center" wrapText="1"/>
    </xf>
    <xf numFmtId="9" fontId="15" fillId="0" borderId="12" xfId="4" applyFont="1" applyFill="1" applyBorder="1" applyAlignment="1">
      <alignment horizontal="center" vertical="center" wrapText="1"/>
    </xf>
    <xf numFmtId="16" fontId="22" fillId="7" borderId="3" xfId="0" applyNumberFormat="1" applyFont="1" applyFill="1" applyBorder="1" applyAlignment="1">
      <alignment horizontal="center" vertical="center"/>
    </xf>
    <xf numFmtId="16" fontId="22" fillId="7" borderId="19" xfId="0" applyNumberFormat="1" applyFont="1" applyFill="1" applyBorder="1" applyAlignment="1">
      <alignment horizontal="center" vertical="center"/>
    </xf>
    <xf numFmtId="165" fontId="22" fillId="7" borderId="20" xfId="0" applyNumberFormat="1" applyFont="1" applyFill="1" applyBorder="1" applyAlignment="1">
      <alignment horizontal="center" vertical="center"/>
    </xf>
    <xf numFmtId="165" fontId="22" fillId="7" borderId="327" xfId="0" applyNumberFormat="1" applyFont="1" applyFill="1" applyBorder="1" applyAlignment="1">
      <alignment horizontal="center" vertical="center"/>
    </xf>
    <xf numFmtId="165" fontId="22" fillId="7" borderId="21" xfId="0" applyNumberFormat="1" applyFont="1" applyFill="1" applyBorder="1" applyAlignment="1">
      <alignment horizontal="center" vertical="center" wrapText="1"/>
    </xf>
    <xf numFmtId="165" fontId="22" fillId="7" borderId="121" xfId="0" applyNumberFormat="1" applyFont="1" applyFill="1" applyBorder="1" applyAlignment="1">
      <alignment horizontal="center" vertical="center" wrapText="1"/>
    </xf>
    <xf numFmtId="0" fontId="6" fillId="9" borderId="249" xfId="3" applyFont="1" applyFill="1" applyBorder="1" applyAlignment="1">
      <alignment horizontal="center" vertical="center" wrapText="1"/>
    </xf>
    <xf numFmtId="0" fontId="6" fillId="9" borderId="262" xfId="3" applyFont="1" applyFill="1" applyBorder="1" applyAlignment="1">
      <alignment horizontal="center" vertical="center" wrapText="1"/>
    </xf>
    <xf numFmtId="9" fontId="15" fillId="0" borderId="251" xfId="4" applyFont="1" applyFill="1" applyBorder="1" applyAlignment="1">
      <alignment horizontal="center" vertical="center" wrapText="1"/>
    </xf>
    <xf numFmtId="9" fontId="15" fillId="0" borderId="252" xfId="4" applyFont="1" applyFill="1" applyBorder="1" applyAlignment="1">
      <alignment horizontal="center" vertical="center" wrapText="1"/>
    </xf>
    <xf numFmtId="0" fontId="6" fillId="5" borderId="81" xfId="3" applyFont="1" applyFill="1" applyBorder="1" applyAlignment="1">
      <alignment horizontal="center" vertical="center" wrapText="1"/>
    </xf>
    <xf numFmtId="0" fontId="44" fillId="0" borderId="81" xfId="0" applyFont="1" applyBorder="1" applyAlignment="1">
      <alignment horizontal="center" vertical="center" wrapText="1"/>
    </xf>
    <xf numFmtId="0" fontId="44" fillId="0" borderId="89" xfId="0" applyFont="1" applyBorder="1" applyAlignment="1">
      <alignment horizontal="center" vertical="center" wrapText="1"/>
    </xf>
    <xf numFmtId="0" fontId="44" fillId="0" borderId="103" xfId="0" applyFont="1" applyBorder="1" applyAlignment="1">
      <alignment horizontal="center" vertical="center" wrapText="1"/>
    </xf>
    <xf numFmtId="0" fontId="44" fillId="0" borderId="91" xfId="0" applyFont="1" applyBorder="1" applyAlignment="1">
      <alignment horizontal="center" vertical="center" wrapText="1"/>
    </xf>
    <xf numFmtId="0" fontId="6" fillId="0" borderId="81" xfId="3" applyFont="1" applyBorder="1" applyAlignment="1">
      <alignment horizontal="center" vertical="center"/>
    </xf>
    <xf numFmtId="0" fontId="6" fillId="0" borderId="89" xfId="3" applyFont="1" applyBorder="1" applyAlignment="1">
      <alignment horizontal="center" vertical="center"/>
    </xf>
    <xf numFmtId="0" fontId="32" fillId="0" borderId="112" xfId="0" applyFont="1" applyBorder="1" applyAlignment="1">
      <alignment horizontal="center" vertical="center"/>
    </xf>
    <xf numFmtId="0" fontId="6" fillId="0" borderId="268" xfId="3" applyFont="1" applyBorder="1" applyAlignment="1">
      <alignment horizontal="center" vertical="center" wrapText="1"/>
    </xf>
    <xf numFmtId="0" fontId="6" fillId="0" borderId="269" xfId="3" applyFont="1" applyBorder="1" applyAlignment="1">
      <alignment horizontal="center" vertical="center" wrapText="1"/>
    </xf>
    <xf numFmtId="9" fontId="15" fillId="0" borderId="270" xfId="4" applyFont="1" applyFill="1" applyBorder="1" applyAlignment="1">
      <alignment horizontal="center" vertical="center" wrapText="1"/>
    </xf>
    <xf numFmtId="9" fontId="15" fillId="0" borderId="150" xfId="4" applyFont="1" applyFill="1" applyBorder="1" applyAlignment="1">
      <alignment horizontal="center" vertical="center" wrapText="1"/>
    </xf>
    <xf numFmtId="9" fontId="15" fillId="0" borderId="81" xfId="4" applyFont="1" applyFill="1" applyBorder="1" applyAlignment="1">
      <alignment horizontal="center" vertical="center" wrapText="1"/>
    </xf>
    <xf numFmtId="9" fontId="15" fillId="0" borderId="82" xfId="4" applyFont="1" applyFill="1" applyBorder="1" applyAlignment="1">
      <alignment horizontal="center" vertical="center" wrapText="1"/>
    </xf>
    <xf numFmtId="9" fontId="15" fillId="0" borderId="103" xfId="4" applyFont="1" applyFill="1" applyBorder="1" applyAlignment="1">
      <alignment horizontal="center" vertical="center" wrapText="1"/>
    </xf>
    <xf numFmtId="9" fontId="15" fillId="0" borderId="107" xfId="4" applyFont="1" applyFill="1" applyBorder="1" applyAlignment="1">
      <alignment horizontal="center" vertical="center" wrapText="1"/>
    </xf>
    <xf numFmtId="9" fontId="15" fillId="0" borderId="108" xfId="4" applyFont="1" applyFill="1" applyBorder="1" applyAlignment="1">
      <alignment horizontal="center" vertical="center" wrapText="1"/>
    </xf>
    <xf numFmtId="9" fontId="15" fillId="0" borderId="374" xfId="4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68" xfId="0" applyFont="1" applyBorder="1" applyAlignment="1">
      <alignment horizontal="center" vertical="center"/>
    </xf>
    <xf numFmtId="0" fontId="11" fillId="0" borderId="23" xfId="3" applyFont="1" applyBorder="1" applyAlignment="1">
      <alignment horizontal="center" vertical="center"/>
    </xf>
    <xf numFmtId="0" fontId="11" fillId="0" borderId="140" xfId="3" applyFont="1" applyBorder="1" applyAlignment="1">
      <alignment horizontal="center" vertical="center"/>
    </xf>
    <xf numFmtId="0" fontId="11" fillId="0" borderId="68" xfId="3" applyFont="1" applyBorder="1" applyAlignment="1">
      <alignment horizontal="center" vertical="center"/>
    </xf>
    <xf numFmtId="20" fontId="18" fillId="7" borderId="122" xfId="0" applyNumberFormat="1" applyFont="1" applyFill="1" applyBorder="1" applyAlignment="1">
      <alignment horizontal="center" vertical="center"/>
    </xf>
    <xf numFmtId="20" fontId="18" fillId="7" borderId="359" xfId="0" applyNumberFormat="1" applyFont="1" applyFill="1" applyBorder="1" applyAlignment="1">
      <alignment horizontal="center" vertical="center"/>
    </xf>
    <xf numFmtId="20" fontId="18" fillId="7" borderId="92" xfId="0" applyNumberFormat="1" applyFont="1" applyFill="1" applyBorder="1" applyAlignment="1">
      <alignment horizontal="center" vertical="center"/>
    </xf>
    <xf numFmtId="20" fontId="18" fillId="7" borderId="106" xfId="0" applyNumberFormat="1" applyFont="1" applyFill="1" applyBorder="1" applyAlignment="1">
      <alignment horizontal="center" vertical="center"/>
    </xf>
    <xf numFmtId="20" fontId="18" fillId="7" borderId="10" xfId="0" applyNumberFormat="1" applyFont="1" applyFill="1" applyBorder="1" applyAlignment="1">
      <alignment horizontal="center" vertical="center"/>
    </xf>
    <xf numFmtId="20" fontId="18" fillId="7" borderId="105" xfId="0" applyNumberFormat="1" applyFont="1" applyFill="1" applyBorder="1" applyAlignment="1">
      <alignment horizontal="center" vertical="center"/>
    </xf>
    <xf numFmtId="20" fontId="18" fillId="7" borderId="138" xfId="0" applyNumberFormat="1" applyFont="1" applyFill="1" applyBorder="1" applyAlignment="1">
      <alignment horizontal="center" vertical="center"/>
    </xf>
    <xf numFmtId="20" fontId="18" fillId="7" borderId="360" xfId="0" applyNumberFormat="1" applyFont="1" applyFill="1" applyBorder="1" applyAlignment="1">
      <alignment horizontal="center" vertical="center"/>
    </xf>
    <xf numFmtId="0" fontId="7" fillId="7" borderId="23" xfId="3" applyFont="1" applyFill="1" applyBorder="1" applyAlignment="1">
      <alignment horizontal="center" vertical="center" wrapText="1"/>
    </xf>
    <xf numFmtId="0" fontId="7" fillId="7" borderId="140" xfId="3" applyFont="1" applyFill="1" applyBorder="1" applyAlignment="1">
      <alignment horizontal="center" vertical="center" wrapText="1"/>
    </xf>
    <xf numFmtId="0" fontId="7" fillId="7" borderId="68" xfId="3" applyFont="1" applyFill="1" applyBorder="1" applyAlignment="1">
      <alignment horizontal="center" vertical="center" wrapText="1"/>
    </xf>
    <xf numFmtId="20" fontId="18" fillId="7" borderId="23" xfId="0" applyNumberFormat="1" applyFont="1" applyFill="1" applyBorder="1" applyAlignment="1">
      <alignment horizontal="left"/>
    </xf>
    <xf numFmtId="20" fontId="18" fillId="7" borderId="68" xfId="0" applyNumberFormat="1" applyFont="1" applyFill="1" applyBorder="1" applyAlignment="1">
      <alignment horizontal="left"/>
    </xf>
    <xf numFmtId="0" fontId="34" fillId="0" borderId="23" xfId="0" applyFont="1" applyBorder="1" applyAlignment="1">
      <alignment horizontal="center" wrapText="1"/>
    </xf>
    <xf numFmtId="0" fontId="34" fillId="0" borderId="68" xfId="0" applyFont="1" applyBorder="1" applyAlignment="1">
      <alignment horizontal="center" wrapText="1"/>
    </xf>
    <xf numFmtId="0" fontId="43" fillId="0" borderId="23" xfId="0" applyFont="1" applyBorder="1" applyAlignment="1">
      <alignment horizontal="center" vertical="center" wrapText="1"/>
    </xf>
    <xf numFmtId="0" fontId="43" fillId="0" borderId="354" xfId="0" applyFont="1" applyBorder="1" applyAlignment="1">
      <alignment horizontal="center" vertical="center" wrapText="1"/>
    </xf>
    <xf numFmtId="0" fontId="17" fillId="0" borderId="67" xfId="3" applyFont="1" applyBorder="1" applyAlignment="1">
      <alignment horizontal="center" vertical="center" wrapText="1"/>
    </xf>
    <xf numFmtId="0" fontId="17" fillId="0" borderId="71" xfId="3" applyFont="1" applyBorder="1" applyAlignment="1">
      <alignment horizontal="center" vertical="center"/>
    </xf>
    <xf numFmtId="0" fontId="17" fillId="0" borderId="8" xfId="3" applyFont="1" applyBorder="1" applyAlignment="1">
      <alignment horizontal="center" vertical="center"/>
    </xf>
    <xf numFmtId="0" fontId="17" fillId="0" borderId="88" xfId="3" applyFont="1" applyBorder="1" applyAlignment="1">
      <alignment horizontal="center" vertical="center" wrapText="1"/>
    </xf>
    <xf numFmtId="0" fontId="17" fillId="0" borderId="84" xfId="3" applyFont="1" applyBorder="1" applyAlignment="1">
      <alignment horizontal="center" vertical="center" wrapText="1"/>
    </xf>
    <xf numFmtId="0" fontId="11" fillId="8" borderId="10" xfId="3" applyFont="1" applyFill="1" applyBorder="1" applyAlignment="1">
      <alignment horizontal="left" vertical="center" wrapText="1"/>
    </xf>
    <xf numFmtId="0" fontId="11" fillId="8" borderId="24" xfId="3" applyFont="1" applyFill="1" applyBorder="1" applyAlignment="1">
      <alignment horizontal="center" vertical="center" wrapText="1"/>
    </xf>
    <xf numFmtId="0" fontId="11" fillId="8" borderId="138" xfId="3" applyFont="1" applyFill="1" applyBorder="1" applyAlignment="1">
      <alignment horizontal="center" vertical="center" wrapText="1"/>
    </xf>
    <xf numFmtId="0" fontId="17" fillId="0" borderId="0" xfId="3" applyFont="1" applyBorder="1" applyAlignment="1">
      <alignment horizontal="center" vertical="center" wrapText="1"/>
    </xf>
  </cellXfs>
  <cellStyles count="11092">
    <cellStyle name="Buena" xfId="1" xr:uid="{00000000-0005-0000-0000-000000000000}"/>
    <cellStyle name="Euro" xfId="2" xr:uid="{00000000-0005-0000-0000-000001000000}"/>
    <cellStyle name="Hipervínculo" xfId="4387" builtinId="8" hidden="1"/>
    <cellStyle name="Hipervínculo" xfId="5509" builtinId="8" hidden="1"/>
    <cellStyle name="Hipervínculo" xfId="8875" builtinId="8" hidden="1"/>
    <cellStyle name="Hipervínculo" xfId="5389" builtinId="8" hidden="1"/>
    <cellStyle name="Hipervínculo" xfId="583" builtinId="8" hidden="1"/>
    <cellStyle name="Hipervínculo" xfId="10433" builtinId="8" hidden="1"/>
    <cellStyle name="Hipervínculo" xfId="159" builtinId="8" hidden="1"/>
    <cellStyle name="Hipervínculo" xfId="5861" builtinId="8" hidden="1"/>
    <cellStyle name="Hipervínculo" xfId="10041" builtinId="8" hidden="1"/>
    <cellStyle name="Hipervínculo" xfId="9387" builtinId="8" hidden="1"/>
    <cellStyle name="Hipervínculo" xfId="337" builtinId="8" hidden="1"/>
    <cellStyle name="Hipervínculo" xfId="231" builtinId="8" hidden="1"/>
    <cellStyle name="Hipervínculo" xfId="1333" builtinId="8" hidden="1"/>
    <cellStyle name="Hipervínculo" xfId="2963" builtinId="8" hidden="1"/>
    <cellStyle name="Hipervínculo" xfId="8695" builtinId="8" hidden="1"/>
    <cellStyle name="Hipervínculo" xfId="6387" builtinId="8" hidden="1"/>
    <cellStyle name="Hipervínculo" xfId="6799" builtinId="8" hidden="1"/>
    <cellStyle name="Hipervínculo" xfId="7503" builtinId="8" hidden="1"/>
    <cellStyle name="Hipervínculo" xfId="5227" builtinId="8" hidden="1"/>
    <cellStyle name="Hipervínculo" xfId="8713" builtinId="8" hidden="1"/>
    <cellStyle name="Hipervínculo" xfId="2643" builtinId="8" hidden="1"/>
    <cellStyle name="Hipervínculo" xfId="3003" builtinId="8" hidden="1"/>
    <cellStyle name="Hipervínculo" xfId="4957" builtinId="8" hidden="1"/>
    <cellStyle name="Hipervínculo" xfId="8809" builtinId="8" hidden="1"/>
    <cellStyle name="Hipervínculo" xfId="6265" builtinId="8" hidden="1"/>
    <cellStyle name="Hipervínculo" xfId="8399" builtinId="8" hidden="1"/>
    <cellStyle name="Hipervínculo" xfId="9927" builtinId="8" hidden="1"/>
    <cellStyle name="Hipervínculo" xfId="9013" builtinId="8" hidden="1"/>
    <cellStyle name="Hipervínculo" xfId="2777" builtinId="8" hidden="1"/>
    <cellStyle name="Hipervínculo" xfId="2883" builtinId="8" hidden="1"/>
    <cellStyle name="Hipervínculo" xfId="6333" builtinId="8" hidden="1"/>
    <cellStyle name="Hipervínculo" xfId="361" builtinId="8" hidden="1"/>
    <cellStyle name="Hipervínculo" xfId="973" builtinId="8" hidden="1"/>
    <cellStyle name="Hipervínculo" xfId="1261" builtinId="8" hidden="1"/>
    <cellStyle name="Hipervínculo" xfId="421" builtinId="8" hidden="1"/>
    <cellStyle name="Hipervínculo" xfId="7805" builtinId="8" hidden="1"/>
    <cellStyle name="Hipervínculo" xfId="10081" builtinId="8" hidden="1"/>
    <cellStyle name="Hipervínculo" xfId="203" builtinId="8" hidden="1"/>
    <cellStyle name="Hipervínculo" xfId="6751" builtinId="8" hidden="1"/>
    <cellStyle name="Hipervínculo" xfId="5307" builtinId="8" hidden="1"/>
    <cellStyle name="Hipervínculo" xfId="1553" builtinId="8" hidden="1"/>
    <cellStyle name="Hipervínculo" xfId="10739" builtinId="8" hidden="1"/>
    <cellStyle name="Hipervínculo" xfId="4237" builtinId="8" hidden="1"/>
    <cellStyle name="Hipervínculo" xfId="1367" builtinId="8" hidden="1"/>
    <cellStyle name="Hipervínculo" xfId="1975" builtinId="8" hidden="1"/>
    <cellStyle name="Hipervínculo" xfId="375" builtinId="8" hidden="1"/>
    <cellStyle name="Hipervínculo" xfId="8069" builtinId="8" hidden="1"/>
    <cellStyle name="Hipervínculo" xfId="9719" builtinId="8" hidden="1"/>
    <cellStyle name="Hipervínculo" xfId="9363" builtinId="8" hidden="1"/>
    <cellStyle name="Hipervínculo" xfId="4391" builtinId="8" hidden="1"/>
    <cellStyle name="Hipervínculo" xfId="8813" builtinId="8" hidden="1"/>
    <cellStyle name="Hipervínculo" xfId="9083" builtinId="8" hidden="1"/>
    <cellStyle name="Hipervínculo" xfId="285" builtinId="8" hidden="1"/>
    <cellStyle name="Hipervínculo" xfId="8367" builtinId="8" hidden="1"/>
    <cellStyle name="Hipervínculo" xfId="7981" builtinId="8" hidden="1"/>
    <cellStyle name="Hipervínculo" xfId="4889" builtinId="8" hidden="1"/>
    <cellStyle name="Hipervínculo" xfId="3625" builtinId="8" hidden="1"/>
    <cellStyle name="Hipervínculo" xfId="545" builtinId="8" hidden="1"/>
    <cellStyle name="Hipervínculo" xfId="4653" builtinId="8" hidden="1"/>
    <cellStyle name="Hipervínculo" xfId="2399" builtinId="8" hidden="1"/>
    <cellStyle name="Hipervínculo" xfId="8537" builtinId="8" hidden="1"/>
    <cellStyle name="Hipervínculo" xfId="5179" builtinId="8" hidden="1"/>
    <cellStyle name="Hipervínculo" xfId="775" builtinId="8" hidden="1"/>
    <cellStyle name="Hipervínculo" xfId="705" builtinId="8" hidden="1"/>
    <cellStyle name="Hipervínculo" xfId="5779" builtinId="8" hidden="1"/>
    <cellStyle name="Hipervínculo" xfId="1969" builtinId="8" hidden="1"/>
    <cellStyle name="Hipervínculo" xfId="1937" builtinId="8" hidden="1"/>
    <cellStyle name="Hipervínculo" xfId="3539" builtinId="8" hidden="1"/>
    <cellStyle name="Hipervínculo" xfId="1463" builtinId="8" hidden="1"/>
    <cellStyle name="Hipervínculo" xfId="8973" builtinId="8" hidden="1"/>
    <cellStyle name="Hipervínculo" xfId="8785" builtinId="8" hidden="1"/>
    <cellStyle name="Hipervínculo" xfId="9659" builtinId="8" hidden="1"/>
    <cellStyle name="Hipervínculo" xfId="3909" builtinId="8" hidden="1"/>
    <cellStyle name="Hipervínculo" xfId="4075" builtinId="8" hidden="1"/>
    <cellStyle name="Hipervínculo" xfId="9601" builtinId="8" hidden="1"/>
    <cellStyle name="Hipervínculo" xfId="5701" builtinId="8" hidden="1"/>
    <cellStyle name="Hipervínculo" xfId="2019" builtinId="8" hidden="1"/>
    <cellStyle name="Hipervínculo" xfId="2501" builtinId="8" hidden="1"/>
    <cellStyle name="Hipervínculo" xfId="5581" builtinId="8" hidden="1"/>
    <cellStyle name="Hipervínculo" xfId="55" builtinId="8" hidden="1"/>
    <cellStyle name="Hipervínculo" xfId="10117" builtinId="8" hidden="1"/>
    <cellStyle name="Hipervínculo" xfId="565" builtinId="8" hidden="1"/>
    <cellStyle name="Hipervínculo" xfId="2407" builtinId="8" hidden="1"/>
    <cellStyle name="Hipervínculo" xfId="8373" builtinId="8" hidden="1"/>
    <cellStyle name="Hipervínculo" xfId="10033" builtinId="8" hidden="1"/>
    <cellStyle name="Hipervínculo" xfId="8997" builtinId="8" hidden="1"/>
    <cellStyle name="Hipervínculo" xfId="2369" builtinId="8" hidden="1"/>
    <cellStyle name="Hipervínculo" xfId="4863" builtinId="8" hidden="1"/>
    <cellStyle name="Hipervínculo" xfId="559" builtinId="8" hidden="1"/>
    <cellStyle name="Hipervínculo" xfId="3783" builtinId="8" hidden="1"/>
    <cellStyle name="Hipervínculo" xfId="8045" builtinId="8" hidden="1"/>
    <cellStyle name="Hipervínculo" xfId="9257" builtinId="8" hidden="1"/>
    <cellStyle name="Hipervínculo" xfId="3969" builtinId="8" hidden="1"/>
    <cellStyle name="Hipervínculo" xfId="1325" builtinId="8" hidden="1"/>
    <cellStyle name="Hipervínculo" xfId="3099" builtinId="8" hidden="1"/>
    <cellStyle name="Hipervínculo" xfId="8867" builtinId="8" hidden="1"/>
    <cellStyle name="Hipervínculo" xfId="10235" builtinId="8" hidden="1"/>
    <cellStyle name="Hipervínculo" xfId="9669" builtinId="8" hidden="1"/>
    <cellStyle name="Hipervínculo" xfId="8917" builtinId="8" hidden="1"/>
    <cellStyle name="Hipervínculo" xfId="815" builtinId="8" hidden="1"/>
    <cellStyle name="Hipervínculo" xfId="7587" builtinId="8" hidden="1"/>
    <cellStyle name="Hipervínculo" xfId="9247" builtinId="8" hidden="1"/>
    <cellStyle name="Hipervínculo" xfId="1451" builtinId="8" hidden="1"/>
    <cellStyle name="Hipervínculo" xfId="2445" builtinId="8" hidden="1"/>
    <cellStyle name="Hipervínculo" xfId="4449" builtinId="8" hidden="1"/>
    <cellStyle name="Hipervínculo" xfId="4649" builtinId="8" hidden="1"/>
    <cellStyle name="Hipervínculo" xfId="5617" builtinId="8" hidden="1"/>
    <cellStyle name="Hipervínculo" xfId="4293" builtinId="8" hidden="1"/>
    <cellStyle name="Hipervínculo" xfId="7533" builtinId="8" hidden="1"/>
    <cellStyle name="Hipervínculo" xfId="9111" builtinId="8" hidden="1"/>
    <cellStyle name="Hipervínculo" xfId="773" builtinId="8" hidden="1"/>
    <cellStyle name="Hipervínculo" xfId="4179" builtinId="8" hidden="1"/>
    <cellStyle name="Hipervínculo" xfId="7311" builtinId="8" hidden="1"/>
    <cellStyle name="Hipervínculo" xfId="3689" builtinId="8" hidden="1"/>
    <cellStyle name="Hipervínculo" xfId="8967" builtinId="8" hidden="1"/>
    <cellStyle name="Hipervínculo" xfId="2869" builtinId="8" hidden="1"/>
    <cellStyle name="Hipervínculo" xfId="5583" builtinId="8" hidden="1"/>
    <cellStyle name="Hipervínculo" xfId="3577" builtinId="8" hidden="1"/>
    <cellStyle name="Hipervínculo" xfId="3519" builtinId="8" hidden="1"/>
    <cellStyle name="Hipervínculo" xfId="3813" builtinId="8" hidden="1"/>
    <cellStyle name="Hipervínculo" xfId="4145" builtinId="8" hidden="1"/>
    <cellStyle name="Hipervínculo" xfId="1095" builtinId="8" hidden="1"/>
    <cellStyle name="Hipervínculo" xfId="5333" builtinId="8" hidden="1"/>
    <cellStyle name="Hipervínculo" xfId="7607" builtinId="8" hidden="1"/>
    <cellStyle name="Hipervínculo" xfId="1241" builtinId="8" hidden="1"/>
    <cellStyle name="Hipervínculo" xfId="6563" builtinId="8" hidden="1"/>
    <cellStyle name="Hipervínculo" xfId="5889" builtinId="8" hidden="1"/>
    <cellStyle name="Hipervínculo" xfId="5433" builtinId="8" hidden="1"/>
    <cellStyle name="Hipervínculo" xfId="7915" builtinId="8" hidden="1"/>
    <cellStyle name="Hipervínculo" xfId="5925" builtinId="8" hidden="1"/>
    <cellStyle name="Hipervínculo" xfId="1025" builtinId="8" hidden="1"/>
    <cellStyle name="Hipervínculo" xfId="2395" builtinId="8" hidden="1"/>
    <cellStyle name="Hipervínculo" xfId="8219" builtinId="8" hidden="1"/>
    <cellStyle name="Hipervínculo" xfId="6781" builtinId="8" hidden="1"/>
    <cellStyle name="Hipervínculo" xfId="137" builtinId="8" hidden="1"/>
    <cellStyle name="Hipervínculo" xfId="461" builtinId="8" hidden="1"/>
    <cellStyle name="Hipervínculo" xfId="2367" builtinId="8" hidden="1"/>
    <cellStyle name="Hipervínculo" xfId="4851" builtinId="8" hidden="1"/>
    <cellStyle name="Hipervínculo" xfId="10209" builtinId="8" hidden="1"/>
    <cellStyle name="Hipervínculo" xfId="1551" builtinId="8" hidden="1"/>
    <cellStyle name="Hipervínculo" xfId="2929" builtinId="8" hidden="1"/>
    <cellStyle name="Hipervínculo" xfId="10259" builtinId="8" hidden="1"/>
    <cellStyle name="Hipervínculo" xfId="6847" builtinId="8" hidden="1"/>
    <cellStyle name="Hipervínculo" xfId="7371" builtinId="8" hidden="1"/>
    <cellStyle name="Hipervínculo" xfId="4355" builtinId="8" hidden="1"/>
    <cellStyle name="Hipervínculo" xfId="4169" builtinId="8" hidden="1"/>
    <cellStyle name="Hipervínculo" xfId="9417" builtinId="8" hidden="1"/>
    <cellStyle name="Hipervínculo" xfId="1571" builtinId="8" hidden="1"/>
    <cellStyle name="Hipervínculo" xfId="189" builtinId="8" hidden="1"/>
    <cellStyle name="Hipervínculo" xfId="9859" builtinId="8" hidden="1"/>
    <cellStyle name="Hipervínculo" xfId="6961" builtinId="8" hidden="1"/>
    <cellStyle name="Hipervínculo" xfId="8197" builtinId="8" hidden="1"/>
    <cellStyle name="Hipervínculo" xfId="4517" builtinId="8" hidden="1"/>
    <cellStyle name="Hipervínculo" xfId="9339" builtinId="8" hidden="1"/>
    <cellStyle name="Hipervínculo" xfId="6331" builtinId="8" hidden="1"/>
    <cellStyle name="Hipervínculo" xfId="5225" builtinId="8" hidden="1"/>
    <cellStyle name="Hipervínculo" xfId="2649" builtinId="8" hidden="1"/>
    <cellStyle name="Hipervínculo" xfId="6061" builtinId="8" hidden="1"/>
    <cellStyle name="Hipervínculo" xfId="9377" builtinId="8" hidden="1"/>
    <cellStyle name="Hipervínculo" xfId="8805" builtinId="8" hidden="1"/>
    <cellStyle name="Hipervínculo" xfId="7343" builtinId="8" hidden="1"/>
    <cellStyle name="Hipervínculo" xfId="8455" builtinId="8" hidden="1"/>
    <cellStyle name="Hipervínculo" xfId="9221" builtinId="8" hidden="1"/>
    <cellStyle name="Hipervínculo" xfId="5929" builtinId="8" hidden="1"/>
    <cellStyle name="Hipervínculo" xfId="4671" builtinId="8" hidden="1"/>
    <cellStyle name="Hipervínculo" xfId="4783" builtinId="8" hidden="1"/>
    <cellStyle name="Hipervínculo" xfId="1469" builtinId="8" hidden="1"/>
    <cellStyle name="Hipervínculo" xfId="6899" builtinId="8" hidden="1"/>
    <cellStyle name="Hipervínculo" xfId="9515" builtinId="8" hidden="1"/>
    <cellStyle name="Hipervínculo" xfId="8009" builtinId="8" hidden="1"/>
    <cellStyle name="Hipervínculo" xfId="1289" builtinId="8" hidden="1"/>
    <cellStyle name="Hipervínculo" xfId="8235" builtinId="8" hidden="1"/>
    <cellStyle name="Hipervínculo" xfId="787" builtinId="8" hidden="1"/>
    <cellStyle name="Hipervínculo" xfId="5561" builtinId="8" hidden="1"/>
    <cellStyle name="Hipervínculo" xfId="4947" builtinId="8" hidden="1"/>
    <cellStyle name="Hipervínculo" xfId="10057" builtinId="8" hidden="1"/>
    <cellStyle name="Hipervínculo" xfId="5401" builtinId="8" hidden="1"/>
    <cellStyle name="Hipervínculo" xfId="6993" builtinId="8" hidden="1"/>
    <cellStyle name="Hipervínculo" xfId="1939" builtinId="8" hidden="1"/>
    <cellStyle name="Hipervínculo" xfId="4011" builtinId="8" hidden="1"/>
    <cellStyle name="Hipervínculo" xfId="4865" builtinId="8" hidden="1"/>
    <cellStyle name="Hipervínculo" xfId="3199" builtinId="8" hidden="1"/>
    <cellStyle name="Hipervínculo" xfId="10611" builtinId="8" hidden="1"/>
    <cellStyle name="Hipervínculo" xfId="4433" builtinId="8" hidden="1"/>
    <cellStyle name="Hipervínculo" xfId="10285" builtinId="8" hidden="1"/>
    <cellStyle name="Hipervínculo" xfId="6817" builtinId="8" hidden="1"/>
    <cellStyle name="Hipervínculo" xfId="2953" builtinId="8" hidden="1"/>
    <cellStyle name="Hipervínculo" xfId="6213" builtinId="8" hidden="1"/>
    <cellStyle name="Hipervínculo" xfId="8361" builtinId="8" hidden="1"/>
    <cellStyle name="Hipervínculo" xfId="11047" builtinId="8" hidden="1"/>
    <cellStyle name="Hipervínculo" xfId="1443" builtinId="8" hidden="1"/>
    <cellStyle name="Hipervínculo" xfId="10187" builtinId="8" hidden="1"/>
    <cellStyle name="Hipervínculo" xfId="2487" builtinId="8" hidden="1"/>
    <cellStyle name="Hipervínculo" xfId="3453" builtinId="8" hidden="1"/>
    <cellStyle name="Hipervínculo" xfId="4595" builtinId="8" hidden="1"/>
    <cellStyle name="Hipervínculo" xfId="6727" builtinId="8" hidden="1"/>
    <cellStyle name="Hipervínculo" xfId="9883" builtinId="8" hidden="1"/>
    <cellStyle name="Hipervínculo" xfId="8821" builtinId="8" hidden="1"/>
    <cellStyle name="Hipervínculo" xfId="237" builtinId="8" hidden="1"/>
    <cellStyle name="Hipervínculo" xfId="9637" builtinId="8" hidden="1"/>
    <cellStyle name="Hipervínculo" xfId="5837" builtinId="8" hidden="1"/>
    <cellStyle name="Hipervínculo" xfId="6009" builtinId="8" hidden="1"/>
    <cellStyle name="Hipervínculo" xfId="7989" builtinId="8" hidden="1"/>
    <cellStyle name="Hipervínculo" xfId="2533" builtinId="8" hidden="1"/>
    <cellStyle name="Hipervínculo" xfId="3821" builtinId="8" hidden="1"/>
    <cellStyle name="Hipervínculo" xfId="3035" builtinId="8" hidden="1"/>
    <cellStyle name="Hipervínculo" xfId="1819" builtinId="8" hidden="1"/>
    <cellStyle name="Hipervínculo" xfId="9761" builtinId="8" hidden="1"/>
    <cellStyle name="Hipervínculo" xfId="6307" builtinId="8" hidden="1"/>
    <cellStyle name="Hipervínculo" xfId="1719" builtinId="8" hidden="1"/>
    <cellStyle name="Hipervínculo" xfId="7129" builtinId="8" hidden="1"/>
    <cellStyle name="Hipervínculo" xfId="8195" builtinId="8" hidden="1"/>
    <cellStyle name="Hipervínculo" xfId="5077" builtinId="8" hidden="1"/>
    <cellStyle name="Hipervínculo" xfId="6047" builtinId="8" hidden="1"/>
    <cellStyle name="Hipervínculo" xfId="9003" builtinId="8" hidden="1"/>
    <cellStyle name="Hipervínculo" xfId="7465" builtinId="8" hidden="1"/>
    <cellStyle name="Hipervínculo" xfId="6439" builtinId="8" hidden="1"/>
    <cellStyle name="Hipervínculo" xfId="7297" builtinId="8" hidden="1"/>
    <cellStyle name="Hipervínculo" xfId="4431" builtinId="8" hidden="1"/>
    <cellStyle name="Hipervínculo" xfId="7843" builtinId="8" hidden="1"/>
    <cellStyle name="Hipervínculo" xfId="7639" builtinId="8" hidden="1"/>
    <cellStyle name="Hipervínculo" xfId="7785" builtinId="8" hidden="1"/>
    <cellStyle name="Hipervínculo" xfId="1699" builtinId="8" hidden="1"/>
    <cellStyle name="Hipervínculo" xfId="7753" builtinId="8" hidden="1"/>
    <cellStyle name="Hipervínculo" xfId="9969" builtinId="8" hidden="1"/>
    <cellStyle name="Hipervínculo" xfId="5687" builtinId="8" hidden="1"/>
    <cellStyle name="Hipervínculo" xfId="9805" builtinId="8" hidden="1"/>
    <cellStyle name="Hipervínculo" xfId="4743" builtinId="8" hidden="1"/>
    <cellStyle name="Hipervínculo" xfId="4317" builtinId="8" hidden="1"/>
    <cellStyle name="Hipervínculo" xfId="3085" builtinId="8" hidden="1"/>
    <cellStyle name="Hipervínculo" xfId="3911" builtinId="8" hidden="1"/>
    <cellStyle name="Hipervínculo" xfId="10705" builtinId="8" hidden="1"/>
    <cellStyle name="Hipervínculo" xfId="8147" builtinId="8" hidden="1"/>
    <cellStyle name="Hipervínculo" xfId="10667" builtinId="8" hidden="1"/>
    <cellStyle name="Hipervínculo" xfId="4289" builtinId="8" hidden="1"/>
    <cellStyle name="Hipervínculo" xfId="8965" builtinId="8" hidden="1"/>
    <cellStyle name="Hipervínculo" xfId="2223" builtinId="8" hidden="1"/>
    <cellStyle name="Hipervínculo" xfId="4789" builtinId="8" hidden="1"/>
    <cellStyle name="Hipervínculo" xfId="5997" builtinId="8" hidden="1"/>
    <cellStyle name="Hipervínculo" xfId="4127" builtinId="8" hidden="1"/>
    <cellStyle name="Hipervínculo" xfId="2405" builtinId="8" hidden="1"/>
    <cellStyle name="Hipervínculo" xfId="2611" builtinId="8" hidden="1"/>
    <cellStyle name="Hipervínculo" xfId="6939" builtinId="8" hidden="1"/>
    <cellStyle name="Hipervínculo" xfId="4063" builtinId="8" hidden="1"/>
    <cellStyle name="Hipervínculo" xfId="2715" builtinId="8" hidden="1"/>
    <cellStyle name="Hipervínculo" xfId="9007" builtinId="8" hidden="1"/>
    <cellStyle name="Hipervínculo" xfId="3309" builtinId="8" hidden="1"/>
    <cellStyle name="Hipervínculo" xfId="2725" builtinId="8" hidden="1"/>
    <cellStyle name="Hipervínculo" xfId="7569" builtinId="8" hidden="1"/>
    <cellStyle name="Hipervínculo" xfId="753" builtinId="8" hidden="1"/>
    <cellStyle name="Hipervínculo" xfId="10043" builtinId="8" hidden="1"/>
    <cellStyle name="Hipervínculo" xfId="6515" builtinId="8" hidden="1"/>
    <cellStyle name="Hipervínculo" xfId="8181" builtinId="8" hidden="1"/>
    <cellStyle name="Hipervínculo" xfId="3425" builtinId="8" hidden="1"/>
    <cellStyle name="Hipervínculo" xfId="8085" builtinId="8" hidden="1"/>
    <cellStyle name="Hipervínculo" xfId="7701" builtinId="8" hidden="1"/>
    <cellStyle name="Hipervínculo" xfId="4187" builtinId="8" hidden="1"/>
    <cellStyle name="Hipervínculo" xfId="10069" builtinId="8" hidden="1"/>
    <cellStyle name="Hipervínculo" xfId="5471" builtinId="8" hidden="1"/>
    <cellStyle name="Hipervínculo" xfId="7729" builtinId="8" hidden="1"/>
    <cellStyle name="Hipervínculo" xfId="10313" builtinId="8" hidden="1"/>
    <cellStyle name="Hipervínculo" xfId="6601" builtinId="8" hidden="1"/>
    <cellStyle name="Hipervínculo" xfId="9997" builtinId="8" hidden="1"/>
    <cellStyle name="Hipervínculo" xfId="549" builtinId="8" hidden="1"/>
    <cellStyle name="Hipervínculo" xfId="9565" builtinId="8" hidden="1"/>
    <cellStyle name="Hipervínculo" xfId="5549" builtinId="8" hidden="1"/>
    <cellStyle name="Hipervínculo" xfId="7511" builtinId="8" hidden="1"/>
    <cellStyle name="Hipervínculo" xfId="4257" builtinId="8" hidden="1"/>
    <cellStyle name="Hipervínculo" xfId="5655" builtinId="8" hidden="1"/>
    <cellStyle name="Hipervínculo" xfId="7709" builtinId="8" hidden="1"/>
    <cellStyle name="Hipervínculo" xfId="7809" builtinId="8" hidden="1"/>
    <cellStyle name="Hipervínculo" xfId="183" builtinId="8" hidden="1"/>
    <cellStyle name="Hipervínculo" xfId="5735" builtinId="8" hidden="1"/>
    <cellStyle name="Hipervínculo" xfId="4897" builtinId="8" hidden="1"/>
    <cellStyle name="Hipervínculo" xfId="9463" builtinId="8" hidden="1"/>
    <cellStyle name="Hipervínculo" xfId="4141" builtinId="8" hidden="1"/>
    <cellStyle name="Hipervínculo" xfId="4343" builtinId="8" hidden="1"/>
    <cellStyle name="Hipervínculo" xfId="2283" builtinId="8" hidden="1"/>
    <cellStyle name="Hipervínculo" xfId="1175" builtinId="8" hidden="1"/>
    <cellStyle name="Hipervínculo" xfId="8277" builtinId="8" hidden="1"/>
    <cellStyle name="Hipervínculo" xfId="1807" builtinId="8" hidden="1"/>
    <cellStyle name="Hipervínculo" xfId="8951" builtinId="8" hidden="1"/>
    <cellStyle name="Hipervínculo" xfId="6549" builtinId="8" hidden="1"/>
    <cellStyle name="Hipervínculo" xfId="6565" builtinId="8" hidden="1"/>
    <cellStyle name="Hipervínculo" xfId="1089" builtinId="8" hidden="1"/>
    <cellStyle name="Hipervínculo" xfId="5035" builtinId="8" hidden="1"/>
    <cellStyle name="Hipervínculo" xfId="8267" builtinId="8" hidden="1"/>
    <cellStyle name="Hipervínculo" xfId="3933" builtinId="8" hidden="1"/>
    <cellStyle name="Hipervínculo" xfId="433" builtinId="8" hidden="1"/>
    <cellStyle name="Hipervínculo" xfId="8793" builtinId="8" hidden="1"/>
    <cellStyle name="Hipervínculo" xfId="2987" builtinId="8" hidden="1"/>
    <cellStyle name="Hipervínculo" xfId="2235" builtinId="8" hidden="1"/>
    <cellStyle name="Hipervínculo" xfId="10593" builtinId="8" hidden="1"/>
    <cellStyle name="Hipervínculo" xfId="3065" builtinId="8" hidden="1"/>
    <cellStyle name="Hipervínculo" xfId="1177" builtinId="8" hidden="1"/>
    <cellStyle name="Hipervínculo" xfId="1295" builtinId="8" hidden="1"/>
    <cellStyle name="Hipervínculo" xfId="7383" builtinId="8" hidden="1"/>
    <cellStyle name="Hipervínculo" xfId="11079" builtinId="8" hidden="1"/>
    <cellStyle name="Hipervínculo" xfId="8149" builtinId="8" hidden="1"/>
    <cellStyle name="Hipervínculo" xfId="8797" builtinId="8" hidden="1"/>
    <cellStyle name="Hipervínculo" xfId="9789" builtinId="8" hidden="1"/>
    <cellStyle name="Hipervínculo" xfId="9597" builtinId="8" hidden="1"/>
    <cellStyle name="Hipervínculo" xfId="3053" builtinId="8" hidden="1"/>
    <cellStyle name="Hipervínculo" xfId="9801" builtinId="8" hidden="1"/>
    <cellStyle name="Hipervínculo" xfId="387" builtinId="8" hidden="1"/>
    <cellStyle name="Hipervínculo" xfId="573" builtinId="8" hidden="1"/>
    <cellStyle name="Hipervínculo" xfId="8877" builtinId="8" hidden="1"/>
    <cellStyle name="Hipervínculo" xfId="2449" builtinId="8" hidden="1"/>
    <cellStyle name="Hipervínculo" xfId="9651" builtinId="8" hidden="1"/>
    <cellStyle name="Hipervínculo" xfId="1183" builtinId="8" hidden="1"/>
    <cellStyle name="Hipervínculo" xfId="5883" builtinId="8" hidden="1"/>
    <cellStyle name="Hipervínculo" xfId="7047" builtinId="8" hidden="1"/>
    <cellStyle name="Hipervínculo" xfId="4067" builtinId="8" hidden="1"/>
    <cellStyle name="Hipervínculo" xfId="10113" builtinId="8" hidden="1"/>
    <cellStyle name="Hipervínculo" xfId="5641" builtinId="8" hidden="1"/>
    <cellStyle name="Hipervínculo" xfId="10617" builtinId="8" hidden="1"/>
    <cellStyle name="Hipervínculo" xfId="6171" builtinId="8" hidden="1"/>
    <cellStyle name="Hipervínculo" xfId="3971" builtinId="8" hidden="1"/>
    <cellStyle name="Hipervínculo" xfId="195" builtinId="8" hidden="1"/>
    <cellStyle name="Hipervínculo" xfId="9163" builtinId="8" hidden="1"/>
    <cellStyle name="Hipervínculo" xfId="3037" builtinId="8" hidden="1"/>
    <cellStyle name="Hipervínculo" xfId="6141" builtinId="8" hidden="1"/>
    <cellStyle name="Hipervínculo" xfId="10435" builtinId="8" hidden="1"/>
    <cellStyle name="Hipervínculo" xfId="8617" builtinId="8" hidden="1"/>
    <cellStyle name="Hipervínculo" xfId="11021" builtinId="8" hidden="1"/>
    <cellStyle name="Hipervínculo" xfId="3555" builtinId="8" hidden="1"/>
    <cellStyle name="Hipervínculo" xfId="10257" builtinId="8" hidden="1"/>
    <cellStyle name="Hipervínculo" xfId="5647" builtinId="8" hidden="1"/>
    <cellStyle name="Hipervínculo" xfId="6049" builtinId="8" hidden="1"/>
    <cellStyle name="Hipervínculo" xfId="1211" builtinId="8" hidden="1"/>
    <cellStyle name="Hipervínculo" xfId="7151" builtinId="8" hidden="1"/>
    <cellStyle name="Hipervínculo" xfId="3497" builtinId="8" hidden="1"/>
    <cellStyle name="Hipervínculo" xfId="9709" builtinId="8" hidden="1"/>
    <cellStyle name="Hipervínculo" xfId="985" builtinId="8" hidden="1"/>
    <cellStyle name="Hipervínculo" xfId="1915" builtinId="8" hidden="1"/>
    <cellStyle name="Hipervínculo" xfId="8051" builtinId="8" hidden="1"/>
    <cellStyle name="Hipervínculo" xfId="6471" builtinId="8" hidden="1"/>
    <cellStyle name="Hipervínculo" xfId="10587" builtinId="8" hidden="1"/>
    <cellStyle name="Hipervínculo" xfId="8223" builtinId="8" hidden="1"/>
    <cellStyle name="Hipervínculo" xfId="8999" builtinId="8" hidden="1"/>
    <cellStyle name="Hipervínculo" xfId="9409" builtinId="8" hidden="1"/>
    <cellStyle name="Hipervínculo" xfId="4519" builtinId="8" hidden="1"/>
    <cellStyle name="Hipervínculo" xfId="7819" builtinId="8" hidden="1"/>
    <cellStyle name="Hipervínculo" xfId="6499" builtinId="8" hidden="1"/>
    <cellStyle name="Hipervínculo" xfId="10361" builtinId="8" hidden="1"/>
    <cellStyle name="Hipervínculo" xfId="833" builtinId="8" hidden="1"/>
    <cellStyle name="Hipervínculo" xfId="5445" builtinId="8" hidden="1"/>
    <cellStyle name="Hipervínculo" xfId="7691" builtinId="8" hidden="1"/>
    <cellStyle name="Hipervínculo" xfId="5759" builtinId="8" hidden="1"/>
    <cellStyle name="Hipervínculo" xfId="10833" builtinId="8" hidden="1"/>
    <cellStyle name="Hipervínculo" xfId="765" builtinId="8" hidden="1"/>
    <cellStyle name="Hipervínculo" xfId="6527" builtinId="8" hidden="1"/>
    <cellStyle name="Hipervínculo" xfId="4647" builtinId="8" hidden="1"/>
    <cellStyle name="Hipervínculo" xfId="8491" builtinId="8" hidden="1"/>
    <cellStyle name="Hipervínculo" xfId="7867" builtinId="8" hidden="1"/>
    <cellStyle name="Hipervínculo" xfId="1007" builtinId="8" hidden="1"/>
    <cellStyle name="Hipervínculo" xfId="7953" builtinId="8" hidden="1"/>
    <cellStyle name="Hipervínculo" xfId="3091" builtinId="8" hidden="1"/>
    <cellStyle name="Hipervínculo" xfId="3093" builtinId="8" hidden="1"/>
    <cellStyle name="Hipervínculo" xfId="1951" builtinId="8" hidden="1"/>
    <cellStyle name="Hipervínculo" xfId="3223" builtinId="8" hidden="1"/>
    <cellStyle name="Hipervínculo" xfId="7143" builtinId="8" hidden="1"/>
    <cellStyle name="Hipervínculo" xfId="9077" builtinId="8" hidden="1"/>
    <cellStyle name="Hipervínculo" xfId="5783" builtinId="8" hidden="1"/>
    <cellStyle name="Hipervínculo" xfId="8907" builtinId="8" hidden="1"/>
    <cellStyle name="Hipervínculo" xfId="5437" builtinId="8" hidden="1"/>
    <cellStyle name="Hipervínculo" xfId="4949" builtinId="8" hidden="1"/>
    <cellStyle name="Hipervínculo" xfId="2481" builtinId="8" hidden="1"/>
    <cellStyle name="Hipervínculo" xfId="1359" builtinId="8" hidden="1"/>
    <cellStyle name="Hipervínculo" xfId="2109" builtinId="8" hidden="1"/>
    <cellStyle name="Hipervínculo" xfId="5453" builtinId="8" hidden="1"/>
    <cellStyle name="Hipervínculo" xfId="6207" builtinId="8" hidden="1"/>
    <cellStyle name="Hipervínculo" xfId="3153" builtinId="8" hidden="1"/>
    <cellStyle name="Hipervínculo" xfId="10949" builtinId="8" hidden="1"/>
    <cellStyle name="Hipervínculo" xfId="659" builtinId="8" hidden="1"/>
    <cellStyle name="Hipervínculo" xfId="607" builtinId="8" hidden="1"/>
    <cellStyle name="Hipervínculo" xfId="10151" builtinId="8" hidden="1"/>
    <cellStyle name="Hipervínculo" xfId="4899" builtinId="8" hidden="1"/>
    <cellStyle name="Hipervínculo" xfId="7821" builtinId="8" hidden="1"/>
    <cellStyle name="Hipervínculo" xfId="10897" builtinId="8" hidden="1"/>
    <cellStyle name="Hipervínculo" xfId="2705" builtinId="8" hidden="1"/>
    <cellStyle name="Hipervínculo" xfId="10427" builtinId="8" hidden="1"/>
    <cellStyle name="Hipervínculo" xfId="1021" builtinId="8" hidden="1"/>
    <cellStyle name="Hipervínculo" xfId="5093" builtinId="8" hidden="1"/>
    <cellStyle name="Hipervínculo" xfId="1671" builtinId="8" hidden="1"/>
    <cellStyle name="Hipervínculo" xfId="1757" builtinId="8" hidden="1"/>
    <cellStyle name="Hipervínculo" xfId="2095" builtinId="8" hidden="1"/>
    <cellStyle name="Hipervínculo" xfId="5571" builtinId="8" hidden="1"/>
    <cellStyle name="Hipervínculo" xfId="8991" builtinId="8" hidden="1"/>
    <cellStyle name="Hipervínculo" xfId="2845" builtinId="8" hidden="1"/>
    <cellStyle name="Hipervínculo" xfId="6553" builtinId="8" hidden="1"/>
    <cellStyle name="Hipervínculo" xfId="8039" builtinId="8" hidden="1"/>
    <cellStyle name="Hipervínculo" xfId="2361" builtinId="8" hidden="1"/>
    <cellStyle name="Hipervínculo" xfId="9539" builtinId="8" hidden="1"/>
    <cellStyle name="Hipervínculo" xfId="10139" builtinId="8" hidden="1"/>
    <cellStyle name="Hipervínculo" xfId="3055" builtinId="8" hidden="1"/>
    <cellStyle name="Hipervínculo" xfId="10989" builtinId="8" hidden="1"/>
    <cellStyle name="Hipervínculo" xfId="10835" builtinId="8" hidden="1"/>
    <cellStyle name="Hipervínculo" xfId="4079" builtinId="8" hidden="1"/>
    <cellStyle name="Hipervínculo" xfId="3295" builtinId="8" hidden="1"/>
    <cellStyle name="Hipervínculo" xfId="5795" builtinId="8" hidden="1"/>
    <cellStyle name="Hipervínculo" xfId="485" builtinId="8" hidden="1"/>
    <cellStyle name="Hipervínculo" xfId="8407" builtinId="8" hidden="1"/>
    <cellStyle name="Hipervínculo" xfId="6597" builtinId="8" hidden="1"/>
    <cellStyle name="Hipervínculo" xfId="869" builtinId="8" hidden="1"/>
    <cellStyle name="Hipervínculo" xfId="3257" builtinId="8" hidden="1"/>
    <cellStyle name="Hipervínculo" xfId="3825" builtinId="8" hidden="1"/>
    <cellStyle name="Hipervínculo" xfId="8503" builtinId="8" hidden="1"/>
    <cellStyle name="Hipervínculo" xfId="1317" builtinId="8" hidden="1"/>
    <cellStyle name="Hipervínculo" xfId="10937" builtinId="8" hidden="1"/>
    <cellStyle name="Hipervínculo" xfId="9297" builtinId="8" hidden="1"/>
    <cellStyle name="Hipervínculo" xfId="2641" builtinId="8" hidden="1"/>
    <cellStyle name="Hipervínculo" xfId="2049" builtinId="8" hidden="1"/>
    <cellStyle name="Hipervínculo" xfId="127" builtinId="8" hidden="1"/>
    <cellStyle name="Hipervínculo" xfId="283" builtinId="8" hidden="1"/>
    <cellStyle name="Hipervínculo" xfId="9981" builtinId="8" hidden="1"/>
    <cellStyle name="Hipervínculo" xfId="5529" builtinId="8" hidden="1"/>
    <cellStyle name="Hipervínculo" xfId="10105" builtinId="8" hidden="1"/>
    <cellStyle name="Hipervínculo" xfId="1251" builtinId="8" hidden="1"/>
    <cellStyle name="Hipervínculo" xfId="9275" builtinId="8" hidden="1"/>
    <cellStyle name="Hipervínculo" xfId="3791" builtinId="8" hidden="1"/>
    <cellStyle name="Hipervínculo" xfId="6729" builtinId="8" hidden="1"/>
    <cellStyle name="Hipervínculo" xfId="8607" builtinId="8" hidden="1"/>
    <cellStyle name="Hipervínculo" xfId="1781" builtinId="8" hidden="1"/>
    <cellStyle name="Hipervínculo" xfId="751" builtinId="8" hidden="1"/>
    <cellStyle name="Hipervínculo" xfId="1271" builtinId="8" hidden="1"/>
    <cellStyle name="Hipervínculo" xfId="363" builtinId="8" hidden="1"/>
    <cellStyle name="Hipervínculo" xfId="7543" builtinId="8" hidden="1"/>
    <cellStyle name="Hipervínculo" xfId="10099" builtinId="8" hidden="1"/>
    <cellStyle name="Hipervínculo" xfId="943" builtinId="8" hidden="1"/>
    <cellStyle name="Hipervínculo" xfId="2601" builtinId="8" hidden="1"/>
    <cellStyle name="Hipervínculo" xfId="9661" builtinId="8" hidden="1"/>
    <cellStyle name="Hipervínculo" xfId="5741" builtinId="8" hidden="1"/>
    <cellStyle name="Hipervínculo" xfId="8145" builtinId="8" hidden="1"/>
    <cellStyle name="Hipervínculo" xfId="685" builtinId="8" hidden="1"/>
    <cellStyle name="Hipervínculo" xfId="4297" builtinId="8" hidden="1"/>
    <cellStyle name="Hipervínculo" xfId="5275" builtinId="8" hidden="1"/>
    <cellStyle name="Hipervínculo" xfId="6523" builtinId="8" hidden="1"/>
    <cellStyle name="Hipervínculo" xfId="2465" builtinId="8" hidden="1"/>
    <cellStyle name="Hipervínculo" xfId="8347" builtinId="8" hidden="1"/>
    <cellStyle name="Hipervínculo" xfId="10075" builtinId="8" hidden="1"/>
    <cellStyle name="Hipervínculo" xfId="7559" builtinId="8" hidden="1"/>
    <cellStyle name="Hipervínculo" xfId="7199" builtinId="8" hidden="1"/>
    <cellStyle name="Hipervínculo" xfId="513" builtinId="8" hidden="1"/>
    <cellStyle name="Hipervínculo" xfId="10201" builtinId="8" hidden="1"/>
    <cellStyle name="Hipervínculo" xfId="10269" builtinId="8" hidden="1"/>
    <cellStyle name="Hipervínculo" xfId="4443" builtinId="8" hidden="1"/>
    <cellStyle name="Hipervínculo" xfId="2541" builtinId="8" hidden="1"/>
    <cellStyle name="Hipervínculo" xfId="1299" builtinId="8" hidden="1"/>
    <cellStyle name="Hipervínculo" xfId="953" builtinId="8" hidden="1"/>
    <cellStyle name="Hipervínculo" xfId="9787" builtinId="8" hidden="1"/>
    <cellStyle name="Hipervínculo" xfId="8015" builtinId="8" hidden="1"/>
    <cellStyle name="Hipervínculo" xfId="2485" builtinId="8" hidden="1"/>
    <cellStyle name="Hipervínculo" xfId="1753" builtinId="8" hidden="1"/>
    <cellStyle name="Hipervínculo" xfId="6873" builtinId="8" hidden="1"/>
    <cellStyle name="Hipervínculo" xfId="4577" builtinId="8" hidden="1"/>
    <cellStyle name="Hipervínculo" xfId="2567" builtinId="8" hidden="1"/>
    <cellStyle name="Hipervínculo" xfId="5335" builtinId="8" hidden="1"/>
    <cellStyle name="Hipervínculo" xfId="5493" builtinId="8" hidden="1"/>
    <cellStyle name="Hipervínculo" xfId="959" builtinId="8" hidden="1"/>
    <cellStyle name="Hipervínculo" xfId="10203" builtinId="8" hidden="1"/>
    <cellStyle name="Hipervínculo" xfId="2355" builtinId="8" hidden="1"/>
    <cellStyle name="Hipervínculo" xfId="10745" builtinId="8" hidden="1"/>
    <cellStyle name="Hipervínculo" xfId="2711" builtinId="8" hidden="1"/>
    <cellStyle name="Hipervínculo" xfId="6245" builtinId="8" hidden="1"/>
    <cellStyle name="Hipervínculo" xfId="7987" builtinId="8" hidden="1"/>
    <cellStyle name="Hipervínculo" xfId="8983" builtinId="8" hidden="1"/>
    <cellStyle name="Hipervínculo" xfId="1493" builtinId="8" hidden="1"/>
    <cellStyle name="Hipervínculo" xfId="5419" builtinId="8" hidden="1"/>
    <cellStyle name="Hipervínculo" xfId="3637" builtinId="8" hidden="1"/>
    <cellStyle name="Hipervínculo" xfId="7557" builtinId="8" hidden="1"/>
    <cellStyle name="Hipervínculo" xfId="2889" builtinId="8" hidden="1"/>
    <cellStyle name="Hipervínculo" xfId="9779" builtinId="8" hidden="1"/>
    <cellStyle name="Hipervínculo" xfId="9365" builtinId="8" hidden="1"/>
    <cellStyle name="Hipervínculo" xfId="8775" builtinId="8" hidden="1"/>
    <cellStyle name="Hipervínculo" xfId="3351" builtinId="8" hidden="1"/>
    <cellStyle name="Hipervínculo" xfId="6551" builtinId="8" hidden="1"/>
    <cellStyle name="Hipervínculo" xfId="2175" builtinId="8" hidden="1"/>
    <cellStyle name="Hipervínculo" xfId="2619" builtinId="8" hidden="1"/>
    <cellStyle name="Hipervínculo" xfId="4437" builtinId="8" hidden="1"/>
    <cellStyle name="Hipervínculo" xfId="2467" builtinId="8" hidden="1"/>
    <cellStyle name="Hipervínculo" xfId="1789" builtinId="8" hidden="1"/>
    <cellStyle name="Hipervínculo" xfId="4377" builtinId="8" hidden="1"/>
    <cellStyle name="Hipervínculo" xfId="7723" builtinId="8" hidden="1"/>
    <cellStyle name="Hipervínculo" xfId="3057" builtinId="8" hidden="1"/>
    <cellStyle name="Hipervínculo" xfId="229" builtinId="8" hidden="1"/>
    <cellStyle name="Hipervínculo" xfId="5431" builtinId="8" hidden="1"/>
    <cellStyle name="Hipervínculo" xfId="3389" builtinId="8" hidden="1"/>
    <cellStyle name="Hipervínculo" xfId="497" builtinId="8" hidden="1"/>
    <cellStyle name="Hipervínculo" xfId="8251" builtinId="8" hidden="1"/>
    <cellStyle name="Hipervínculo" xfId="2429" builtinId="8" hidden="1"/>
    <cellStyle name="Hipervínculo" xfId="6151" builtinId="8" hidden="1"/>
    <cellStyle name="Hipervínculo" xfId="10399" builtinId="8" hidden="1"/>
    <cellStyle name="Hipervínculo" xfId="7975" builtinId="8" hidden="1"/>
    <cellStyle name="Hipervínculo" xfId="10685" builtinId="8" hidden="1"/>
    <cellStyle name="Hipervínculo" xfId="4567" builtinId="8" hidden="1"/>
    <cellStyle name="Hipervínculo" xfId="857" builtinId="8" hidden="1"/>
    <cellStyle name="Hipervínculo" xfId="7337" builtinId="8" hidden="1"/>
    <cellStyle name="Hipervínculo" xfId="8841" builtinId="8" hidden="1"/>
    <cellStyle name="Hipervínculo" xfId="2293" builtinId="8" hidden="1"/>
    <cellStyle name="Hipervínculo" xfId="3213" builtinId="8" hidden="1"/>
    <cellStyle name="Hipervínculo" xfId="155" builtinId="8" hidden="1"/>
    <cellStyle name="Hipervínculo" xfId="9219" builtinId="8" hidden="1"/>
    <cellStyle name="Hipervínculo" xfId="5995" builtinId="8" hidden="1"/>
    <cellStyle name="Hipervínculo" xfId="4539" builtinId="8" hidden="1"/>
    <cellStyle name="Hipervínculo" xfId="7369" builtinId="8" hidden="1"/>
    <cellStyle name="Hipervínculo" xfId="783" builtinId="8" hidden="1"/>
    <cellStyle name="Hipervínculo" xfId="5429" builtinId="8" hidden="1"/>
    <cellStyle name="Hipervínculo" xfId="3233" builtinId="8" hidden="1"/>
    <cellStyle name="Hipervínculo" xfId="7789" builtinId="8" hidden="1"/>
    <cellStyle name="Hipervínculo" xfId="10215" builtinId="8" hidden="1"/>
    <cellStyle name="Hipervínculo" xfId="8553" builtinId="8" hidden="1"/>
    <cellStyle name="Hipervínculo" xfId="6569" builtinId="8" hidden="1"/>
    <cellStyle name="Hipervínculo" xfId="7757" builtinId="8" hidden="1"/>
    <cellStyle name="Hipervínculo" xfId="6395" builtinId="8" hidden="1"/>
    <cellStyle name="Hipervínculo" xfId="6857" builtinId="8" hidden="1"/>
    <cellStyle name="Hipervínculo" xfId="1331" builtinId="8" hidden="1"/>
    <cellStyle name="Hipervínculo" xfId="6075" builtinId="8" hidden="1"/>
    <cellStyle name="Hipervínculo" xfId="4153" builtinId="8" hidden="1"/>
    <cellStyle name="Hipervínculo" xfId="3433" builtinId="8" hidden="1"/>
    <cellStyle name="Hipervínculo" xfId="5025" builtinId="8" hidden="1"/>
    <cellStyle name="Hipervínculo" xfId="8123" builtinId="8" hidden="1"/>
    <cellStyle name="Hipervínculo" xfId="2129" builtinId="8" hidden="1"/>
    <cellStyle name="Hipervínculo" xfId="3529" builtinId="8" hidden="1"/>
    <cellStyle name="Hipervínculo" xfId="1133" builtinId="8" hidden="1"/>
    <cellStyle name="Hipervínculo" xfId="9455" builtinId="8" hidden="1"/>
    <cellStyle name="Hipervínculo" xfId="1123" builtinId="8" hidden="1"/>
    <cellStyle name="Hipervínculo" xfId="847" builtinId="8" hidden="1"/>
    <cellStyle name="Hipervínculo" xfId="5657" builtinId="8" hidden="1"/>
    <cellStyle name="Hipervínculo" xfId="3155" builtinId="8" hidden="1"/>
    <cellStyle name="Hipervínculo" xfId="5085" builtinId="8" hidden="1"/>
    <cellStyle name="Hipervínculo" xfId="1185" builtinId="8" hidden="1"/>
    <cellStyle name="Hipervínculo" xfId="941" builtinId="8" hidden="1"/>
    <cellStyle name="Hipervínculo" xfId="9305" builtinId="8" hidden="1"/>
    <cellStyle name="Hipervínculo" xfId="6699" builtinId="8" hidden="1"/>
    <cellStyle name="Hipervínculo" xfId="9431" builtinId="8" hidden="1"/>
    <cellStyle name="Hipervínculo" xfId="617" builtinId="8" hidden="1"/>
    <cellStyle name="Hipervínculo" xfId="8715" builtinId="8" hidden="1"/>
    <cellStyle name="Hipervínculo" xfId="3875" builtinId="8" hidden="1"/>
    <cellStyle name="Hipervínculo" xfId="6929" builtinId="8" hidden="1"/>
    <cellStyle name="Hipervínculo" xfId="9289" builtinId="8" hidden="1"/>
    <cellStyle name="Hipervínculo" xfId="9629" builtinId="8" hidden="1"/>
    <cellStyle name="Hipervínculo" xfId="4041" builtinId="8" hidden="1"/>
    <cellStyle name="Hipervínculo" xfId="3043" builtinId="8" hidden="1"/>
    <cellStyle name="Hipervínculo" xfId="3175" builtinId="8" hidden="1"/>
    <cellStyle name="Hipervínculo" xfId="9523" builtinId="8" hidden="1"/>
    <cellStyle name="Hipervínculo" xfId="10385" builtinId="8" hidden="1"/>
    <cellStyle name="Hipervínculo" xfId="8929" builtinId="8" hidden="1"/>
    <cellStyle name="Hipervínculo" xfId="8177" builtinId="8" hidden="1"/>
    <cellStyle name="Hipervínculo" xfId="5541" builtinId="8" hidden="1"/>
    <cellStyle name="Hipervínculo" xfId="10125" builtinId="8" hidden="1"/>
    <cellStyle name="Hipervínculo" xfId="4465" builtinId="8" hidden="1"/>
    <cellStyle name="Hipervínculo" xfId="6525" builtinId="8" hidden="1"/>
    <cellStyle name="Hipervínculo" xfId="4639" builtinId="8" hidden="1"/>
    <cellStyle name="Hipervínculo" xfId="4379" builtinId="8" hidden="1"/>
    <cellStyle name="Hipervínculo" xfId="8413" builtinId="8" hidden="1"/>
    <cellStyle name="Hipervínculo" xfId="10513" builtinId="8" hidden="1"/>
    <cellStyle name="Hipervínculo" xfId="7491" builtinId="8" hidden="1"/>
    <cellStyle name="Hipervínculo" xfId="6995" builtinId="8" hidden="1"/>
    <cellStyle name="Hipervínculo" xfId="2299" builtinId="8" hidden="1"/>
    <cellStyle name="Hipervínculo" xfId="10981" builtinId="8" hidden="1"/>
    <cellStyle name="Hipervínculo" xfId="3541" builtinId="8" hidden="1"/>
    <cellStyle name="Hipervínculo" xfId="6175" builtinId="8" hidden="1"/>
    <cellStyle name="Hipervínculo" xfId="2053" builtinId="8" hidden="1"/>
    <cellStyle name="Hipervínculo" xfId="5631" builtinId="8" hidden="1"/>
    <cellStyle name="Hipervínculo" xfId="7759" builtinId="8" hidden="1"/>
    <cellStyle name="Hipervínculo" xfId="201" builtinId="8" hidden="1"/>
    <cellStyle name="Hipervínculo" xfId="1907" builtinId="8" hidden="1"/>
    <cellStyle name="Hipervínculo" xfId="4037" builtinId="8" hidden="1"/>
    <cellStyle name="Hipervínculo" xfId="8293" builtinId="8" hidden="1"/>
    <cellStyle name="Hipervínculo" xfId="8795" builtinId="8" hidden="1"/>
    <cellStyle name="Hipervínculo" xfId="9459" builtinId="8" hidden="1"/>
    <cellStyle name="Hipervínculo" xfId="6313" builtinId="8" hidden="1"/>
    <cellStyle name="Hipervínculo" xfId="10317" builtinId="8" hidden="1"/>
    <cellStyle name="Hipervínculo" xfId="10707" builtinId="8" hidden="1"/>
    <cellStyle name="Hipervínculo" xfId="409" builtinId="8" hidden="1"/>
    <cellStyle name="Hipervínculo" xfId="7191" builtinId="8" hidden="1"/>
    <cellStyle name="Hipervínculo" xfId="6343" builtinId="8" hidden="1"/>
    <cellStyle name="Hipervínculo" xfId="3367" builtinId="8" hidden="1"/>
    <cellStyle name="Hipervínculo" xfId="8743" builtinId="8" hidden="1"/>
    <cellStyle name="Hipervínculo" xfId="7075" builtinId="8" hidden="1"/>
    <cellStyle name="Hipervínculo" xfId="10837" builtinId="8" hidden="1"/>
    <cellStyle name="Hipervínculo" xfId="4417" builtinId="8" hidden="1"/>
    <cellStyle name="Hipervínculo" xfId="8959" builtinId="8" hidden="1"/>
    <cellStyle name="Hipervínculo" xfId="4755" builtinId="8" hidden="1"/>
    <cellStyle name="Hipervínculo" xfId="9307" builtinId="8" hidden="1"/>
    <cellStyle name="Hipervínculo" xfId="7273" builtinId="8" hidden="1"/>
    <cellStyle name="Hipervínculo" xfId="5579" builtinId="8" hidden="1"/>
    <cellStyle name="Hipervínculo" xfId="7429" builtinId="8" hidden="1"/>
    <cellStyle name="Hipervínculo" xfId="7357" builtinId="8" hidden="1"/>
    <cellStyle name="Hipervínculo" xfId="1369" builtinId="8" hidden="1"/>
    <cellStyle name="Hipervínculo" xfId="9843" builtinId="8" hidden="1"/>
    <cellStyle name="Hipervínculo" xfId="5557" builtinId="8" hidden="1"/>
    <cellStyle name="Hipervínculo" xfId="9311" builtinId="8" hidden="1"/>
    <cellStyle name="Hipervínculo" xfId="2919" builtinId="8" hidden="1"/>
    <cellStyle name="Hipervínculo" xfId="3919" builtinId="8" hidden="1"/>
    <cellStyle name="Hipervínculo" xfId="8851" builtinId="8" hidden="1"/>
    <cellStyle name="Hipervínculo" xfId="6015" builtinId="8" hidden="1"/>
    <cellStyle name="Hipervínculo" xfId="67" builtinId="8" hidden="1"/>
    <cellStyle name="Hipervínculo" xfId="8939" builtinId="8" hidden="1"/>
    <cellStyle name="Hipervínculo" xfId="6983" builtinId="8" hidden="1"/>
    <cellStyle name="Hipervínculo" xfId="5095" builtinId="8" hidden="1"/>
    <cellStyle name="Hipervínculo" xfId="897" builtinId="8" hidden="1"/>
    <cellStyle name="Hipervínculo" xfId="2421" builtinId="8" hidden="1"/>
    <cellStyle name="Hipervínculo" xfId="1959" builtinId="8" hidden="1"/>
    <cellStyle name="Hipervínculo" xfId="3583" builtinId="8" hidden="1"/>
    <cellStyle name="Hipervínculo" xfId="4515" builtinId="8" hidden="1"/>
    <cellStyle name="Hipervínculo" xfId="1713" builtinId="8" hidden="1"/>
    <cellStyle name="Hipervínculo" xfId="10471" builtinId="8" hidden="1"/>
    <cellStyle name="Hipervínculo" xfId="5957" builtinId="8" hidden="1"/>
    <cellStyle name="Hipervínculo" xfId="6689" builtinId="8" hidden="1"/>
    <cellStyle name="Hipervínculo" xfId="2569" builtinId="8" hidden="1"/>
    <cellStyle name="Hipervínculo" xfId="245" builtinId="8" hidden="1"/>
    <cellStyle name="Hipervínculo" xfId="1427" builtinId="8" hidden="1"/>
    <cellStyle name="Hipervínculo" xfId="9899" builtinId="8" hidden="1"/>
    <cellStyle name="Hipervínculo" xfId="2331" builtinId="8" hidden="1"/>
    <cellStyle name="Hipervínculo" xfId="10829" builtinId="8" hidden="1"/>
    <cellStyle name="Hipervínculo" xfId="5251" builtinId="8" hidden="1"/>
    <cellStyle name="Hipervínculo" xfId="10983" builtinId="8" hidden="1"/>
    <cellStyle name="Hipervínculo" xfId="7051" builtinId="8" hidden="1"/>
    <cellStyle name="Hipervínculo" xfId="5381" builtinId="8" hidden="1"/>
    <cellStyle name="Hipervínculo" xfId="6783" builtinId="8" hidden="1"/>
    <cellStyle name="Hipervínculo" xfId="2289" builtinId="8" hidden="1"/>
    <cellStyle name="Hipervínculo" xfId="2219" builtinId="8" hidden="1"/>
    <cellStyle name="Hipervínculo" xfId="8081" builtinId="8" hidden="1"/>
    <cellStyle name="Hipervínculo" xfId="9099" builtinId="8" hidden="1"/>
    <cellStyle name="Hipervínculo" xfId="7021" builtinId="8" hidden="1"/>
    <cellStyle name="Hipervínculo" xfId="4027" builtinId="8" hidden="1"/>
    <cellStyle name="Hipervínculo" xfId="6687" builtinId="8" hidden="1"/>
    <cellStyle name="Hipervínculo" xfId="139" builtinId="8" hidden="1"/>
    <cellStyle name="Hipervínculo" xfId="11003" builtinId="8" hidden="1"/>
    <cellStyle name="Hipervínculo" xfId="5719" builtinId="8" hidden="1"/>
    <cellStyle name="Hipervínculo" xfId="6949" builtinId="8" hidden="1"/>
    <cellStyle name="Hipervínculo" xfId="4683" builtinId="8" hidden="1"/>
    <cellStyle name="Hipervínculo" xfId="5319" builtinId="8" hidden="1"/>
    <cellStyle name="Hipervínculo" xfId="3729" builtinId="8" hidden="1"/>
    <cellStyle name="Hipervínculo" xfId="8315" builtinId="8" hidden="1"/>
    <cellStyle name="Hipervínculo" xfId="5815" builtinId="8" hidden="1"/>
    <cellStyle name="Hipervínculo" xfId="5457" builtinId="8" hidden="1"/>
    <cellStyle name="Hipervínculo" xfId="5063" builtinId="8" hidden="1"/>
    <cellStyle name="Hipervínculo" xfId="8175" builtinId="8" hidden="1"/>
    <cellStyle name="Hipervínculo" xfId="1399" builtinId="8" hidden="1"/>
    <cellStyle name="Hipervínculo" xfId="9521" builtinId="8" hidden="1"/>
    <cellStyle name="Hipervínculo" xfId="6989" builtinId="8" hidden="1"/>
    <cellStyle name="Hipervínculo" xfId="10027" builtinId="8" hidden="1"/>
    <cellStyle name="Hipervínculo" xfId="7553" builtinId="8" hidden="1"/>
    <cellStyle name="Hipervínculo" xfId="8741" builtinId="8" hidden="1"/>
    <cellStyle name="Hipervínculo" xfId="10817" builtinId="8" hidden="1"/>
    <cellStyle name="Hipervínculo" xfId="589" builtinId="8" hidden="1"/>
    <cellStyle name="Hipervínculo" xfId="1839" builtinId="8" hidden="1"/>
    <cellStyle name="Hipervínculo" xfId="8325" builtinId="8" hidden="1"/>
    <cellStyle name="Hipervínculo" xfId="4413" builtinId="8" hidden="1"/>
    <cellStyle name="Hipervínculo" xfId="961" builtinId="8" hidden="1"/>
    <cellStyle name="Hipervínculo" xfId="4813" builtinId="8" hidden="1"/>
    <cellStyle name="Hipervínculo" xfId="2571" builtinId="8" hidden="1"/>
    <cellStyle name="Hipervínculo" xfId="1665" builtinId="8" hidden="1"/>
    <cellStyle name="Hipervínculo" xfId="3323" builtinId="8" hidden="1"/>
    <cellStyle name="Hipervínculo" xfId="6705" builtinId="8" hidden="1"/>
    <cellStyle name="Hipervínculo" xfId="10915" builtinId="8" hidden="1"/>
    <cellStyle name="Hipervínculo" xfId="3097" builtinId="8" hidden="1"/>
    <cellStyle name="Hipervínculo" xfId="3243" builtinId="8" hidden="1"/>
    <cellStyle name="Hipervínculo" xfId="8633" builtinId="8" hidden="1"/>
    <cellStyle name="Hipervínculo" xfId="3239" builtinId="8" hidden="1"/>
    <cellStyle name="Hipervínculo" xfId="8211" builtinId="8" hidden="1"/>
    <cellStyle name="Hipervínculo" xfId="27" builtinId="8" hidden="1"/>
    <cellStyle name="Hipervínculo" xfId="213" builtinId="8" hidden="1"/>
    <cellStyle name="Hipervínculo" xfId="3571" builtinId="8" hidden="1"/>
    <cellStyle name="Hipervínculo" xfId="6299" builtinId="8" hidden="1"/>
    <cellStyle name="Hipervínculo" xfId="6273" builtinId="8" hidden="1"/>
    <cellStyle name="Hipervínculo" xfId="8719" builtinId="8" hidden="1"/>
    <cellStyle name="Hipervínculo" xfId="7419" builtinId="8" hidden="1"/>
    <cellStyle name="Hipervínculo" xfId="4073" builtinId="8" hidden="1"/>
    <cellStyle name="Hipervínculo" xfId="9239" builtinId="8" hidden="1"/>
    <cellStyle name="Hipervínculo" xfId="6495" builtinId="8" hidden="1"/>
    <cellStyle name="Hipervínculo" xfId="649" builtinId="8" hidden="1"/>
    <cellStyle name="Hipervínculo" xfId="2699" builtinId="8" hidden="1"/>
    <cellStyle name="Hipervínculo" xfId="6399" builtinId="8" hidden="1"/>
    <cellStyle name="Hipervínculo" xfId="1603" builtinId="8" hidden="1"/>
    <cellStyle name="Hipervínculo" xfId="3755" builtinId="8" hidden="1"/>
    <cellStyle name="Hipervínculo" xfId="4569" builtinId="8" hidden="1"/>
    <cellStyle name="Hipervínculo" xfId="5193" builtinId="8" hidden="1"/>
    <cellStyle name="Hipervínculo" xfId="5781" builtinId="8" hidden="1"/>
    <cellStyle name="Hipervínculo" xfId="4871" builtinId="8" hidden="1"/>
    <cellStyle name="Hipervínculo" xfId="439" builtinId="8" hidden="1"/>
    <cellStyle name="Hipervínculo" xfId="1509" builtinId="8" hidden="1"/>
    <cellStyle name="Hipervínculo" xfId="5363" builtinId="8" hidden="1"/>
    <cellStyle name="Hipervínculo" xfId="2211" builtinId="8" hidden="1"/>
    <cellStyle name="Hipervínculo" xfId="9197" builtinId="8" hidden="1"/>
    <cellStyle name="Hipervínculo" xfId="6661" builtinId="8" hidden="1"/>
    <cellStyle name="Hipervínculo" xfId="9045" builtinId="8" hidden="1"/>
    <cellStyle name="Hipervínculo" xfId="2195" builtinId="8" hidden="1"/>
    <cellStyle name="Hipervínculo" xfId="5901" builtinId="8" hidden="1"/>
    <cellStyle name="Hipervínculo" xfId="6971" builtinId="8" hidden="1"/>
    <cellStyle name="Hipervínculo" xfId="3387" builtinId="8" hidden="1"/>
    <cellStyle name="Hipervínculo" xfId="7067" builtinId="8" hidden="1"/>
    <cellStyle name="Hipervínculo" xfId="7173" builtinId="8" hidden="1"/>
    <cellStyle name="Hipervínculo" xfId="1489" builtinId="8" hidden="1"/>
    <cellStyle name="Hipervínculo" xfId="4869" builtinId="8" hidden="1"/>
    <cellStyle name="Hipervínculo" xfId="4319" builtinId="8" hidden="1"/>
    <cellStyle name="Hipervínculo" xfId="679" builtinId="8" hidden="1"/>
    <cellStyle name="Hipervínculo" xfId="5197" builtinId="8" hidden="1"/>
    <cellStyle name="Hipervínculo" xfId="6247" builtinId="8" hidden="1"/>
    <cellStyle name="Hipervínculo" xfId="9921" builtinId="8" hidden="1"/>
    <cellStyle name="Hipervínculo" xfId="9549" builtinId="8" hidden="1"/>
    <cellStyle name="Hipervínculo" xfId="2393" builtinId="8" hidden="1"/>
    <cellStyle name="Hipervínculo" xfId="7523" builtinId="8" hidden="1"/>
    <cellStyle name="Hipervínculo" xfId="6619" builtinId="8" hidden="1"/>
    <cellStyle name="Hipervínculo" xfId="7585" builtinId="8" hidden="1"/>
    <cellStyle name="Hipervínculo" xfId="1173" builtinId="8" hidden="1"/>
    <cellStyle name="Hipervínculo" xfId="5651" builtinId="8" hidden="1"/>
    <cellStyle name="Hipervínculo" xfId="3083" builtinId="8" hidden="1"/>
    <cellStyle name="Hipervínculo" xfId="993" builtinId="8" hidden="1"/>
    <cellStyle name="Hipervínculo" xfId="10137" builtinId="8" hidden="1"/>
    <cellStyle name="Hipervínculo" xfId="3663" builtinId="8" hidden="1"/>
    <cellStyle name="Hipervínculo" xfId="7943" builtinId="8" hidden="1"/>
    <cellStyle name="Hipervínculo" xfId="6135" builtinId="8" hidden="1"/>
    <cellStyle name="Hipervínculo" xfId="561" builtinId="8" hidden="1"/>
    <cellStyle name="Hipervínculo" xfId="2377" builtinId="8" hidden="1"/>
    <cellStyle name="Hipervínculo" xfId="7417" builtinId="8" hidden="1"/>
    <cellStyle name="Hipervínculo" xfId="6725" builtinId="8" hidden="1"/>
    <cellStyle name="Hipervínculo" xfId="2305" builtinId="8" hidden="1"/>
    <cellStyle name="Hipervínculo" xfId="10913" builtinId="8" hidden="1"/>
    <cellStyle name="Hipervínculo" xfId="1355" builtinId="8" hidden="1"/>
    <cellStyle name="Hipervínculo" xfId="4241" builtinId="8" hidden="1"/>
    <cellStyle name="Hipervínculo" xfId="10297" builtinId="8" hidden="1"/>
    <cellStyle name="Hipervínculo" xfId="10101" builtinId="8" hidden="1"/>
    <cellStyle name="Hipervínculo" xfId="5757" builtinId="8" hidden="1"/>
    <cellStyle name="Hipervínculo" xfId="4115" builtinId="8" hidden="1"/>
    <cellStyle name="Hipervínculo" xfId="6249" builtinId="8" hidden="1"/>
    <cellStyle name="Hipervínculo" xfId="9557" builtinId="8" hidden="1"/>
    <cellStyle name="Hipervínculo" xfId="5923" builtinId="8" hidden="1"/>
    <cellStyle name="Hipervínculo" xfId="3135" builtinId="8" hidden="1"/>
    <cellStyle name="Hipervínculo" xfId="3399" builtinId="8" hidden="1"/>
    <cellStyle name="Hipervínculo" xfId="9487" builtinId="8" hidden="1"/>
    <cellStyle name="Hipervínculo" xfId="9575" builtinId="8" hidden="1"/>
    <cellStyle name="Hipervínculo" xfId="8329" builtinId="8" hidden="1"/>
    <cellStyle name="Hipervínculo" xfId="10205" builtinId="8" hidden="1"/>
    <cellStyle name="Hipervínculo" xfId="8369" builtinId="8" hidden="1"/>
    <cellStyle name="Hipervínculo" xfId="1115" builtinId="8" hidden="1"/>
    <cellStyle name="Hipervínculo" xfId="6953" builtinId="8" hidden="1"/>
    <cellStyle name="Hipervínculo" xfId="1319" builtinId="8" hidden="1"/>
    <cellStyle name="Hipervínculo" xfId="8891" builtinId="8" hidden="1"/>
    <cellStyle name="Hipervínculo" xfId="4333" builtinId="8" hidden="1"/>
    <cellStyle name="Hipervínculo" xfId="10307" builtinId="8" hidden="1"/>
    <cellStyle name="Hipervínculo" xfId="2701" builtinId="8" hidden="1"/>
    <cellStyle name="Hipervínculo" xfId="6911" builtinId="8" hidden="1"/>
    <cellStyle name="Hipervínculo" xfId="3253" builtinId="8" hidden="1"/>
    <cellStyle name="Hipervínculo" xfId="9155" builtinId="8" hidden="1"/>
    <cellStyle name="Hipervínculo" xfId="2997" builtinId="8" hidden="1"/>
    <cellStyle name="Hipervínculo" xfId="7117" builtinId="8" hidden="1"/>
    <cellStyle name="Hipervínculo" xfId="4893" builtinId="8" hidden="1"/>
    <cellStyle name="Hipervínculo" xfId="1831" builtinId="8" hidden="1"/>
    <cellStyle name="Hipervínculo" xfId="7287" builtinId="8" hidden="1"/>
    <cellStyle name="Hipervínculo" xfId="6765" builtinId="8" hidden="1"/>
    <cellStyle name="Hipervínculo" xfId="8721" builtinId="8" hidden="1"/>
    <cellStyle name="Hipervínculo" xfId="4645" builtinId="8" hidden="1"/>
    <cellStyle name="Hipervínculo" xfId="6957" builtinId="8" hidden="1"/>
    <cellStyle name="Hipervínculo" xfId="8701" builtinId="8" hidden="1"/>
    <cellStyle name="Hipervínculo" xfId="4853" builtinId="8" hidden="1"/>
    <cellStyle name="Hipervínculo" xfId="3313" builtinId="8" hidden="1"/>
    <cellStyle name="Hipervínculo" xfId="7099" builtinId="8" hidden="1"/>
    <cellStyle name="Hipervínculo" xfId="1737" builtinId="8" hidden="1"/>
    <cellStyle name="Hipervínculo" xfId="7289" builtinId="8" hidden="1"/>
    <cellStyle name="Hipervínculo" xfId="251" builtinId="8" hidden="1"/>
    <cellStyle name="Hipervínculo" xfId="10795" builtinId="8" hidden="1"/>
    <cellStyle name="Hipervínculo" xfId="2205" builtinId="8" hidden="1"/>
    <cellStyle name="Hipervínculo" xfId="199" builtinId="8" hidden="1"/>
    <cellStyle name="Hipervínculo" xfId="3709" builtinId="8" hidden="1"/>
    <cellStyle name="Hipervínculo" xfId="5933" builtinId="8" hidden="1"/>
    <cellStyle name="Hipervínculo" xfId="5847" builtinId="8" hidden="1"/>
    <cellStyle name="Hipervínculo" xfId="3747" builtinId="8" hidden="1"/>
    <cellStyle name="Hipervínculo" xfId="3673" builtinId="8" hidden="1"/>
    <cellStyle name="Hipervínculo" xfId="3353" builtinId="8" hidden="1"/>
    <cellStyle name="Hipervínculo" xfId="1435" builtinId="8" hidden="1"/>
    <cellStyle name="Hipervínculo" xfId="4119" builtinId="8" hidden="1"/>
    <cellStyle name="Hipervínculo" xfId="5183" builtinId="8" hidden="1"/>
    <cellStyle name="Hipervínculo" xfId="10291" builtinId="8" hidden="1"/>
    <cellStyle name="Hipervínculo" xfId="4845" builtinId="8" hidden="1"/>
    <cellStyle name="Hipervínculo" xfId="7353" builtinId="8" hidden="1"/>
    <cellStyle name="Hipervínculo" xfId="443" builtinId="8" hidden="1"/>
    <cellStyle name="Hipervínculo" xfId="8947" builtinId="8" hidden="1"/>
    <cellStyle name="Hipervínculo" xfId="4359" builtinId="8" hidden="1"/>
    <cellStyle name="Hipervínculo" xfId="7917" builtinId="8" hidden="1"/>
    <cellStyle name="Hipervínculo" xfId="9733" builtinId="8" hidden="1"/>
    <cellStyle name="Hipervínculo" xfId="7393" builtinId="8" hidden="1"/>
    <cellStyle name="Hipervínculo" xfId="6191" builtinId="8" hidden="1"/>
    <cellStyle name="Hipervínculo" xfId="7977" builtinId="8" hidden="1"/>
    <cellStyle name="Hipervínculo" xfId="9315" builtinId="8" hidden="1"/>
    <cellStyle name="Hipervínculo" xfId="9959" builtinId="8" hidden="1"/>
    <cellStyle name="Hipervínculo" xfId="7119" builtinId="8" hidden="1"/>
    <cellStyle name="Hipervínculo" xfId="2423" builtinId="8" hidden="1"/>
    <cellStyle name="Hipervínculo" xfId="4273" builtinId="8" hidden="1"/>
    <cellStyle name="Hipervínculo" xfId="3941" builtinId="8" hidden="1"/>
    <cellStyle name="Hipervínculo" xfId="2011" builtinId="8" hidden="1"/>
    <cellStyle name="Hipervínculo" xfId="7487" builtinId="8" hidden="1"/>
    <cellStyle name="Hipervínculo" xfId="10305" builtinId="8" hidden="1"/>
    <cellStyle name="Hipervínculo" xfId="10073" builtinId="8" hidden="1"/>
    <cellStyle name="Hipervínculo" xfId="8859" builtinId="8" hidden="1"/>
    <cellStyle name="Hipervínculo" xfId="9011" builtinId="8" hidden="1"/>
    <cellStyle name="Hipervínculo" xfId="8665" builtinId="8" hidden="1"/>
    <cellStyle name="Hipervínculo" xfId="979" builtinId="8" hidden="1"/>
    <cellStyle name="Hipervínculo" xfId="7135" builtinId="8" hidden="1"/>
    <cellStyle name="Hipervínculo" xfId="2139" builtinId="8" hidden="1"/>
    <cellStyle name="Hipervínculo" xfId="8627" builtinId="8" hidden="1"/>
    <cellStyle name="Hipervínculo" xfId="9999" builtinId="8" hidden="1"/>
    <cellStyle name="Hipervínculo" xfId="8589" builtinId="8" hidden="1"/>
    <cellStyle name="Hipervínculo" xfId="7845" builtinId="8" hidden="1"/>
    <cellStyle name="Hipervínculo" xfId="11057" builtinId="8" hidden="1"/>
    <cellStyle name="Hipervínculo" xfId="9031" builtinId="8" hidden="1"/>
    <cellStyle name="Hipervínculo" xfId="6055" builtinId="8" hidden="1"/>
    <cellStyle name="Hipervínculo" xfId="2351" builtinId="8" hidden="1"/>
    <cellStyle name="Hipervínculo" xfId="9985" builtinId="8" hidden="1"/>
    <cellStyle name="Hipervínculo" xfId="9019" builtinId="8" hidden="1"/>
    <cellStyle name="Hipervínculo" xfId="1497" builtinId="8" hidden="1"/>
    <cellStyle name="Hipervínculo" xfId="10751" builtinId="8" hidden="1"/>
    <cellStyle name="Hipervínculo" xfId="1479" builtinId="8" hidden="1"/>
    <cellStyle name="Hipervínculo" xfId="3169" builtinId="8" hidden="1"/>
    <cellStyle name="Hipervínculo" xfId="109" builtinId="8" hidden="1"/>
    <cellStyle name="Hipervínculo" xfId="2721" builtinId="8" hidden="1"/>
    <cellStyle name="Hipervínculo" xfId="5819" builtinId="8" hidden="1"/>
    <cellStyle name="Hipervínculo" xfId="3667" builtinId="8" hidden="1"/>
    <cellStyle name="Hipervínculo" xfId="6931" builtinId="8" hidden="1"/>
    <cellStyle name="Hipervínculo" xfId="4903" builtinId="8" hidden="1"/>
    <cellStyle name="Hipervínculo" xfId="6901" builtinId="8" hidden="1"/>
    <cellStyle name="Hipervínculo" xfId="6339" builtinId="8" hidden="1"/>
    <cellStyle name="Hipervínculo" xfId="4641" builtinId="8" hidden="1"/>
    <cellStyle name="Hipervínculo" xfId="613" builtinId="8" hidden="1"/>
    <cellStyle name="Hipervínculo" xfId="8439" builtinId="8" hidden="1"/>
    <cellStyle name="Hipervínculo" xfId="2659" builtinId="8" hidden="1"/>
    <cellStyle name="Hipervínculo" xfId="3409" builtinId="8" hidden="1"/>
    <cellStyle name="Hipervínculo" xfId="7079" builtinId="8" hidden="1"/>
    <cellStyle name="Hipervínculo" xfId="2911" builtinId="8" hidden="1"/>
    <cellStyle name="Hipervínculo" xfId="2135" builtinId="8" hidden="1"/>
    <cellStyle name="Hipervínculo" xfId="5811" builtinId="8" hidden="1"/>
    <cellStyle name="Hipervínculo" xfId="4549" builtinId="8" hidden="1"/>
    <cellStyle name="Hipervínculo" xfId="5083" builtinId="8" hidden="1"/>
    <cellStyle name="Hipervínculo" xfId="261" builtinId="8" hidden="1"/>
    <cellStyle name="Hipervínculo" xfId="6889" builtinId="8" hidden="1"/>
    <cellStyle name="Hipervínculo" xfId="6987" builtinId="8" hidden="1"/>
    <cellStyle name="Hipervínculo" xfId="5163" builtinId="8" hidden="1"/>
    <cellStyle name="Hipervínculo" xfId="2843" builtinId="8" hidden="1"/>
    <cellStyle name="Hipervínculo" xfId="1321" builtinId="8" hidden="1"/>
    <cellStyle name="Hipervínculo" xfId="10763" builtinId="8" hidden="1"/>
    <cellStyle name="Hipervínculo" xfId="4351" builtinId="8" hidden="1"/>
    <cellStyle name="Hipervínculo" xfId="6741" builtinId="8" hidden="1"/>
    <cellStyle name="Hipervínculo" xfId="2033" builtinId="8" hidden="1"/>
    <cellStyle name="Hipervínculo" xfId="7463" builtinId="8" hidden="1"/>
    <cellStyle name="Hipervínculo" xfId="2931" builtinId="8" hidden="1"/>
    <cellStyle name="Hipervínculo" xfId="5427" builtinId="8" hidden="1"/>
    <cellStyle name="Hipervínculo" xfId="3201" builtinId="8" hidden="1"/>
    <cellStyle name="Hipervínculo" xfId="2729" builtinId="8" hidden="1"/>
    <cellStyle name="Hipervínculo" xfId="6425" builtinId="8" hidden="1"/>
    <cellStyle name="Hipervínculo" xfId="8631" builtinId="8" hidden="1"/>
    <cellStyle name="Hipervínculo" xfId="7859" builtinId="8" hidden="1"/>
    <cellStyle name="Hipervínculo" xfId="2663" builtinId="8" hidden="1"/>
    <cellStyle name="Hipervínculo" xfId="5771" builtinId="8" hidden="1"/>
    <cellStyle name="Hipervínculo" xfId="1721" builtinId="8" hidden="1"/>
    <cellStyle name="Hipervínculo" xfId="10037" builtinId="8" hidden="1"/>
    <cellStyle name="Hipervínculo" xfId="9917" builtinId="8" hidden="1"/>
    <cellStyle name="Hipervínculo" xfId="10851" builtinId="8" hidden="1"/>
    <cellStyle name="Hipervínculo" xfId="1461" builtinId="8" hidden="1"/>
    <cellStyle name="Hipervínculo" xfId="2677" builtinId="8" hidden="1"/>
    <cellStyle name="Hipervínculo" xfId="4801" builtinId="8" hidden="1"/>
    <cellStyle name="Hipervínculo" xfId="4805" builtinId="8" hidden="1"/>
    <cellStyle name="Hipervínculo" xfId="9153" builtinId="8" hidden="1"/>
    <cellStyle name="Hipervínculo" xfId="4867" builtinId="8" hidden="1"/>
    <cellStyle name="Hipervínculo" xfId="5269" builtinId="8" hidden="1"/>
    <cellStyle name="Hipervínculo" xfId="10689" builtinId="8" hidden="1"/>
    <cellStyle name="Hipervínculo" xfId="8515" builtinId="8" hidden="1"/>
    <cellStyle name="Hipervínculo" xfId="7633" builtinId="8" hidden="1"/>
    <cellStyle name="Hipervínculo" xfId="725" builtinId="8" hidden="1"/>
    <cellStyle name="Hipervínculo" xfId="3765" builtinId="8" hidden="1"/>
    <cellStyle name="Hipervínculo" xfId="1365" builtinId="8" hidden="1"/>
    <cellStyle name="Hipervínculo" xfId="2623" builtinId="8" hidden="1"/>
    <cellStyle name="Hipervínculo" xfId="6771" builtinId="8" hidden="1"/>
    <cellStyle name="Hipervínculo" xfId="5305" builtinId="8" hidden="1"/>
    <cellStyle name="Hipervínculo" xfId="6183" builtinId="8" hidden="1"/>
    <cellStyle name="Hipervínculo" xfId="2849" builtinId="8" hidden="1"/>
    <cellStyle name="Hipervínculo" xfId="3441" builtinId="8" hidden="1"/>
    <cellStyle name="Hipervínculo" xfId="9167" builtinId="8" hidden="1"/>
    <cellStyle name="Hipervínculo" xfId="8301" builtinId="8" hidden="1"/>
    <cellStyle name="Hipervínculo" xfId="6485" builtinId="8" hidden="1"/>
    <cellStyle name="Hipervínculo" xfId="6935" builtinId="8" hidden="1"/>
    <cellStyle name="Hipervínculo" xfId="8307" builtinId="8" hidden="1"/>
    <cellStyle name="Hipervínculo" xfId="9195" builtinId="8" hidden="1"/>
    <cellStyle name="Hipervínculo" xfId="8441" builtinId="8" hidden="1"/>
    <cellStyle name="Hipervínculo" xfId="10141" builtinId="8" hidden="1"/>
    <cellStyle name="Hipervínculo" xfId="8115" builtinId="8" hidden="1"/>
    <cellStyle name="Hipervínculo" xfId="6227" builtinId="8" hidden="1"/>
    <cellStyle name="Hipervínculo" xfId="8505" builtinId="8" hidden="1"/>
    <cellStyle name="Hipervínculo" xfId="5451" builtinId="8" hidden="1"/>
    <cellStyle name="Hipervínculo" xfId="4181" builtinId="8" hidden="1"/>
    <cellStyle name="Hipervínculo" xfId="8511" builtinId="8" hidden="1"/>
    <cellStyle name="Hipervínculo" xfId="8629" builtinId="8" hidden="1"/>
    <cellStyle name="Hipervínculo" xfId="9511" builtinId="8" hidden="1"/>
    <cellStyle name="Hipervínculo" xfId="10479" builtinId="8" hidden="1"/>
    <cellStyle name="Hipervínculo" xfId="6923" builtinId="8" hidden="1"/>
    <cellStyle name="Hipervínculo" xfId="6651" builtinId="8" hidden="1"/>
    <cellStyle name="Hipervínculo" xfId="4877" builtinId="8" hidden="1"/>
    <cellStyle name="Hipervínculo" xfId="5409" builtinId="8" hidden="1"/>
    <cellStyle name="Hipervínculo" xfId="1995" builtinId="8" hidden="1"/>
    <cellStyle name="Hipervínculo" xfId="2113" builtinId="8" hidden="1"/>
    <cellStyle name="Hipervínculo" xfId="6999" builtinId="8" hidden="1"/>
    <cellStyle name="Hipervínculo" xfId="10241" builtinId="8" hidden="1"/>
    <cellStyle name="Hipervínculo" xfId="103" builtinId="8" hidden="1"/>
    <cellStyle name="Hipervínculo" xfId="6297" builtinId="8" hidden="1"/>
    <cellStyle name="Hipervínculo" xfId="10021" builtinId="8" hidden="1"/>
    <cellStyle name="Hipervínculo" xfId="3111" builtinId="8" hidden="1"/>
    <cellStyle name="Hipervínculo" xfId="4151" builtinId="8" hidden="1"/>
    <cellStyle name="Hipervínculo" xfId="4423" builtinId="8" hidden="1"/>
    <cellStyle name="Hipervínculo" xfId="1759" builtinId="8" hidden="1"/>
    <cellStyle name="Hipervínculo" xfId="5175" builtinId="8" hidden="1"/>
    <cellStyle name="Hipervínculo" xfId="5345" builtinId="8" hidden="1"/>
    <cellStyle name="Hipervínculo" xfId="8779" builtinId="8" hidden="1"/>
    <cellStyle name="Hipervínculo" xfId="8343" builtinId="8" hidden="1"/>
    <cellStyle name="Hipervínculo" xfId="1203" builtinId="8" hidden="1"/>
    <cellStyle name="Hipervínculo" xfId="4693" builtinId="8" hidden="1"/>
    <cellStyle name="Hipervínculo" xfId="2841" builtinId="8" hidden="1"/>
    <cellStyle name="Hipervínculo" xfId="4821" builtinId="8" hidden="1"/>
    <cellStyle name="Hipervínculo" xfId="3701" builtinId="8" hidden="1"/>
    <cellStyle name="Hipervínculo" xfId="4135" builtinId="8" hidden="1"/>
    <cellStyle name="Hipervínculo" xfId="331" builtinId="8" hidden="1"/>
    <cellStyle name="Hipervínculo" xfId="6979" builtinId="8" hidden="1"/>
    <cellStyle name="Hipervínculo" xfId="5713" builtinId="8" hidden="1"/>
    <cellStyle name="Hipervínculo" xfId="7645" builtinId="8" hidden="1"/>
    <cellStyle name="Hipervínculo" xfId="10813" builtinId="8" hidden="1"/>
    <cellStyle name="Hipervínculo" xfId="9507" builtinId="8" hidden="1"/>
    <cellStyle name="Hipervínculo" xfId="803" builtinId="8" hidden="1"/>
    <cellStyle name="Hipervínculo" xfId="10143" builtinId="8" hidden="1"/>
    <cellStyle name="Hipervínculo" xfId="6517" builtinId="8" hidden="1"/>
    <cellStyle name="Hipervínculo" xfId="7483" builtinId="8" hidden="1"/>
    <cellStyle name="Hipervínculo" xfId="3679" builtinId="8" hidden="1"/>
    <cellStyle name="Hipervínculo" xfId="5161" builtinId="8" hidden="1"/>
    <cellStyle name="Hipervínculo" xfId="10681" builtinId="8" hidden="1"/>
    <cellStyle name="Hipervínculo" xfId="3143" builtinId="8" hidden="1"/>
    <cellStyle name="Hipervínculo" xfId="2249" builtinId="8" hidden="1"/>
    <cellStyle name="Hipervínculo" xfId="2857" builtinId="8" hidden="1"/>
    <cellStyle name="Hipervínculo" xfId="2811" builtinId="8" hidden="1"/>
    <cellStyle name="Hipervínculo" xfId="10539" builtinId="8" hidden="1"/>
    <cellStyle name="Hipervínculo" xfId="4105" builtinId="8" hidden="1"/>
    <cellStyle name="Hipervínculo" xfId="10783" builtinId="8" hidden="1"/>
    <cellStyle name="Hipervínculo" xfId="5921" builtinId="8" hidden="1"/>
    <cellStyle name="Hipervínculo" xfId="9359" builtinId="8" hidden="1"/>
    <cellStyle name="Hipervínculo" xfId="119" builtinId="8" hidden="1"/>
    <cellStyle name="Hipervínculo" xfId="3817" builtinId="8" hidden="1"/>
    <cellStyle name="Hipervínculo" xfId="4759" builtinId="8" hidden="1"/>
    <cellStyle name="Hipervínculo" xfId="315" builtinId="8" hidden="1"/>
    <cellStyle name="Hipervínculo" xfId="5633" builtinId="8" hidden="1"/>
    <cellStyle name="Hipervínculo" xfId="4815" builtinId="8" hidden="1"/>
    <cellStyle name="Hipervínculo" xfId="5211" builtinId="8" hidden="1"/>
    <cellStyle name="Hipervínculo" xfId="9777" builtinId="8" hidden="1"/>
    <cellStyle name="Hipervínculo" xfId="7469" builtinId="8" hidden="1"/>
    <cellStyle name="Hipervínculo" xfId="5341" builtinId="8" hidden="1"/>
    <cellStyle name="Hipervínculo" xfId="5201" builtinId="8" hidden="1"/>
    <cellStyle name="Hipervínculo" xfId="5637" builtinId="8" hidden="1"/>
    <cellStyle name="Hipervínculo" xfId="5357" builtinId="8" hidden="1"/>
    <cellStyle name="Hipervínculo" xfId="6863" builtinId="8" hidden="1"/>
    <cellStyle name="Hipervínculo" xfId="5331" builtinId="8" hidden="1"/>
    <cellStyle name="Hipervínculo" xfId="10493" builtinId="8" hidden="1"/>
    <cellStyle name="Hipervínculo" xfId="2173" builtinId="8" hidden="1"/>
    <cellStyle name="Hipervínculo" xfId="7501" builtinId="8" hidden="1"/>
    <cellStyle name="Hipervínculo" xfId="2161" builtinId="8" hidden="1"/>
    <cellStyle name="Hipervínculo" xfId="6233" builtinId="8" hidden="1"/>
    <cellStyle name="Hipervínculo" xfId="3103" builtinId="8" hidden="1"/>
    <cellStyle name="Hipervínculo" xfId="10163" builtinId="8" hidden="1"/>
    <cellStyle name="Hipervínculo" xfId="1285" builtinId="8" hidden="1"/>
    <cellStyle name="Hipervínculo" xfId="9835" builtinId="8" hidden="1"/>
    <cellStyle name="Hipervínculo" xfId="489" builtinId="8" hidden="1"/>
    <cellStyle name="Hipervínculo" xfId="3815" builtinId="8" hidden="1"/>
    <cellStyle name="Hipervínculo" xfId="5751" builtinId="8" hidden="1"/>
    <cellStyle name="Hipervínculo" xfId="2261" builtinId="8" hidden="1"/>
    <cellStyle name="Hipervínculo" xfId="8035" builtinId="8" hidden="1"/>
    <cellStyle name="Hipervínculo" xfId="3001" builtinId="8" hidden="1"/>
    <cellStyle name="Hipervínculo" xfId="8403" builtinId="8" hidden="1"/>
    <cellStyle name="Hipervínculo" xfId="7305" builtinId="8" hidden="1"/>
    <cellStyle name="Hipervínculo" xfId="5961" builtinId="8" hidden="1"/>
    <cellStyle name="Hipervínculo" xfId="8013" builtinId="8" hidden="1"/>
    <cellStyle name="Hipervínculo" xfId="4655" builtinId="8" hidden="1"/>
    <cellStyle name="Hipervínculo" xfId="1565" builtinId="8" hidden="1"/>
    <cellStyle name="Hipervínculo" xfId="9465" builtinId="8" hidden="1"/>
    <cellStyle name="Hipervínculo" xfId="419" builtinId="8" hidden="1"/>
    <cellStyle name="Hipervínculo" xfId="8401" builtinId="8" hidden="1"/>
    <cellStyle name="Hipervínculo" xfId="6419" builtinId="8" hidden="1"/>
    <cellStyle name="Hipervínculo" xfId="3843" builtinId="8" hidden="1"/>
    <cellStyle name="Hipervínculo" xfId="1559" builtinId="8" hidden="1"/>
    <cellStyle name="Hipervínculo" xfId="10565" builtinId="8" hidden="1"/>
    <cellStyle name="Hipervínculo" xfId="2373" builtinId="8" hidden="1"/>
    <cellStyle name="Hipervínculo" xfId="9025" builtinId="8" hidden="1"/>
    <cellStyle name="Hipervínculo" xfId="7365" builtinId="8" hidden="1"/>
    <cellStyle name="Hipervínculo" xfId="2197" builtinId="8" hidden="1"/>
    <cellStyle name="Hipervínculo" xfId="1425" builtinId="8" hidden="1"/>
    <cellStyle name="Hipervínculo" xfId="7195" builtinId="8" hidden="1"/>
    <cellStyle name="Hipervínculo" xfId="7877" builtinId="8" hidden="1"/>
    <cellStyle name="Hipervínculo" xfId="1983" builtinId="8" hidden="1"/>
    <cellStyle name="Hipervínculo" xfId="9209" builtinId="8" hidden="1"/>
    <cellStyle name="Hipervínculo" xfId="593" builtinId="8" hidden="1"/>
    <cellStyle name="Hipervínculo" xfId="6401" builtinId="8" hidden="1"/>
    <cellStyle name="Hipervínculo" xfId="10263" builtinId="8" hidden="1"/>
    <cellStyle name="Hipervínculo" xfId="4597" builtinId="8" hidden="1"/>
    <cellStyle name="Hipervínculo" xfId="2879" builtinId="8" hidden="1"/>
    <cellStyle name="Hipervínculo" xfId="3885" builtinId="8" hidden="1"/>
    <cellStyle name="Hipervínculo" xfId="1521" builtinId="8" hidden="1"/>
    <cellStyle name="Hipervínculo" xfId="2397" builtinId="8" hidden="1"/>
    <cellStyle name="Hipervínculo" xfId="7435" builtinId="8" hidden="1"/>
    <cellStyle name="Hipervínculo" xfId="3745" builtinId="8" hidden="1"/>
    <cellStyle name="Hipervínculo" xfId="1743" builtinId="8" hidden="1"/>
    <cellStyle name="Hipervínculo" xfId="4551" builtinId="8" hidden="1"/>
    <cellStyle name="Hipervínculo" xfId="9131" builtinId="8" hidden="1"/>
    <cellStyle name="Hipervínculo" xfId="10029" builtinId="8" hidden="1"/>
    <cellStyle name="Hipervínculo" xfId="6793" builtinId="8" hidden="1"/>
    <cellStyle name="Hipervínculo" xfId="8523" builtinId="8" hidden="1"/>
    <cellStyle name="Hipervínculo" xfId="503" builtinId="8" hidden="1"/>
    <cellStyle name="Hipervínculo" xfId="5963" builtinId="8" hidden="1"/>
    <cellStyle name="Hipervínculo" xfId="4309" builtinId="8" hidden="1"/>
    <cellStyle name="Hipervínculo" xfId="2147" builtinId="8" hidden="1"/>
    <cellStyle name="Hipervínculo" xfId="2447" builtinId="8" hidden="1"/>
    <cellStyle name="Hipervínculo" xfId="10625" builtinId="8" hidden="1"/>
    <cellStyle name="Hipervínculo" xfId="7185" builtinId="8" hidden="1"/>
    <cellStyle name="Hipervínculo" xfId="6411" builtinId="8" hidden="1"/>
    <cellStyle name="Hipervínculo" xfId="4501" builtinId="8" hidden="1"/>
    <cellStyle name="Hipervínculo" xfId="10135" builtinId="8" hidden="1"/>
    <cellStyle name="Hipervínculo" xfId="3385" builtinId="8" hidden="1"/>
    <cellStyle name="Hipervínculo" xfId="3349" builtinId="8" hidden="1"/>
    <cellStyle name="Hipervínculo" xfId="7605" builtinId="8" hidden="1"/>
    <cellStyle name="Hipervínculo" xfId="6489" builtinId="8" hidden="1"/>
    <cellStyle name="Hipervínculo" xfId="2165" builtinId="8" hidden="1"/>
    <cellStyle name="Hipervínculo" xfId="8103" builtinId="8" hidden="1"/>
    <cellStyle name="Hipervínculo" xfId="5455" builtinId="8" hidden="1"/>
    <cellStyle name="Hipervínculo" xfId="7979" builtinId="8" hidden="1"/>
    <cellStyle name="Hipervínculo" xfId="2667" builtinId="8" hidden="1"/>
    <cellStyle name="Hipervínculo" xfId="6721" builtinId="8" hidden="1"/>
    <cellStyle name="Hipervínculo" xfId="1675" builtinId="8" hidden="1"/>
    <cellStyle name="Hipervínculo" xfId="6325" builtinId="8" hidden="1"/>
    <cellStyle name="Hipervínculo" xfId="9145" builtinId="8" hidden="1"/>
    <cellStyle name="Hipervínculo" xfId="3781" builtinId="8" hidden="1"/>
    <cellStyle name="Hipervínculo" xfId="6703" builtinId="8" hidden="1"/>
    <cellStyle name="Hipervínculo" xfId="10599" builtinId="8" hidden="1"/>
    <cellStyle name="Hipervínculo" xfId="10551" builtinId="8" hidden="1"/>
    <cellStyle name="Hipervínculo" xfId="8827" builtinId="8" hidden="1"/>
    <cellStyle name="Hipervínculo" xfId="1117" builtinId="8" hidden="1"/>
    <cellStyle name="Hipervínculo" xfId="665" builtinId="8" hidden="1"/>
    <cellStyle name="Hipervínculo" xfId="7545" builtinId="8" hidden="1"/>
    <cellStyle name="Hipervínculo" xfId="6155" builtinId="8" hidden="1"/>
    <cellStyle name="Hipervínculo" xfId="6529" builtinId="8" hidden="1"/>
    <cellStyle name="Hipervínculo" xfId="1457" builtinId="8" hidden="1"/>
    <cellStyle name="Hipervínculo" xfId="8993" builtinId="8" hidden="1"/>
    <cellStyle name="Hipervínculo" xfId="3145" builtinId="8" hidden="1"/>
    <cellStyle name="Hipervínculo" xfId="2201" builtinId="8" hidden="1"/>
    <cellStyle name="Hipervínculo" xfId="8645" builtinId="8" hidden="1"/>
    <cellStyle name="Hipervínculo" xfId="7541" builtinId="8" hidden="1"/>
    <cellStyle name="Hipervínculo" xfId="7869" builtinId="8" hidden="1"/>
    <cellStyle name="Hipervínculo" xfId="7829" builtinId="8" hidden="1"/>
    <cellStyle name="Hipervínculo" xfId="3287" builtinId="8" hidden="1"/>
    <cellStyle name="Hipervínculo" xfId="923" builtinId="8" hidden="1"/>
    <cellStyle name="Hipervínculo" xfId="10669" builtinId="8" hidden="1"/>
    <cellStyle name="Hipervínculo" xfId="10923" builtinId="8" hidden="1"/>
    <cellStyle name="Hipervínculo" xfId="861" builtinId="8" hidden="1"/>
    <cellStyle name="Hipervínculo" xfId="3569" builtinId="8" hidden="1"/>
    <cellStyle name="Hipervínculo" xfId="6855" builtinId="8" hidden="1"/>
    <cellStyle name="Hipervínculo" xfId="10031" builtinId="8" hidden="1"/>
    <cellStyle name="Hipervínculo" xfId="5951" builtinId="8" hidden="1"/>
    <cellStyle name="Hipervínculo" xfId="5715" builtinId="8" hidden="1"/>
    <cellStyle name="Hipervínculo" xfId="3761" builtinId="8" hidden="1"/>
    <cellStyle name="Hipervínculo" xfId="9687" builtinId="8" hidden="1"/>
    <cellStyle name="Hipervínculo" xfId="4191" builtinId="8" hidden="1"/>
    <cellStyle name="Hipervínculo" xfId="8099" builtinId="8" hidden="1"/>
    <cellStyle name="Hipervínculo" xfId="2819" builtinId="8" hidden="1"/>
    <cellStyle name="Hipervínculo" xfId="10875" builtinId="8" hidden="1"/>
    <cellStyle name="Hipervínculo" xfId="7019" builtinId="8" hidden="1"/>
    <cellStyle name="Hipervínculo" xfId="8731" builtinId="8" hidden="1"/>
    <cellStyle name="Hipervínculo" xfId="8887" builtinId="8" hidden="1"/>
    <cellStyle name="Hipervínculo" xfId="4299" builtinId="8" hidden="1"/>
    <cellStyle name="Hipervínculo" xfId="13" builtinId="8" hidden="1"/>
    <cellStyle name="Hipervínculo" xfId="10521" builtinId="8" hidden="1"/>
    <cellStyle name="Hipervínculo" xfId="9047" builtinId="8" hidden="1"/>
    <cellStyle name="Hipervínculo" xfId="3871" builtinId="8" hidden="1"/>
    <cellStyle name="Hipervínculo" xfId="3231" builtinId="8" hidden="1"/>
    <cellStyle name="Hipervínculo" xfId="1281" builtinId="8" hidden="1"/>
    <cellStyle name="Hipervínculo" xfId="1813" builtinId="8" hidden="1"/>
    <cellStyle name="Hipervínculo" xfId="839" builtinId="8" hidden="1"/>
    <cellStyle name="Hipervínculo" xfId="2237" builtinId="8" hidden="1"/>
    <cellStyle name="Hipervínculo" xfId="6837" builtinId="8" hidden="1"/>
    <cellStyle name="Hipervínculo" xfId="7897" builtinId="8" hidden="1"/>
    <cellStyle name="Hipervínculo" xfId="10959" builtinId="8" hidden="1"/>
    <cellStyle name="Hipervínculo" xfId="10483" builtinId="8" hidden="1"/>
    <cellStyle name="Hipervínculo" xfId="10703" builtinId="8" hidden="1"/>
    <cellStyle name="Hipervínculo" xfId="8621" builtinId="8" hidden="1"/>
    <cellStyle name="Hipervínculo" xfId="7627" builtinId="8" hidden="1"/>
    <cellStyle name="Hipervínculo" xfId="3837" builtinId="8" hidden="1"/>
    <cellStyle name="Hipervínculo" xfId="4967" builtinId="8" hidden="1"/>
    <cellStyle name="Hipervínculo" xfId="4353" builtinId="8" hidden="1"/>
    <cellStyle name="Hipervínculo" xfId="6839" builtinId="8" hidden="1"/>
    <cellStyle name="Hipervínculo" xfId="4703" builtinId="8" hidden="1"/>
    <cellStyle name="Hipervínculo" xfId="4571" builtinId="8" hidden="1"/>
    <cellStyle name="Hipervínculo" xfId="2489" builtinId="8" hidden="1"/>
    <cellStyle name="Hipervínculo" xfId="10001" builtinId="8" hidden="1"/>
    <cellStyle name="Hipervínculo" xfId="3923" builtinId="8" hidden="1"/>
    <cellStyle name="Hipervínculo" xfId="9559" builtinId="8" hidden="1"/>
    <cellStyle name="Hipervínculo" xfId="10733" builtinId="8" hidden="1"/>
    <cellStyle name="Hipervínculo" xfId="2989" builtinId="8" hidden="1"/>
    <cellStyle name="Hipervínculo" xfId="6787" builtinId="8" hidden="1"/>
    <cellStyle name="Hipervínculo" xfId="8253" builtinId="8" hidden="1"/>
    <cellStyle name="Hipervínculo" xfId="4007" builtinId="8" hidden="1"/>
    <cellStyle name="Hipervínculo" xfId="9783" builtinId="8" hidden="1"/>
    <cellStyle name="Hipervínculo" xfId="10695" builtinId="8" hidden="1"/>
    <cellStyle name="Hipervínculo" xfId="1777" builtinId="8" hidden="1"/>
    <cellStyle name="Hipervínculo" xfId="5297" builtinId="8" hidden="1"/>
    <cellStyle name="Hipervínculo" xfId="2847" builtinId="8" hidden="1"/>
    <cellStyle name="Hipervínculo" xfId="3457" builtinId="8" hidden="1"/>
    <cellStyle name="Hipervínculo" xfId="6353" builtinId="8" hidden="1"/>
    <cellStyle name="Hipervínculo" xfId="967" builtinId="8" hidden="1"/>
    <cellStyle name="Hipervínculo" xfId="8985" builtinId="8" hidden="1"/>
    <cellStyle name="Hipervínculo" xfId="7719" builtinId="8" hidden="1"/>
    <cellStyle name="Hipervínculo" xfId="4637" builtinId="8" hidden="1"/>
    <cellStyle name="Hipervínculo" xfId="4959" builtinId="8" hidden="1"/>
    <cellStyle name="Hipervínculo" xfId="8303" builtinId="8" hidden="1"/>
    <cellStyle name="Hipervínculo" xfId="2891" builtinId="8" hidden="1"/>
    <cellStyle name="Hipervínculo" xfId="5245" builtinId="8" hidden="1"/>
    <cellStyle name="Hipervínculo" xfId="3333" builtinId="8" hidden="1"/>
    <cellStyle name="Hipervínculo" xfId="1387" builtinId="8" hidden="1"/>
    <cellStyle name="Hipervínculo" xfId="9473" builtinId="8" hidden="1"/>
    <cellStyle name="Hipervínculo" xfId="4389" builtinId="8" hidden="1"/>
    <cellStyle name="Hipervínculo" xfId="6491" builtinId="8" hidden="1"/>
    <cellStyle name="Hipervínculo" xfId="4401" builtinId="8" hidden="1"/>
    <cellStyle name="Hipervínculo" xfId="8863" builtinId="8" hidden="1"/>
    <cellStyle name="Hipervínculo" xfId="5993" builtinId="8" hidden="1"/>
    <cellStyle name="Hipervínculo" xfId="9061" builtinId="8" hidden="1"/>
    <cellStyle name="Hipervínculo" xfId="3273" builtinId="8" hidden="1"/>
    <cellStyle name="Hipervínculo" xfId="5259" builtinId="8" hidden="1"/>
    <cellStyle name="Hipervínculo" xfId="9809" builtinId="8" hidden="1"/>
    <cellStyle name="Hipervínculo" xfId="10327" builtinId="8" hidden="1"/>
    <cellStyle name="Hipervínculo" xfId="3949" builtinId="8" hidden="1"/>
    <cellStyle name="Hipervínculo" xfId="521" builtinId="8" hidden="1"/>
    <cellStyle name="Hipervínculo" xfId="1335" builtinId="8" hidden="1"/>
    <cellStyle name="Hipervínculo" xfId="6435" builtinId="8" hidden="1"/>
    <cellStyle name="Hipervínculo" xfId="2855" builtinId="8" hidden="1"/>
    <cellStyle name="Hipervínculo" xfId="4991" builtinId="8" hidden="1"/>
    <cellStyle name="Hipervínculo" xfId="1683" builtinId="8" hidden="1"/>
    <cellStyle name="Hipervínculo" xfId="5087" builtinId="8" hidden="1"/>
    <cellStyle name="Hipervínculo" xfId="6853" builtinId="8" hidden="1"/>
    <cellStyle name="Hipervínculo" xfId="3615" builtinId="8" hidden="1"/>
    <cellStyle name="Hipervínculo" xfId="1093" builtinId="8" hidden="1"/>
    <cellStyle name="Hipervínculo" xfId="1107" builtinId="8" hidden="1"/>
    <cellStyle name="Hipervínculo" xfId="5835" builtinId="8" hidden="1"/>
    <cellStyle name="Hipervínculo" xfId="2471" builtinId="8" hidden="1"/>
    <cellStyle name="Hipervínculo" xfId="217" builtinId="8" hidden="1"/>
    <cellStyle name="Hipervínculo" xfId="4933" builtinId="8" hidden="1"/>
    <cellStyle name="Hipervínculo" xfId="8595" builtinId="8" hidden="1"/>
    <cellStyle name="Hipervínculo" xfId="10957" builtinId="8" hidden="1"/>
    <cellStyle name="Hipervínculo" xfId="10863" builtinId="8" hidden="1"/>
    <cellStyle name="Hipervínculo" xfId="4553" builtinId="8" hidden="1"/>
    <cellStyle name="Hipervínculo" xfId="1707" builtinId="8" hidden="1"/>
    <cellStyle name="Hipervínculo" xfId="6659" builtinId="8" hidden="1"/>
    <cellStyle name="Hipervínculo" xfId="5685" builtinId="8" hidden="1"/>
    <cellStyle name="Hipervínculo" xfId="5373" builtinId="8" hidden="1"/>
    <cellStyle name="Hipervínculo" xfId="6027" builtinId="8" hidden="1"/>
    <cellStyle name="Hipervínculo" xfId="5185" builtinId="8" hidden="1"/>
    <cellStyle name="Hipervínculo" xfId="771" builtinId="8" hidden="1"/>
    <cellStyle name="Hipervínculo" xfId="6915" builtinId="8" hidden="1"/>
    <cellStyle name="Hipervínculo" xfId="10005" builtinId="8" hidden="1"/>
    <cellStyle name="Hipervínculo" xfId="4071" builtinId="8" hidden="1"/>
    <cellStyle name="Hipervínculo" xfId="9355" builtinId="8" hidden="1"/>
    <cellStyle name="Hipervínculo" xfId="8165" builtinId="8" hidden="1"/>
    <cellStyle name="Hipervínculo" xfId="9147" builtinId="8" hidden="1"/>
    <cellStyle name="Hipervínculo" xfId="3585" builtinId="8" hidden="1"/>
    <cellStyle name="Hipervínculo" xfId="1717" builtinId="8" hidden="1"/>
    <cellStyle name="Hipervínculo" xfId="47" builtinId="8" hidden="1"/>
    <cellStyle name="Hipervínculo" xfId="5693" builtinId="8" hidden="1"/>
    <cellStyle name="Hipervínculo" xfId="5329" builtinId="8" hidden="1"/>
    <cellStyle name="Hipervínculo" xfId="3987" builtinId="8" hidden="1"/>
    <cellStyle name="Hipervínculo" xfId="4311" builtinId="8" hidden="1"/>
    <cellStyle name="Hipervínculo" xfId="11061" builtinId="8" hidden="1"/>
    <cellStyle name="Hipervínculo" xfId="831" builtinId="8" hidden="1"/>
    <cellStyle name="Hipervínculo" xfId="1099" builtinId="8" hidden="1"/>
    <cellStyle name="Hipervínculo" xfId="5449" builtinId="8" hidden="1"/>
    <cellStyle name="Hipervínculo" xfId="2287" builtinId="8" hidden="1"/>
    <cellStyle name="Hipervínculo" xfId="7359" builtinId="8" hidden="1"/>
    <cellStyle name="Hipervínculo" xfId="1269" builtinId="8" hidden="1"/>
    <cellStyle name="Hipervínculo" xfId="9941" builtinId="8" hidden="1"/>
    <cellStyle name="Hipervínculo" xfId="797" builtinId="8" hidden="1"/>
    <cellStyle name="Hipervínculo" xfId="529" builtinId="8" hidden="1"/>
    <cellStyle name="Hipervínculo" xfId="10365" builtinId="8" hidden="1"/>
    <cellStyle name="Hipervínculo" xfId="4303" builtinId="8" hidden="1"/>
    <cellStyle name="Hipervínculo" xfId="5479" builtinId="8" hidden="1"/>
    <cellStyle name="Hipervínculo" xfId="11033" builtinId="8" hidden="1"/>
    <cellStyle name="Hipervínculo" xfId="3395" builtinId="8" hidden="1"/>
    <cellStyle name="Hipervínculo" xfId="523" builtinId="8" hidden="1"/>
    <cellStyle name="Hipervínculo" xfId="3173" builtinId="8" hidden="1"/>
    <cellStyle name="Hipervínculo" xfId="10789" builtinId="8" hidden="1"/>
    <cellStyle name="Hipervínculo" xfId="2239" builtinId="8" hidden="1"/>
    <cellStyle name="Hipervínculo" xfId="10129" builtinId="8" hidden="1"/>
    <cellStyle name="Hipervínculo" xfId="4249" builtinId="8" hidden="1"/>
    <cellStyle name="Hipervínculo" xfId="3477" builtinId="8" hidden="1"/>
    <cellStyle name="Hipervínculo" xfId="7871" builtinId="8" hidden="1"/>
    <cellStyle name="Hipervínculo" xfId="5253" builtinId="8" hidden="1"/>
    <cellStyle name="Hipervínculo" xfId="6509" builtinId="8" hidden="1"/>
    <cellStyle name="Hipervínculo" xfId="10185" builtinId="8" hidden="1"/>
    <cellStyle name="Hipervínculo" xfId="7693" builtinId="8" hidden="1"/>
    <cellStyle name="Hipervínculo" xfId="4931" builtinId="8" hidden="1"/>
    <cellStyle name="Hipervínculo" xfId="3475" builtinId="8" hidden="1"/>
    <cellStyle name="Hipervínculo" xfId="9593" builtinId="8" hidden="1"/>
    <cellStyle name="Hipervínculo" xfId="2597" builtinId="8" hidden="1"/>
    <cellStyle name="Hipervínculo" xfId="5311" builtinId="8" hidden="1"/>
    <cellStyle name="Hipervínculo" xfId="2425" builtinId="8" hidden="1"/>
    <cellStyle name="Hipervínculo" xfId="1545" builtinId="8" hidden="1"/>
    <cellStyle name="Hipervínculo" xfId="9947" builtinId="8" hidden="1"/>
    <cellStyle name="Hipervínculo" xfId="4209" builtinId="8" hidden="1"/>
    <cellStyle name="Hipervínculo" xfId="9991" builtinId="8" hidden="1"/>
    <cellStyle name="Hipervínculo" xfId="4385" builtinId="8" hidden="1"/>
    <cellStyle name="Hipervínculo" xfId="6137" builtinId="8" hidden="1"/>
    <cellStyle name="Hipervínculo" xfId="2171" builtinId="8" hidden="1"/>
    <cellStyle name="Hipervínculo" xfId="4477" builtinId="8" hidden="1"/>
    <cellStyle name="Hipervínculo" xfId="10719" builtinId="8" hidden="1"/>
    <cellStyle name="Hipervínculo" xfId="2657" builtinId="8" hidden="1"/>
    <cellStyle name="Hipervínculo" xfId="10403" builtinId="8" hidden="1"/>
    <cellStyle name="Hipervínculo" xfId="5585" builtinId="8" hidden="1"/>
    <cellStyle name="Hipervínculo" xfId="9065" builtinId="8" hidden="1"/>
    <cellStyle name="Hipervínculo" xfId="2143" builtinId="8" hidden="1"/>
    <cellStyle name="Hipervínculo" xfId="7885" builtinId="8" hidden="1"/>
    <cellStyle name="Hipervínculo" xfId="10877" builtinId="8" hidden="1"/>
    <cellStyle name="Hipervínculo" xfId="6083" builtinId="8" hidden="1"/>
    <cellStyle name="Hipervínculo" xfId="5659" builtinId="8" hidden="1"/>
    <cellStyle name="Hipervínculo" xfId="2273" builtinId="8" hidden="1"/>
    <cellStyle name="Hipervínculo" xfId="699" builtinId="8" hidden="1"/>
    <cellStyle name="Hipervínculo" xfId="4207" builtinId="8" hidden="1"/>
    <cellStyle name="Hipervínculo" xfId="1233" builtinId="8" hidden="1"/>
    <cellStyle name="Hipervínculo" xfId="4407" builtinId="8" hidden="1"/>
    <cellStyle name="Hipervínculo" xfId="2069" builtinId="8" hidden="1"/>
    <cellStyle name="Hipervínculo" xfId="3157" builtinId="8" hidden="1"/>
    <cellStyle name="Hipervínculo" xfId="1563" builtinId="8" hidden="1"/>
    <cellStyle name="Hipervínculo" xfId="3241" builtinId="8" hidden="1"/>
    <cellStyle name="Hipervínculo" xfId="8709" builtinId="8" hidden="1"/>
    <cellStyle name="Hipervínculo" xfId="4643" builtinId="8" hidden="1"/>
    <cellStyle name="Hipervínculo" xfId="7671" builtinId="8" hidden="1"/>
    <cellStyle name="Hipervínculo" xfId="3017" builtinId="8" hidden="1"/>
    <cellStyle name="Hipervínculo" xfId="8749" builtinId="8" hidden="1"/>
    <cellStyle name="Hipervínculo" xfId="8309" builtinId="8" hidden="1"/>
    <cellStyle name="Hipervínculo" xfId="4891" builtinId="8" hidden="1"/>
    <cellStyle name="Hipervínculo" xfId="10147" builtinId="8" hidden="1"/>
    <cellStyle name="Hipervínculo" xfId="6451" builtinId="8" hidden="1"/>
    <cellStyle name="Hipervínculo" xfId="5477" builtinId="8" hidden="1"/>
    <cellStyle name="Hipervínculo" xfId="4001" builtinId="8" hidden="1"/>
    <cellStyle name="Hipervínculo" xfId="4057" builtinId="8" hidden="1"/>
    <cellStyle name="Hipervínculo" xfId="365" builtinId="8" hidden="1"/>
    <cellStyle name="Hipervínculo" xfId="541" builtinId="8" hidden="1"/>
    <cellStyle name="Hipervínculo" xfId="6537" builtinId="8" hidden="1"/>
    <cellStyle name="Hipervínculo" xfId="10553" builtinId="8" hidden="1"/>
    <cellStyle name="Hipervínculo" xfId="691" builtinId="8" hidden="1"/>
    <cellStyle name="Hipervínculo" xfId="1273" builtinId="8" hidden="1"/>
    <cellStyle name="Hipervínculo" xfId="7597" builtinId="8" hidden="1"/>
    <cellStyle name="Hipervínculo" xfId="9607" builtinId="8" hidden="1"/>
    <cellStyle name="Hipervínculo" xfId="6843" builtinId="8" hidden="1"/>
    <cellStyle name="Hipervínculo" xfId="5999" builtinId="8" hidden="1"/>
    <cellStyle name="Hipervínculo" xfId="8979" builtinId="8" hidden="1"/>
    <cellStyle name="Hipervínculo" xfId="6351" builtinId="8" hidden="1"/>
    <cellStyle name="Hipervínculo" xfId="4467" builtinId="8" hidden="1"/>
    <cellStyle name="Hipervínculo" xfId="3771" builtinId="8" hidden="1"/>
    <cellStyle name="Hipervínculo" xfId="471" builtinId="8" hidden="1"/>
    <cellStyle name="Hipervínculo" xfId="6145" builtinId="8" hidden="1"/>
    <cellStyle name="Hipervínculo" xfId="2475" builtinId="8" hidden="1"/>
    <cellStyle name="Hipervínculo" xfId="6251" builtinId="8" hidden="1"/>
    <cellStyle name="Hipervínculo" xfId="6269" builtinId="8" hidden="1"/>
    <cellStyle name="Hipervínculo" xfId="7155" builtinId="8" hidden="1"/>
    <cellStyle name="Hipervínculo" xfId="10643" builtinId="8" hidden="1"/>
    <cellStyle name="Hipervínculo" xfId="10827" builtinId="8" hidden="1"/>
    <cellStyle name="Hipervínculo" xfId="4427" builtinId="8" hidden="1"/>
    <cellStyle name="Hipervínculo" xfId="3187" builtinId="8" hidden="1"/>
    <cellStyle name="Hipervínculo" xfId="6991" builtinId="8" hidden="1"/>
    <cellStyle name="Hipervínculo" xfId="8133" builtinId="8" hidden="1"/>
    <cellStyle name="Hipervínculo" xfId="6167" builtinId="8" hidden="1"/>
    <cellStyle name="Hipervínculo" xfId="10347" builtinId="8" hidden="1"/>
    <cellStyle name="Hipervínculo" xfId="845" builtinId="8" hidden="1"/>
    <cellStyle name="Hipervínculo" xfId="8975" builtinId="8" hidden="1"/>
    <cellStyle name="Hipervínculo" xfId="6085" builtinId="8" hidden="1"/>
    <cellStyle name="Hipervínculo" xfId="8217" builtinId="8" hidden="1"/>
    <cellStyle name="Hipervínculo" xfId="3271" builtinId="8" hidden="1"/>
    <cellStyle name="Hipervínculo" xfId="4627" builtinId="8" hidden="1"/>
    <cellStyle name="Hipervínculo" xfId="8497" builtinId="8" hidden="1"/>
    <cellStyle name="Hipervínculo" xfId="3855" builtinId="8" hidden="1"/>
    <cellStyle name="Hipervínculo" xfId="9865" builtinId="8" hidden="1"/>
    <cellStyle name="Hipervínculo" xfId="9829" builtinId="8" hidden="1"/>
    <cellStyle name="Hipervínculo" xfId="8773" builtinId="8" hidden="1"/>
    <cellStyle name="Hipervínculo" xfId="2665" builtinId="8" hidden="1"/>
    <cellStyle name="Hipervínculo" xfId="1491" builtinId="8" hidden="1"/>
    <cellStyle name="Hipervínculo" xfId="3183" builtinId="8" hidden="1"/>
    <cellStyle name="Hipervínculo" xfId="7963" builtinId="8" hidden="1"/>
    <cellStyle name="Hipervínculo" xfId="1673" builtinId="8" hidden="1"/>
    <cellStyle name="Hipervínculo" xfId="7995" builtinId="8" hidden="1"/>
    <cellStyle name="Hipervínculo" xfId="10047" builtinId="8" hidden="1"/>
    <cellStyle name="Hipervínculo" xfId="3985" builtinId="8" hidden="1"/>
    <cellStyle name="Hipervínculo" xfId="4023" builtinId="8" hidden="1"/>
    <cellStyle name="Hipervínculo" xfId="8927" builtinId="8" hidden="1"/>
    <cellStyle name="Hipervínculo" xfId="10881" builtinId="8" hidden="1"/>
    <cellStyle name="Hipervínculo" xfId="4497" builtinId="8" hidden="1"/>
    <cellStyle name="Hipervínculo" xfId="10561" builtinId="8" hidden="1"/>
    <cellStyle name="Hipervínculo" xfId="4429" builtinId="8" hidden="1"/>
    <cellStyle name="Hipervínculo" xfId="5895" builtinId="8" hidden="1"/>
    <cellStyle name="Hipervínculo" xfId="11081" builtinId="8" hidden="1"/>
    <cellStyle name="Hipervínculo" xfId="10943" builtinId="8" hidden="1"/>
    <cellStyle name="Hipervínculo" xfId="6229" builtinId="8" hidden="1"/>
    <cellStyle name="Hipervínculo" xfId="7345" builtinId="8" hidden="1"/>
    <cellStyle name="Hipervínculo" xfId="6005" builtinId="8" hidden="1"/>
    <cellStyle name="Hipervínculo" xfId="5753" builtinId="8" hidden="1"/>
    <cellStyle name="Hipervínculo" xfId="7507" builtinId="8" hidden="1"/>
    <cellStyle name="Hipervínculo" xfId="5817" builtinId="8" hidden="1"/>
    <cellStyle name="Hipervínculo" xfId="6663" builtinId="8" hidden="1"/>
    <cellStyle name="Hipervínculo" xfId="7007" builtinId="8" hidden="1"/>
    <cellStyle name="Hipervínculo" xfId="3435" builtinId="8" hidden="1"/>
    <cellStyle name="Hipervínculo" xfId="7235" builtinId="8" hidden="1"/>
    <cellStyle name="Hipervínculo" xfId="8421" builtinId="8" hidden="1"/>
    <cellStyle name="Hipervínculo" xfId="2881" builtinId="8" hidden="1"/>
    <cellStyle name="Hipervínculo" xfId="3947" builtinId="8" hidden="1"/>
    <cellStyle name="Hipervínculo" xfId="6017" builtinId="8" hidden="1"/>
    <cellStyle name="Hipervínculo" xfId="9123" builtinId="8" hidden="1"/>
    <cellStyle name="Hipervínculo" xfId="3595" builtinId="8" hidden="1"/>
    <cellStyle name="Hipervínculo" xfId="10089" builtinId="8" hidden="1"/>
    <cellStyle name="Hipervínculo" xfId="9293" builtinId="8" hidden="1"/>
    <cellStyle name="Hipervínculo" xfId="6511" builtinId="8" hidden="1"/>
    <cellStyle name="Hipervínculo" xfId="6209" builtinId="8" hidden="1"/>
    <cellStyle name="Hipervínculo" xfId="5623" builtinId="8" hidden="1"/>
    <cellStyle name="Hipervínculo" xfId="9303" builtinId="8" hidden="1"/>
    <cellStyle name="Hipervínculo" xfId="2555" builtinId="8" hidden="1"/>
    <cellStyle name="Hipervínculo" xfId="4833" builtinId="8" hidden="1"/>
    <cellStyle name="Hipervínculo" xfId="8317" builtinId="8" hidden="1"/>
    <cellStyle name="Hipervínculo" xfId="7263" builtinId="8" hidden="1"/>
    <cellStyle name="Hipervínculo" xfId="899" builtinId="8" hidden="1"/>
    <cellStyle name="Hipervínculo" xfId="10825" builtinId="8" hidden="1"/>
    <cellStyle name="Hipervínculo" xfId="3025" builtinId="8" hidden="1"/>
    <cellStyle name="Hipervínculo" xfId="9433" builtinId="8" hidden="1"/>
    <cellStyle name="Hipervínculo" xfId="1265" builtinId="8" hidden="1"/>
    <cellStyle name="Hipervínculo" xfId="10191" builtinId="8" hidden="1"/>
    <cellStyle name="Hipervínculo" xfId="5683" builtinId="8" hidden="1"/>
    <cellStyle name="Hipervínculo" xfId="8571" builtinId="8" hidden="1"/>
    <cellStyle name="Hipervínculo" xfId="4529" builtinId="8" hidden="1"/>
    <cellStyle name="Hipervínculo" xfId="1495" builtinId="8" hidden="1"/>
    <cellStyle name="Hipervínculo" xfId="295" builtinId="8" hidden="1"/>
    <cellStyle name="Hipervínculo" xfId="6409" builtinId="8" hidden="1"/>
    <cellStyle name="Hipervínculo" xfId="805" builtinId="8" hidden="1"/>
    <cellStyle name="Hipervínculo" xfId="7519" builtinId="8" hidden="1"/>
    <cellStyle name="Hipervínculo" xfId="7261" builtinId="8" hidden="1"/>
    <cellStyle name="Hipervínculo" xfId="3305" builtinId="8" hidden="1"/>
    <cellStyle name="Hipervínculo" xfId="3643" builtinId="8" hidden="1"/>
    <cellStyle name="Hipervínculo" xfId="7011" builtinId="8" hidden="1"/>
    <cellStyle name="Hipervínculo" xfId="7733" builtinId="8" hidden="1"/>
    <cellStyle name="Hipervínculo" xfId="10461" builtinId="8" hidden="1"/>
    <cellStyle name="Hipervínculo" xfId="9537" builtinId="8" hidden="1"/>
    <cellStyle name="Hipervínculo" xfId="6941" builtinId="8" hidden="1"/>
    <cellStyle name="Hipervínculo" xfId="655" builtinId="8" hidden="1"/>
    <cellStyle name="Hipervínculo" xfId="10495" builtinId="8" hidden="1"/>
    <cellStyle name="Hipervínculo" xfId="7555" builtinId="8" hidden="1"/>
    <cellStyle name="Hipervínculo" xfId="579" builtinId="8" hidden="1"/>
    <cellStyle name="Hipervínculo" xfId="2347" builtinId="8" hidden="1"/>
    <cellStyle name="Hipervínculo" xfId="10283" builtinId="8" hidden="1"/>
    <cellStyle name="Hipervínculo" xfId="891" builtinId="8" hidden="1"/>
    <cellStyle name="Hipervínculo" xfId="6657" builtinId="8" hidden="1"/>
    <cellStyle name="Hipervínculo" xfId="10159" builtinId="8" hidden="1"/>
    <cellStyle name="Hipervínculo" xfId="2003" builtinId="8" hidden="1"/>
    <cellStyle name="Hipervínculo" xfId="5231" builtinId="8" hidden="1"/>
    <cellStyle name="Hipervínculo" xfId="3917" builtinId="8" hidden="1"/>
    <cellStyle name="Hipervínculo" xfId="4205" builtinId="8" hidden="1"/>
    <cellStyle name="Hipervínculo" xfId="10025" builtinId="8" hidden="1"/>
    <cellStyle name="Hipervínculo" xfId="1535" builtinId="8" hidden="1"/>
    <cellStyle name="Hipervínculo" xfId="2007" builtinId="8" hidden="1"/>
    <cellStyle name="Hipervínculo" xfId="2413" builtinId="8" hidden="1"/>
    <cellStyle name="Hipervínculo" xfId="3865" builtinId="8" hidden="1"/>
    <cellStyle name="Hipervínculo" xfId="7423" builtinId="8" hidden="1"/>
    <cellStyle name="Hipervínculo" xfId="5955" builtinId="8" hidden="1"/>
    <cellStyle name="Hipervínculo" xfId="3319" builtinId="8" hidden="1"/>
    <cellStyle name="Hipervínculo" xfId="8953" builtinId="8" hidden="1"/>
    <cellStyle name="Hipervínculo" xfId="8383" builtinId="8" hidden="1"/>
    <cellStyle name="Hipervínculo" xfId="8151" builtinId="8" hidden="1"/>
    <cellStyle name="Hipervínculo" xfId="7787" builtinId="8" hidden="1"/>
    <cellStyle name="Hipervínculo" xfId="1255" builtinId="8" hidden="1"/>
    <cellStyle name="Hipervínculo" xfId="10245" builtinId="8" hidden="1"/>
    <cellStyle name="Hipervínculo" xfId="6681" builtinId="8" hidden="1"/>
    <cellStyle name="Hipervínculo" xfId="3757" builtinId="8" hidden="1"/>
    <cellStyle name="Hipervínculo" xfId="9385" builtinId="8" hidden="1"/>
    <cellStyle name="Hipervínculo" xfId="9411" builtinId="8" hidden="1"/>
    <cellStyle name="Hipervínculo" xfId="7293" builtinId="8" hidden="1"/>
    <cellStyle name="Hipervínculo" xfId="3517" builtinId="8" hidden="1"/>
    <cellStyle name="Hipervínculo" xfId="2231" builtinId="8" hidden="1"/>
    <cellStyle name="Hipervínculo" xfId="5239" builtinId="8" hidden="1"/>
    <cellStyle name="Hipervínculo" xfId="1865" builtinId="8" hidden="1"/>
    <cellStyle name="Hipervínculo" xfId="4685" builtinId="8" hidden="1"/>
    <cellStyle name="Hipervínculo" xfId="9929" builtinId="8" hidden="1"/>
    <cellStyle name="Hipervínculo" xfId="2719" builtinId="8" hidden="1"/>
    <cellStyle name="Hipervínculo" xfId="2761" builtinId="8" hidden="1"/>
    <cellStyle name="Hipervínculo" xfId="9017" builtinId="8" hidden="1"/>
    <cellStyle name="Hipervínculo" xfId="9381" builtinId="8" hidden="1"/>
    <cellStyle name="Hipervínculo" xfId="7001" builtinId="8" hidden="1"/>
    <cellStyle name="Hipervínculo" xfId="4461" builtinId="8" hidden="1"/>
    <cellStyle name="Hipervínculo" xfId="8499" builtinId="8" hidden="1"/>
    <cellStyle name="Hipervínculo" xfId="3929" builtinId="8" hidden="1"/>
    <cellStyle name="Hipervínculo" xfId="1137" builtinId="8" hidden="1"/>
    <cellStyle name="Hipervínculo" xfId="9871" builtinId="8" hidden="1"/>
    <cellStyle name="Hipervínculo" xfId="4887" builtinId="8" hidden="1"/>
    <cellStyle name="Hipervínculo" xfId="243" builtinId="8" hidden="1"/>
    <cellStyle name="Hipervínculo" xfId="1245" builtinId="8" hidden="1"/>
    <cellStyle name="Hipervínculo" xfId="7795" builtinId="8" hidden="1"/>
    <cellStyle name="Hipervínculo" xfId="6281" builtinId="8" hidden="1"/>
    <cellStyle name="Hipervínculo" xfId="9919" builtinId="8" hidden="1"/>
    <cellStyle name="Hipervínculo" xfId="303" builtinId="8" hidden="1"/>
    <cellStyle name="Hipervínculo" xfId="1209" builtinId="8" hidden="1"/>
    <cellStyle name="Hipervínculo" xfId="2575" builtinId="8" hidden="1"/>
    <cellStyle name="Hipervínculo" xfId="1481" builtinId="8" hidden="1"/>
    <cellStyle name="Hipervínculo" xfId="749" builtinId="8" hidden="1"/>
    <cellStyle name="Hipervínculo" xfId="7617" builtinId="8" hidden="1"/>
    <cellStyle name="Hipervínculo" xfId="8239" builtinId="8" hidden="1"/>
    <cellStyle name="Hipervínculo" xfId="2295" builtinId="8" hidden="1"/>
    <cellStyle name="Hipervínculo" xfId="2859" builtinId="8" hidden="1"/>
    <cellStyle name="Hipervínculo" xfId="7711" builtinId="8" hidden="1"/>
    <cellStyle name="Hipervínculo" xfId="4535" builtinId="8" hidden="1"/>
    <cellStyle name="Hipervínculo" xfId="5097" builtinId="8" hidden="1"/>
    <cellStyle name="Hipervínculo" xfId="7857" builtinId="8" hidden="1"/>
    <cellStyle name="Hipervínculo" xfId="3965" builtinId="8" hidden="1"/>
    <cellStyle name="Hipervínculo" xfId="1705" builtinId="8" hidden="1"/>
    <cellStyle name="Hipervínculo" xfId="1635" builtinId="8" hidden="1"/>
    <cellStyle name="Hipervínculo" xfId="393" builtinId="8" hidden="1"/>
    <cellStyle name="Hipervínculo" xfId="10907" builtinId="8" hidden="1"/>
    <cellStyle name="Hipervínculo" xfId="4015" builtinId="8" hidden="1"/>
    <cellStyle name="Hipervínculo" xfId="6271" builtinId="8" hidden="1"/>
    <cellStyle name="Hipervínculo" xfId="3263" builtinId="8" hidden="1"/>
    <cellStyle name="Hipervínculo" xfId="9015" builtinId="8" hidden="1"/>
    <cellStyle name="Hipervínculo" xfId="5943" builtinId="8" hidden="1"/>
    <cellStyle name="Hipervínculo" xfId="1057" builtinId="8" hidden="1"/>
    <cellStyle name="Hipervínculo" xfId="6891" builtinId="8" hidden="1"/>
    <cellStyle name="Hipervínculo" xfId="10687" builtinId="8" hidden="1"/>
    <cellStyle name="Hipervínculo" xfId="8095" builtinId="8" hidden="1"/>
    <cellStyle name="Hipervínculo" xfId="3725" builtinId="8" hidden="1"/>
    <cellStyle name="Hipervínculo" xfId="9271" builtinId="8" hidden="1"/>
    <cellStyle name="Hipervínculo" xfId="111" builtinId="8" hidden="1"/>
    <cellStyle name="Hipervínculo" xfId="4511" builtinId="8" hidden="1"/>
    <cellStyle name="Hipervínculo" xfId="6031" builtinId="8" hidden="1"/>
    <cellStyle name="Hipervínculo" xfId="10407" builtinId="8" hidden="1"/>
    <cellStyle name="Hipervínculo" xfId="5157" builtinId="8" hidden="1"/>
    <cellStyle name="Hipervínculo" xfId="4471" builtinId="8" hidden="1"/>
    <cellStyle name="Hipervínculo" xfId="1697" builtinId="8" hidden="1"/>
    <cellStyle name="Hipervínculo" xfId="1627" builtinId="8" hidden="1"/>
    <cellStyle name="Hipervínculo" xfId="6147" builtinId="8" hidden="1"/>
    <cellStyle name="Hipervínculo" xfId="4525" builtinId="8" hidden="1"/>
    <cellStyle name="Hipervínculo" xfId="5615" builtinId="8" hidden="1"/>
    <cellStyle name="Hipervínculo" xfId="9603" builtinId="8" hidden="1"/>
    <cellStyle name="Hipervínculo" xfId="6475" builtinId="8" hidden="1"/>
    <cellStyle name="Hipervínculo" xfId="3523" builtinId="8" hidden="1"/>
    <cellStyle name="Hipervínculo" xfId="7911" builtinId="8" hidden="1"/>
    <cellStyle name="Hipervínculo" xfId="2385" builtinId="8" hidden="1"/>
    <cellStyle name="Hipervínculo" xfId="3649" builtinId="8" hidden="1"/>
    <cellStyle name="Hipervínculo" xfId="9715" builtinId="8" hidden="1"/>
    <cellStyle name="Hipervínculo" xfId="10323" builtinId="8" hidden="1"/>
    <cellStyle name="Hipervínculo" xfId="7799" builtinId="8" hidden="1"/>
    <cellStyle name="Hipervínculo" xfId="3819" builtinId="8" hidden="1"/>
    <cellStyle name="Hipervínculo" xfId="1303" builtinId="8" hidden="1"/>
    <cellStyle name="Hipervínculo" xfId="8227" builtinId="8" hidden="1"/>
    <cellStyle name="Hipervínculo" xfId="7003" builtinId="8" hidden="1"/>
    <cellStyle name="Hipervínculo" xfId="1187" builtinId="8" hidden="1"/>
    <cellStyle name="Hipervínculo" xfId="9755" builtinId="8" hidden="1"/>
    <cellStyle name="Hipervínculo" xfId="4113" builtinId="8" hidden="1"/>
    <cellStyle name="Hipervínculo" xfId="341" builtinId="8" hidden="1"/>
    <cellStyle name="Hipervínculo" xfId="6713" builtinId="8" hidden="1"/>
    <cellStyle name="Hipervínculo" xfId="8623" builtinId="8" hidden="1"/>
    <cellStyle name="Hipervínculo" xfId="7835" builtinId="8" hidden="1"/>
    <cellStyle name="Hipervínculo" xfId="9939" builtinId="8" hidden="1"/>
    <cellStyle name="Hipervínculo" xfId="7479" builtinId="8" hidden="1"/>
    <cellStyle name="Hipervínculo" xfId="7583" builtinId="8" hidden="1"/>
    <cellStyle name="Hipervínculo" xfId="3619" builtinId="8" hidden="1"/>
    <cellStyle name="Hipervínculo" xfId="5919" builtinId="8" hidden="1"/>
    <cellStyle name="Hipervínculo" xfId="5543" builtinId="8" hidden="1"/>
    <cellStyle name="Hipervínculo" xfId="6731" builtinId="8" hidden="1"/>
    <cellStyle name="Hipervínculo" xfId="4499" builtinId="8" hidden="1"/>
    <cellStyle name="Hipervínculo" xfId="3763" builtinId="8" hidden="1"/>
    <cellStyle name="Hipervínculo" xfId="9573" builtinId="8" hidden="1"/>
    <cellStyle name="Hipervínculo" xfId="7317" builtinId="8" hidden="1"/>
    <cellStyle name="Hipervínculo" xfId="3029" builtinId="8" hidden="1"/>
    <cellStyle name="Hipervínculo" xfId="2991" builtinId="8" hidden="1"/>
    <cellStyle name="Hipervínculo" xfId="5463" builtinId="8" hidden="1"/>
    <cellStyle name="Hipervínculo" xfId="10903" builtinId="8" hidden="1"/>
    <cellStyle name="Hipervínculo" xfId="3719" builtinId="8" hidden="1"/>
    <cellStyle name="Hipervínculo" xfId="6193" builtinId="8" hidden="1"/>
    <cellStyle name="Hipervínculo" xfId="345" builtinId="8" hidden="1"/>
    <cellStyle name="Hipervínculo" xfId="25" builtinId="8" hidden="1"/>
    <cellStyle name="Hipervínculo" xfId="2043" builtinId="8" hidden="1"/>
    <cellStyle name="Hipervínculo" xfId="2163" builtinId="8" hidden="1"/>
    <cellStyle name="Hipervínculo" xfId="2315" builtinId="8" hidden="1"/>
    <cellStyle name="Hipervínculo" xfId="8501" builtinId="8" hidden="1"/>
    <cellStyle name="Hipervínculo" xfId="10847" builtinId="8" hidden="1"/>
    <cellStyle name="Hipervínculo" xfId="6541" builtinId="8" hidden="1"/>
    <cellStyle name="Hipervínculo" xfId="9853" builtinId="8" hidden="1"/>
    <cellStyle name="Hipervínculo" xfId="10887" builtinId="8" hidden="1"/>
    <cellStyle name="Hipervínculo" xfId="3787" builtinId="8" hidden="1"/>
    <cellStyle name="Hipervínculo" xfId="1877" builtinId="8" hidden="1"/>
    <cellStyle name="Hipervínculo" xfId="9453" builtinId="8" hidden="1"/>
    <cellStyle name="Hipervínculo" xfId="2281" builtinId="8" hidden="1"/>
    <cellStyle name="Hipervínculo" xfId="10653" builtinId="8" hidden="1"/>
    <cellStyle name="Hipervínculo" xfId="3237" builtinId="8" hidden="1"/>
    <cellStyle name="Hipervínculo" xfId="5411" builtinId="8" hidden="1"/>
    <cellStyle name="Hipervínculo" xfId="2741" builtinId="8" hidden="1"/>
    <cellStyle name="Hipervínculo" xfId="9027" builtinId="8" hidden="1"/>
    <cellStyle name="Hipervínculo" xfId="8409" builtinId="8" hidden="1"/>
    <cellStyle name="Hipervínculo" xfId="2137" builtinId="8" hidden="1"/>
    <cellStyle name="Hipervínculo" xfId="10293" builtinId="8" hidden="1"/>
    <cellStyle name="Hipervínculo" xfId="4753" builtinId="8" hidden="1"/>
    <cellStyle name="Hipervínculo" xfId="1695" builtinId="8" hidden="1"/>
    <cellStyle name="Hipervínculo" xfId="6205" builtinId="8" hidden="1"/>
    <cellStyle name="Hipervínculo" xfId="9323" builtinId="8" hidden="1"/>
    <cellStyle name="Hipervínculo" xfId="437" builtinId="8" hidden="1"/>
    <cellStyle name="Hipervínculo" xfId="3753" builtinId="8" hidden="1"/>
    <cellStyle name="Hipervínculo" xfId="8187" builtinId="8" hidden="1"/>
    <cellStyle name="Hipervínculo" xfId="3125" builtinId="8" hidden="1"/>
    <cellStyle name="Hipervínculo" xfId="10173" builtinId="8" hidden="1"/>
    <cellStyle name="Hipervínculo" xfId="5439" builtinId="8" hidden="1"/>
    <cellStyle name="Hipervínculo" xfId="6219" builtinId="8" hidden="1"/>
    <cellStyle name="Hipervínculo" xfId="2177" builtinId="8" hidden="1"/>
    <cellStyle name="Hipervínculo" xfId="3021" builtinId="8" hidden="1"/>
    <cellStyle name="Hipervínculo" xfId="1597" builtinId="8" hidden="1"/>
    <cellStyle name="Hipervínculo" xfId="8311" builtinId="8" hidden="1"/>
    <cellStyle name="Hipervínculo" xfId="8733" builtinId="8" hidden="1"/>
    <cellStyle name="Hipervínculo" xfId="10693" builtinId="8" hidden="1"/>
    <cellStyle name="Hipervínculo" xfId="6277" builtinId="8" hidden="1"/>
    <cellStyle name="Hipervínculo" xfId="8389" builtinId="8" hidden="1"/>
    <cellStyle name="Hipervínculo" xfId="3321" builtinId="8" hidden="1"/>
    <cellStyle name="Hipervínculo" xfId="5461" builtinId="8" hidden="1"/>
    <cellStyle name="Hipervínculo" xfId="447" builtinId="8" hidden="1"/>
    <cellStyle name="Hipervínculo" xfId="1225" builtinId="8" hidden="1"/>
    <cellStyle name="Hipervínculo" xfId="5327" builtinId="8" hidden="1"/>
    <cellStyle name="Hipervínculo" xfId="10067" builtinId="8" hidden="1"/>
    <cellStyle name="Hipervínculo" xfId="3327" builtinId="8" hidden="1"/>
    <cellStyle name="Hipervínculo" xfId="4669" builtinId="8" hidden="1"/>
    <cellStyle name="Hipervínculo" xfId="2589" builtinId="8" hidden="1"/>
    <cellStyle name="Hipervínculo" xfId="609" builtinId="8" hidden="1"/>
    <cellStyle name="Hipervínculo" xfId="9975" builtinId="8" hidden="1"/>
    <cellStyle name="Hipervínculo" xfId="1377" builtinId="8" hidden="1"/>
    <cellStyle name="Hipervínculo" xfId="1035" builtinId="8" hidden="1"/>
    <cellStyle name="Hipervínculo" xfId="3693" builtinId="8" hidden="1"/>
    <cellStyle name="Hipervínculo" xfId="10035" builtinId="8" hidden="1"/>
    <cellStyle name="Hipervínculo" xfId="2865" builtinId="8" hidden="1"/>
    <cellStyle name="Hipervínculo" xfId="7883" builtinId="8" hidden="1"/>
    <cellStyle name="Hipervínculo" xfId="8923" builtinId="8" hidden="1"/>
    <cellStyle name="Hipervínculo" xfId="10289" builtinId="8" hidden="1"/>
    <cellStyle name="Hipervínculo" xfId="7801" builtinId="8" hidden="1"/>
    <cellStyle name="Hipervínculo" xfId="4159" builtinId="8" hidden="1"/>
    <cellStyle name="Hipervínculo" xfId="8027" builtinId="8" hidden="1"/>
    <cellStyle name="Hipervínculo" xfId="10555" builtinId="8" hidden="1"/>
    <cellStyle name="Hipervínculo" xfId="9499" builtinId="8" hidden="1"/>
    <cellStyle name="Hipervínculo" xfId="2199" builtinId="8" hidden="1"/>
    <cellStyle name="Hipervínculo" xfId="2379" builtinId="8" hidden="1"/>
    <cellStyle name="Hipervínculo" xfId="8691" builtinId="8" hidden="1"/>
    <cellStyle name="Hipervínculo" xfId="3955" builtinId="8" hidden="1"/>
    <cellStyle name="Hipervínculo" xfId="10431" builtinId="8" hidden="1"/>
    <cellStyle name="Hipervínculo" xfId="8705" builtinId="8" hidden="1"/>
    <cellStyle name="Hipervínculo" xfId="4717" builtinId="8" hidden="1"/>
    <cellStyle name="Hipervínculo" xfId="1347" builtinId="8" hidden="1"/>
    <cellStyle name="Hipervínculo" xfId="5129" builtinId="8" hidden="1"/>
    <cellStyle name="Hipervínculo" xfId="6355" builtinId="8" hidden="1"/>
    <cellStyle name="Hipervínculo" xfId="6039" builtinId="8" hidden="1"/>
    <cellStyle name="Hipervínculo" xfId="6007" builtinId="8" hidden="1"/>
    <cellStyle name="Hipervínculo" xfId="4927" builtinId="8" hidden="1"/>
    <cellStyle name="Hipervínculo" xfId="9673" builtinId="8" hidden="1"/>
    <cellStyle name="Hipervínculo" xfId="4727" builtinId="8" hidden="1"/>
    <cellStyle name="Hipervínculo" xfId="3507" builtinId="8" hidden="1"/>
    <cellStyle name="Hipervínculo" xfId="6021" builtinId="8" hidden="1"/>
    <cellStyle name="Hipervínculo" xfId="5395" builtinId="8" hidden="1"/>
    <cellStyle name="Hipervínculo" xfId="4767" builtinId="8" hidden="1"/>
    <cellStyle name="Hipervínculo" xfId="10233" builtinId="8" hidden="1"/>
    <cellStyle name="Hipervínculo" xfId="3009" builtinId="8" hidden="1"/>
    <cellStyle name="Hipervínculo" xfId="9103" builtinId="8" hidden="1"/>
    <cellStyle name="Hipervínculo" xfId="1855" builtinId="8" hidden="1"/>
    <cellStyle name="Hipervínculo" xfId="319" builtinId="8" hidden="1"/>
    <cellStyle name="Hipervínculo" xfId="6677" builtinId="8" hidden="1"/>
    <cellStyle name="Hipervínculo" xfId="9129" builtinId="8" hidden="1"/>
    <cellStyle name="Hipervínculo" xfId="9485" builtinId="8" hidden="1"/>
    <cellStyle name="Hipervínculo" xfId="1837" builtinId="8" hidden="1"/>
    <cellStyle name="Hipervínculo" xfId="1977" builtinId="8" hidden="1"/>
    <cellStyle name="Hipervínculo" xfId="4797" builtinId="8" hidden="1"/>
    <cellStyle name="Hipervínculo" xfId="4895" builtinId="8" hidden="1"/>
    <cellStyle name="Hipervínculo" xfId="2795" builtinId="8" hidden="1"/>
    <cellStyle name="Hipervínculo" xfId="6621" builtinId="8" hidden="1"/>
    <cellStyle name="Hipervínculo" xfId="10791" builtinId="8" hidden="1"/>
    <cellStyle name="Hipervínculo" xfId="731" builtinId="8" hidden="1"/>
    <cellStyle name="Hipervínculo" xfId="535" builtinId="8" hidden="1"/>
    <cellStyle name="Hipervínculo" xfId="459" builtinId="8" hidden="1"/>
    <cellStyle name="Hipervínculo" xfId="9215" builtinId="8" hidden="1"/>
    <cellStyle name="Hipervínculo" xfId="8333" builtinId="8" hidden="1"/>
    <cellStyle name="Hipervínculo" xfId="6477" builtinId="8" hidden="1"/>
    <cellStyle name="Hipervínculo" xfId="4271" builtinId="8" hidden="1"/>
    <cellStyle name="Hipervínculo" xfId="10637" builtinId="8" hidden="1"/>
    <cellStyle name="Hipervínculo" xfId="6203" builtinId="8" hidden="1"/>
    <cellStyle name="Hipervínculo" xfId="2983" builtinId="8" hidden="1"/>
    <cellStyle name="Hipervínculo" xfId="9937" builtinId="8" hidden="1"/>
    <cellStyle name="Hipervínculo" xfId="7831" builtinId="8" hidden="1"/>
    <cellStyle name="Hipervínculo" xfId="9491" builtinId="8" hidden="1"/>
    <cellStyle name="Hipervínculo" xfId="6739" builtinId="8" hidden="1"/>
    <cellStyle name="Hipervínculo" xfId="3683" builtinId="8" hidden="1"/>
    <cellStyle name="Hipervínculo" xfId="1771" builtinId="8" hidden="1"/>
    <cellStyle name="Hipervínculo" xfId="225" builtinId="8" hidden="1"/>
    <cellStyle name="Hipervínculo" xfId="31" builtinId="8" hidden="1"/>
    <cellStyle name="Hipervínculo" xfId="4197" builtinId="8" hidden="1"/>
    <cellStyle name="Hipervínculo" xfId="5351" builtinId="8" hidden="1"/>
    <cellStyle name="Hipervínculo" xfId="435" builtinId="8" hidden="1"/>
    <cellStyle name="Hipervínculo" xfId="7991" builtinId="8" hidden="1"/>
    <cellStyle name="Hipervínculo" xfId="149" builtinId="8" hidden="1"/>
    <cellStyle name="Hipervínculo" xfId="327" builtinId="8" hidden="1"/>
    <cellStyle name="Hipervínculo" xfId="2089" builtinId="8" hidden="1"/>
    <cellStyle name="Hipervínculo" xfId="5503" builtinId="8" hidden="1"/>
    <cellStyle name="Hipervínculo" xfId="6733" builtinId="8" hidden="1"/>
    <cellStyle name="Hipervínculo" xfId="3293" builtinId="8" hidden="1"/>
    <cellStyle name="Hipervínculo" xfId="6893" builtinId="8" hidden="1"/>
    <cellStyle name="Hipervínculo" xfId="627" builtinId="8" hidden="1"/>
    <cellStyle name="Hipervínculo" xfId="9397" builtinId="8" hidden="1"/>
    <cellStyle name="Hipervínculo" xfId="5391" builtinId="8" hidden="1"/>
    <cellStyle name="Hipervínculo" xfId="9811" builtinId="8" hidden="1"/>
    <cellStyle name="Hipervínculo" xfId="3967" builtinId="8" hidden="1"/>
    <cellStyle name="Hipervínculo" xfId="3805" builtinId="8" hidden="1"/>
    <cellStyle name="Hipervínculo" xfId="3853" builtinId="8" hidden="1"/>
    <cellStyle name="Hipervínculo" xfId="11035" builtinId="8" hidden="1"/>
    <cellStyle name="Hipervínculo" xfId="7571" builtinId="8" hidden="1"/>
    <cellStyle name="Hipervínculo" xfId="2187" builtinId="8" hidden="1"/>
    <cellStyle name="Hipervínculo" xfId="3521" builtinId="8" hidden="1"/>
    <cellStyle name="Hipervínculo" xfId="3303" builtinId="8" hidden="1"/>
    <cellStyle name="Hipervínculo" xfId="3423" builtinId="8" hidden="1"/>
    <cellStyle name="Hipervínculo" xfId="3829" builtinId="8" hidden="1"/>
    <cellStyle name="Hipervínculo" xfId="4563" builtinId="8" hidden="1"/>
    <cellStyle name="Hipervínculo" xfId="6865" builtinId="8" hidden="1"/>
    <cellStyle name="Hipervínculo" xfId="6391" builtinId="8" hidden="1"/>
    <cellStyle name="Hipervínculo" xfId="3249" builtinId="8" hidden="1"/>
    <cellStyle name="Hipervínculo" xfId="8139" builtinId="8" hidden="1"/>
    <cellStyle name="Hipervínculo" xfId="9635" builtinId="8" hidden="1"/>
    <cellStyle name="Hipervínculo" xfId="10309" builtinId="8" hidden="1"/>
    <cellStyle name="Hipervínculo" xfId="7071" builtinId="8" hidden="1"/>
    <cellStyle name="Hipervínculo" xfId="1525" builtinId="8" hidden="1"/>
    <cellStyle name="Hipervínculo" xfId="8121" builtinId="8" hidden="1"/>
    <cellStyle name="Hipervínculo" xfId="3455" builtinId="8" hidden="1"/>
    <cellStyle name="Hipervínculo" xfId="4177" builtinId="8" hidden="1"/>
    <cellStyle name="Hipervínculo" xfId="8601" builtinId="8" hidden="1"/>
    <cellStyle name="Hipervínculo" xfId="8487" builtinId="8" hidden="1"/>
    <cellStyle name="Hipervínculo" xfId="9231" builtinId="8" hidden="1"/>
    <cellStyle name="Hipervínculo" xfId="505" builtinId="8" hidden="1"/>
    <cellStyle name="Hipervínculo" xfId="6819" builtinId="8" hidden="1"/>
    <cellStyle name="Hipervínculo" xfId="1583" builtinId="8" hidden="1"/>
    <cellStyle name="Hipervínculo" xfId="2907" builtinId="8" hidden="1"/>
    <cellStyle name="Hipervínculo" xfId="795" builtinId="8" hidden="1"/>
    <cellStyle name="Hipervínculo" xfId="3215" builtinId="8" hidden="1"/>
    <cellStyle name="Hipervínculo" xfId="2543" builtinId="8" hidden="1"/>
    <cellStyle name="Hipervínculo" xfId="3801" builtinId="8" hidden="1"/>
    <cellStyle name="Hipervínculo" xfId="5265" builtinId="8" hidden="1"/>
    <cellStyle name="Hipervínculo" xfId="9461" builtinId="8" hidden="1"/>
    <cellStyle name="Hipervínculo" xfId="5495" builtinId="8" hidden="1"/>
    <cellStyle name="Hipervínculo" xfId="1357" builtinId="8" hidden="1"/>
    <cellStyle name="Hipervínculo" xfId="4287" builtinId="8" hidden="1"/>
    <cellStyle name="Hipervínculo" xfId="4619" builtinId="8" hidden="1"/>
    <cellStyle name="Hipervínculo" xfId="9467" builtinId="8" hidden="1"/>
    <cellStyle name="Hipervínculo" xfId="10045" builtinId="8" hidden="1"/>
    <cellStyle name="Hipervínculo" xfId="2765" builtinId="8" hidden="1"/>
    <cellStyle name="Hipervínculo" xfId="8655" builtinId="8" hidden="1"/>
    <cellStyle name="Hipervínculo" xfId="7951" builtinId="8" hidden="1"/>
    <cellStyle name="Hipervínculo" xfId="10533" builtinId="8" hidden="1"/>
    <cellStyle name="Hipervínculo" xfId="1519" builtinId="8" hidden="1"/>
    <cellStyle name="Hipervínculo" xfId="6389" builtinId="8" hidden="1"/>
    <cellStyle name="Hipervínculo" xfId="6329" builtinId="8" hidden="1"/>
    <cellStyle name="Hipervínculo" xfId="2791" builtinId="8" hidden="1"/>
    <cellStyle name="Hipervínculo" xfId="8377" builtinId="8" hidden="1"/>
    <cellStyle name="Hipervínculo" xfId="6757" builtinId="8" hidden="1"/>
    <cellStyle name="Hipervínculo" xfId="6503" builtinId="8" hidden="1"/>
    <cellStyle name="Hipervínculo" xfId="9685" builtinId="8" hidden="1"/>
    <cellStyle name="Hipervínculo" xfId="8125" builtinId="8" hidden="1"/>
    <cellStyle name="Hipervínculo" xfId="8699" builtinId="8" hidden="1"/>
    <cellStyle name="Hipervínculo" xfId="9115" builtinId="8" hidden="1"/>
    <cellStyle name="Hipervínculo" xfId="5887" builtinId="8" hidden="1"/>
    <cellStyle name="Hipervínculo" xfId="9205" builtinId="8" hidden="1"/>
    <cellStyle name="Hipervínculo" xfId="905" builtinId="8" hidden="1"/>
    <cellStyle name="Hipervínculo" xfId="9093" builtinId="8" hidden="1"/>
    <cellStyle name="Hipervínculo" xfId="8963" builtinId="8" hidden="1"/>
    <cellStyle name="Hipervínculo" xfId="4165" builtinId="8" hidden="1"/>
    <cellStyle name="Hipervínculo" xfId="7751" builtinId="8" hidden="1"/>
    <cellStyle name="Hipervínculo" xfId="7815" builtinId="8" hidden="1"/>
    <cellStyle name="Hipervínculo" xfId="5267" builtinId="8" hidden="1"/>
    <cellStyle name="Hipervínculo" xfId="4503" builtinId="8" hidden="1"/>
    <cellStyle name="Hipervínculo" xfId="7265" builtinId="8" hidden="1"/>
    <cellStyle name="Hipervínculo" xfId="4243" builtinId="8" hidden="1"/>
    <cellStyle name="Hipervínculo" xfId="9357" builtinId="8" hidden="1"/>
    <cellStyle name="Hipervínculo" xfId="777" builtinId="8" hidden="1"/>
    <cellStyle name="Hipervínculo" xfId="7547" builtinId="8" hidden="1"/>
    <cellStyle name="Hipervínculo" xfId="9667" builtinId="8" hidden="1"/>
    <cellStyle name="Hipervínculo" xfId="5515" builtinId="8" hidden="1"/>
    <cellStyle name="Hipervínculo" xfId="4369" builtinId="8" hidden="1"/>
    <cellStyle name="Hipervínculo" xfId="1631" builtinId="8" hidden="1"/>
    <cellStyle name="Hipervínculo" xfId="3151" builtinId="8" hidden="1"/>
    <cellStyle name="Hipervínculo" xfId="1515" builtinId="8" hidden="1"/>
    <cellStyle name="Hipervínculo" xfId="4633" builtinId="8" hidden="1"/>
    <cellStyle name="Hipervínculo" xfId="849" builtinId="8" hidden="1"/>
    <cellStyle name="Hipervínculo" xfId="73" builtinId="8" hidden="1"/>
    <cellStyle name="Hipervínculo" xfId="5983" builtinId="8" hidden="1"/>
    <cellStyle name="Hipervínculo" xfId="4987" builtinId="8" hidden="1"/>
    <cellStyle name="Hipervínculo" xfId="5727" builtinId="8" hidden="1"/>
    <cellStyle name="Hipervínculo" xfId="715" builtinId="8" hidden="1"/>
    <cellStyle name="Hipervínculo" xfId="7379" builtinId="8" hidden="1"/>
    <cellStyle name="Hipervínculo" xfId="11049" builtinId="8" hidden="1"/>
    <cellStyle name="Hipervínculo" xfId="9791" builtinId="8" hidden="1"/>
    <cellStyle name="Hipervínculo" xfId="469" builtinId="8" hidden="1"/>
    <cellStyle name="Hipervínculo" xfId="10577" builtinId="8" hidden="1"/>
    <cellStyle name="Hipervínculo" xfId="8395" builtinId="8" hidden="1"/>
    <cellStyle name="Hipervínculo" xfId="7747" builtinId="8" hidden="1"/>
    <cellStyle name="Hipervínculo" xfId="1413" builtinId="8" hidden="1"/>
    <cellStyle name="Hipervínculo" xfId="6317" builtinId="8" hidden="1"/>
    <cellStyle name="Hipervínculo" xfId="1725" builtinId="8" hidden="1"/>
    <cellStyle name="Hipervínculo" xfId="4875" builtinId="8" hidden="1"/>
    <cellStyle name="Hipervínculo" xfId="3391" builtinId="8" hidden="1"/>
    <cellStyle name="Hipervínculo" xfId="249" builtinId="8" hidden="1"/>
    <cellStyle name="Hipervínculo" xfId="1307" builtinId="8" hidden="1"/>
    <cellStyle name="Hipervínculo" xfId="1381" builtinId="8" hidden="1"/>
    <cellStyle name="Hipervínculo" xfId="2383" builtinId="8" hidden="1"/>
    <cellStyle name="Hipervínculo" xfId="1947" builtinId="8" hidden="1"/>
    <cellStyle name="Hipervínculo" xfId="7023" builtinId="8" hidden="1"/>
    <cellStyle name="Hipervínculo" xfId="8853" builtinId="8" hidden="1"/>
    <cellStyle name="Hipervínculo" xfId="5393" builtinId="8" hidden="1"/>
    <cellStyle name="Hipervínculo" xfId="9737" builtinId="8" hidden="1"/>
    <cellStyle name="Hipervínculo" xfId="11039" builtinId="8" hidden="1"/>
    <cellStyle name="Hipervínculo" xfId="8811" builtinId="8" hidden="1"/>
    <cellStyle name="Hipervínculo" xfId="9029" builtinId="8" hidden="1"/>
    <cellStyle name="Hipervínculo" xfId="2005" builtinId="8" hidden="1"/>
    <cellStyle name="Hipervínculo" xfId="5109" builtinId="8" hidden="1"/>
    <cellStyle name="Hipervínculo" xfId="4613" builtinId="8" hidden="1"/>
    <cellStyle name="Hipervínculo" xfId="8047" builtinId="8" hidden="1"/>
    <cellStyle name="Hipervínculo" xfId="7713" builtinId="8" hidden="1"/>
    <cellStyle name="Hipervínculo" xfId="5879" builtinId="8" hidden="1"/>
    <cellStyle name="Hipervínculo" xfId="8689" builtinId="8" hidden="1"/>
    <cellStyle name="Hipervínculo" xfId="6187" builtinId="8" hidden="1"/>
    <cellStyle name="Hipervínculo" xfId="1283" builtinId="8" hidden="1"/>
    <cellStyle name="Hipervínculo" xfId="3989" builtinId="8" hidden="1"/>
    <cellStyle name="Hipervínculo" xfId="9893" builtinId="8" hidden="1"/>
    <cellStyle name="Hipervínculo" xfId="2581" builtinId="8" hidden="1"/>
    <cellStyle name="Hipervínculo" xfId="2863" builtinId="8" hidden="1"/>
    <cellStyle name="Hipervínculo" xfId="7647" builtinId="8" hidden="1"/>
    <cellStyle name="Hipervínculo" xfId="8653" builtinId="8" hidden="1"/>
    <cellStyle name="Hipervínculo" xfId="7303" builtinId="8" hidden="1"/>
    <cellStyle name="Hipervínculo" xfId="7247" builtinId="8" hidden="1"/>
    <cellStyle name="Hipervínculo" xfId="7779" builtinId="8" hidden="1"/>
    <cellStyle name="Hipervínculo" xfId="10711" builtinId="8" hidden="1"/>
    <cellStyle name="Hipervínculo" xfId="8117" builtinId="8" hidden="1"/>
    <cellStyle name="Hipervínculo" xfId="3283" builtinId="8" hidden="1"/>
    <cellStyle name="Hipervínculo" xfId="3639" builtinId="8" hidden="1"/>
    <cellStyle name="Hipervínculo" xfId="4361" builtinId="8" hidden="1"/>
    <cellStyle name="Hipervínculo" xfId="10127" builtinId="8" hidden="1"/>
    <cellStyle name="Hipervínculo" xfId="9405" builtinId="8" hidden="1"/>
    <cellStyle name="Hipervínculo" xfId="449" builtinId="8" hidden="1"/>
    <cellStyle name="Hipervínculo" xfId="7997" builtinId="8" hidden="1"/>
    <cellStyle name="Hipervínculo" xfId="1071" builtinId="8" hidden="1"/>
    <cellStyle name="Hipervínculo" xfId="5107" builtinId="8" hidden="1"/>
    <cellStyle name="Hipervínculo" xfId="2789" builtinId="8" hidden="1"/>
    <cellStyle name="Hipervínculo" xfId="7251" builtinId="8" hidden="1"/>
    <cellStyle name="Hipervínculo" xfId="1659" builtinId="8" hidden="1"/>
    <cellStyle name="Hipervínculo" xfId="3807" builtinId="8" hidden="1"/>
    <cellStyle name="Hipervínculo" xfId="2359" builtinId="8" hidden="1"/>
    <cellStyle name="Hipervínculo" xfId="9211" builtinId="8" hidden="1"/>
    <cellStyle name="Hipervínculo" xfId="6671" builtinId="8" hidden="1"/>
    <cellStyle name="Hipervínculo" xfId="603" builtinId="8" hidden="1"/>
    <cellStyle name="Hipervínculo" xfId="6361" builtinId="8" hidden="1"/>
    <cellStyle name="Hipervínculo" xfId="9731" builtinId="8" hidden="1"/>
    <cellStyle name="Hipervínculo" xfId="5003" builtinId="8" hidden="1"/>
    <cellStyle name="Hipervínculo" xfId="2955" builtinId="8" hidden="1"/>
    <cellStyle name="Hipervínculo" xfId="7319" builtinId="8" hidden="1"/>
    <cellStyle name="Hipervínculo" xfId="8519" builtinId="8" hidden="1"/>
    <cellStyle name="Hipervínculo" xfId="1775" builtinId="8" hidden="1"/>
    <cellStyle name="Hipervínculo" xfId="5499" builtinId="8" hidden="1"/>
    <cellStyle name="Hipervínculo" xfId="7621" builtinId="8" hidden="1"/>
    <cellStyle name="Hipervínculo" xfId="6067" builtinId="8" hidden="1"/>
    <cellStyle name="Hipervínculo" xfId="1067" builtinId="8" hidden="1"/>
    <cellStyle name="Hipervínculo" xfId="3081" builtinId="8" hidden="1"/>
    <cellStyle name="Hipervínculo" xfId="79" builtinId="8" hidden="1"/>
    <cellStyle name="Hipervínculo" xfId="7399" builtinId="8" hidden="1"/>
    <cellStyle name="Hipervínculo" xfId="2731" builtinId="8" hidden="1"/>
    <cellStyle name="Hipervínculo" xfId="10197" builtinId="8" hidden="1"/>
    <cellStyle name="Hipervínculo" xfId="233" builtinId="8" hidden="1"/>
    <cellStyle name="Hipervínculo" xfId="4245" builtinId="8" hidden="1"/>
    <cellStyle name="Hipervínculo" xfId="2903" builtinId="8" hidden="1"/>
    <cellStyle name="Hipervínculo" xfId="7225" builtinId="8" hidden="1"/>
    <cellStyle name="Hipervínculo" xfId="3533" builtinId="8" hidden="1"/>
    <cellStyle name="Hipervínculo" xfId="9439" builtinId="8" hidden="1"/>
    <cellStyle name="Hipervínculo" xfId="1933" builtinId="8" hidden="1"/>
    <cellStyle name="Hipervínculo" xfId="2681" builtinId="8" hidden="1"/>
    <cellStyle name="Hipervínculo" xfId="10809" builtinId="8" hidden="1"/>
    <cellStyle name="Hipervínculo" xfId="3851" builtinId="8" hidden="1"/>
    <cellStyle name="Hipervínculo" xfId="9191" builtinId="8" hidden="1"/>
    <cellStyle name="Hipervínculo" xfId="1911" builtinId="8" hidden="1"/>
    <cellStyle name="Hipervínculo" xfId="2125" builtinId="8" hidden="1"/>
    <cellStyle name="Hipervínculo" xfId="265" builtinId="8" hidden="1"/>
    <cellStyle name="Hipervínculo" xfId="1681" builtinId="8" hidden="1"/>
    <cellStyle name="Hipervínculo" xfId="6095" builtinId="8" hidden="1"/>
    <cellStyle name="Hipervínculo" xfId="7513" builtinId="8" hidden="1"/>
    <cellStyle name="Hipervínculo" xfId="1645" builtinId="8" hidden="1"/>
    <cellStyle name="Hipervínculo" xfId="3467" builtinId="8" hidden="1"/>
    <cellStyle name="Hipervínculo" xfId="7241" builtinId="8" hidden="1"/>
    <cellStyle name="Hipervínculo" xfId="5545" builtinId="8" hidden="1"/>
    <cellStyle name="Hipervínculo" xfId="9569" builtinId="8" hidden="1"/>
    <cellStyle name="Hipervínculo" xfId="3921" builtinId="8" hidden="1"/>
    <cellStyle name="Hipervínculo" xfId="8615" builtinId="8" hidden="1"/>
    <cellStyle name="Hipervínculo" xfId="10933" builtinId="8" hidden="1"/>
    <cellStyle name="Hipervínculo" xfId="7443" builtinId="8" hidden="1"/>
    <cellStyle name="Hipervínculo" xfId="8233" builtinId="8" hidden="1"/>
    <cellStyle name="Hipervínculo" xfId="1247" builtinId="8" hidden="1"/>
    <cellStyle name="Hipervínculo" xfId="1015" builtinId="8" hidden="1"/>
    <cellStyle name="Hipervínculo" xfId="6851" builtinId="8" hidden="1"/>
    <cellStyle name="Hipervínculo" xfId="5465" builtinId="8" hidden="1"/>
    <cellStyle name="Hipervínculo" xfId="853" builtinId="8" hidden="1"/>
    <cellStyle name="Hipervínculo" xfId="5899" builtinId="8" hidden="1"/>
    <cellStyle name="Hipervínculo" xfId="1467" builtinId="8" hidden="1"/>
    <cellStyle name="Hipervínculo" xfId="1787" builtinId="8" hidden="1"/>
    <cellStyle name="Hipervínculo" xfId="3131" builtinId="8" hidden="1"/>
    <cellStyle name="Hipervínculo" xfId="7939" builtinId="8" hidden="1"/>
    <cellStyle name="Hipervínculo" xfId="4167" builtinId="8" hidden="1"/>
    <cellStyle name="Hipervínculo" xfId="2755" builtinId="8" hidden="1"/>
    <cellStyle name="Hipervínculo" xfId="1825" builtinId="8" hidden="1"/>
    <cellStyle name="Hipervínculo" xfId="1529" builtinId="8" hidden="1"/>
    <cellStyle name="Hipervínculo" xfId="10239" builtinId="8" hidden="1"/>
    <cellStyle name="Hipervínculo" xfId="7983" builtinId="8" hidden="1"/>
    <cellStyle name="Hipervínculo" xfId="6803" builtinId="8" hidden="1"/>
    <cellStyle name="Hipervínculo" xfId="6363" builtinId="8" hidden="1"/>
    <cellStyle name="Hipervínculo" xfId="9509" builtinId="8" hidden="1"/>
    <cellStyle name="Hipervínculo" xfId="6453" builtinId="8" hidden="1"/>
    <cellStyle name="Hipervínculo" xfId="1875" builtinId="8" hidden="1"/>
    <cellStyle name="Hipervínculo" xfId="9529" builtinId="8" hidden="1"/>
    <cellStyle name="Hipervínculo" xfId="5799" builtinId="8" hidden="1"/>
    <cellStyle name="Hipervínculo" xfId="2951" builtinId="8" hidden="1"/>
    <cellStyle name="Hipervínculo" xfId="5987" builtinId="8" hidden="1"/>
    <cellStyle name="Hipervínculo" xfId="6239" builtinId="8" hidden="1"/>
    <cellStyle name="Hipervínculo" xfId="1805" builtinId="8" hidden="1"/>
    <cellStyle name="Hipervínculo" xfId="9273" builtinId="8" hidden="1"/>
    <cellStyle name="Hipervínculo" xfId="8577" builtinId="8" hidden="1"/>
    <cellStyle name="Hipervínculo" xfId="7441" builtinId="8" hidden="1"/>
    <cellStyle name="Hipervínculo" xfId="7887" builtinId="8" hidden="1"/>
    <cellStyle name="Hipervínculo" xfId="10893" builtinId="8" hidden="1"/>
    <cellStyle name="Hipervínculo" xfId="10179" builtinId="8" hidden="1"/>
    <cellStyle name="Hipervínculo" xfId="2437" builtinId="8" hidden="1"/>
    <cellStyle name="Hipervínculo" xfId="1053" builtinId="8" hidden="1"/>
    <cellStyle name="Hipervínculo" xfId="851" builtinId="8" hidden="1"/>
    <cellStyle name="Hipervínculo" xfId="7081" builtinId="8" hidden="1"/>
    <cellStyle name="Hipervínculo" xfId="4547" builtinId="8" hidden="1"/>
    <cellStyle name="Hipervínculo" xfId="1935" builtinId="8" hidden="1"/>
    <cellStyle name="Hipervínculo" xfId="3235" builtinId="8" hidden="1"/>
    <cellStyle name="Hipervínculo" xfId="4261" builtinId="8" hidden="1"/>
    <cellStyle name="Hipervínculo" xfId="8097" builtinId="8" hidden="1"/>
    <cellStyle name="Hipervínculo" xfId="9915" builtinId="8" hidden="1"/>
    <cellStyle name="Hipervínculo" xfId="2861" builtinId="8" hidden="1"/>
    <cellStyle name="Hipervínculo" xfId="9269" builtinId="8" hidden="1"/>
    <cellStyle name="Hipervínculo" xfId="3451" builtinId="8" hidden="1"/>
    <cellStyle name="Hipervínculo" xfId="5691" builtinId="8" hidden="1"/>
    <cellStyle name="Hipervínculo" xfId="1337" builtinId="8" hidden="1"/>
    <cellStyle name="Hipervínculo" xfId="10039" builtinId="8" hidden="1"/>
    <cellStyle name="Hipervínculo" xfId="8769" builtinId="8" hidden="1"/>
    <cellStyle name="Hipervínculo" xfId="3845" builtinId="8" hidden="1"/>
    <cellStyle name="Hipervínculo" xfId="10701" builtinId="8" hidden="1"/>
    <cellStyle name="Hipervínculo" xfId="8879" builtinId="8" hidden="1"/>
    <cellStyle name="Hipervínculo" xfId="9845" builtinId="8" hidden="1"/>
    <cellStyle name="Hipervínculo" xfId="2233" builtinId="8" hidden="1"/>
    <cellStyle name="Hipervínculo" xfId="5737" builtinId="8" hidden="1"/>
    <cellStyle name="Hipervínculo" xfId="7411" builtinId="8" hidden="1"/>
    <cellStyle name="Hipervínculo" xfId="6667" builtinId="8" hidden="1"/>
    <cellStyle name="Hipervínculo" xfId="10053" builtinId="8" hidden="1"/>
    <cellStyle name="Hipervínculo" xfId="3469" builtinId="8" hidden="1"/>
    <cellStyle name="Hipervínculo" xfId="7889" builtinId="8" hidden="1"/>
    <cellStyle name="Hipervínculo" xfId="377" builtinId="8" hidden="1"/>
    <cellStyle name="Hipervínculo" xfId="5481" builtinId="8" hidden="1"/>
    <cellStyle name="Hipervínculo" xfId="977" builtinId="8" hidden="1"/>
    <cellStyle name="Hipervínculo" xfId="743" builtinId="8" hidden="1"/>
    <cellStyle name="Hipervínculo" xfId="8291" builtinId="8" hidden="1"/>
    <cellStyle name="Hipervínculo" xfId="6497" builtinId="8" hidden="1"/>
    <cellStyle name="Hipervínculo" xfId="8565" builtinId="8" hidden="1"/>
    <cellStyle name="Hipervínculo" xfId="9881" builtinId="8" hidden="1"/>
    <cellStyle name="Hipervínculo" xfId="8833" builtinId="8" hidden="1"/>
    <cellStyle name="Hipervínculo" xfId="7431" builtinId="8" hidden="1"/>
    <cellStyle name="Hipervínculo" xfId="10839" builtinId="8" hidden="1"/>
    <cellStyle name="Hipervínculo" xfId="5791" builtinId="8" hidden="1"/>
    <cellStyle name="Hipervínculo" xfId="2621" builtinId="8" hidden="1"/>
    <cellStyle name="Hipervínculo" xfId="7739" builtinId="8" hidden="1"/>
    <cellStyle name="Hipervínculo" xfId="10469" builtinId="8" hidden="1"/>
    <cellStyle name="Hipervínculo" xfId="4405" builtinId="8" hidden="1"/>
    <cellStyle name="Hipervínculo" xfId="2157" builtinId="8" hidden="1"/>
    <cellStyle name="Hipervínculo" xfId="3501" builtinId="8" hidden="1"/>
    <cellStyle name="Hipervínculo" xfId="9727" builtinId="8" hidden="1"/>
    <cellStyle name="Hipervínculo" xfId="8327" builtinId="8" hidden="1"/>
    <cellStyle name="Hipervínculo" xfId="2255" builtinId="8" hidden="1"/>
    <cellStyle name="Hipervínculo" xfId="8825" builtinId="8" hidden="1"/>
    <cellStyle name="Hipervínculo" xfId="7663" builtinId="8" hidden="1"/>
    <cellStyle name="Hipervínculo" xfId="8199" builtinId="8" hidden="1"/>
    <cellStyle name="Hipervínculo" xfId="4489" builtinId="8" hidden="1"/>
    <cellStyle name="Hipervínculo" xfId="4255" builtinId="8" hidden="1"/>
    <cellStyle name="Hipervínculo" xfId="5241" builtinId="8" hidden="1"/>
    <cellStyle name="Hipervínculo" xfId="7609" builtinId="8" hidden="1"/>
    <cellStyle name="Hipervínculo" xfId="5369" builtinId="8" hidden="1"/>
    <cellStyle name="Hipervínculo" xfId="3377" builtinId="8" hidden="1"/>
    <cellStyle name="Hipervínculo" xfId="5047" builtinId="8" hidden="1"/>
    <cellStyle name="Hipervínculo" xfId="3005" builtinId="8" hidden="1"/>
    <cellStyle name="Hipervínculo" xfId="1039" builtinId="8" hidden="1"/>
    <cellStyle name="Hipervínculo" xfId="10079" builtinId="8" hidden="1"/>
    <cellStyle name="Hipervínculo" xfId="5517" builtinId="8" hidden="1"/>
    <cellStyle name="Hipervínculo" xfId="10607" builtinId="8" hidden="1"/>
    <cellStyle name="Hipervínculo" xfId="4841" builtinId="8" hidden="1"/>
    <cellStyle name="Hipervínculo" xfId="1259" builtinId="8" hidden="1"/>
    <cellStyle name="Hipervínculo" xfId="9437" builtinId="8" hidden="1"/>
    <cellStyle name="Hipervínculo" xfId="10429" builtinId="8" hidden="1"/>
    <cellStyle name="Hipervínculo" xfId="6253" builtinId="8" hidden="1"/>
    <cellStyle name="Hipervínculo" xfId="10481" builtinId="8" hidden="1"/>
    <cellStyle name="Hipervínculo" xfId="4199" builtinId="8" hidden="1"/>
    <cellStyle name="Hipervínculo" xfId="4139" builtinId="8" hidden="1"/>
    <cellStyle name="Hipervínculo" xfId="2935" builtinId="8" hidden="1"/>
    <cellStyle name="Hipervínculo" xfId="2101" builtinId="8" hidden="1"/>
    <cellStyle name="Hipervínculo" xfId="711" builtinId="8" hidden="1"/>
    <cellStyle name="Hipervínculo" xfId="4609" builtinId="8" hidden="1"/>
    <cellStyle name="Hipervínculo" xfId="757" builtinId="8" hidden="1"/>
    <cellStyle name="Hipervínculo" xfId="4201" builtinId="8" hidden="1"/>
    <cellStyle name="Hipervínculo" xfId="10177" builtinId="8" hidden="1"/>
    <cellStyle name="Hipervínculo" xfId="789" builtinId="8" hidden="1"/>
    <cellStyle name="Hipervínculo" xfId="7361" builtinId="8" hidden="1"/>
    <cellStyle name="Hipervínculo" xfId="10381" builtinId="8" hidden="1"/>
    <cellStyle name="Hipervínculo" xfId="3225" builtinId="8" hidden="1"/>
    <cellStyle name="Hipervínculo" xfId="10463" builtinId="8" hidden="1"/>
    <cellStyle name="Hipervínculo" xfId="10821" builtinId="8" hidden="1"/>
    <cellStyle name="Hipervínculo" xfId="4751" builtinId="8" hidden="1"/>
    <cellStyle name="Hipervínculo" xfId="9543" builtinId="8" hidden="1"/>
    <cellStyle name="Hipervínculo" xfId="2025" builtinId="8" hidden="1"/>
    <cellStyle name="Hipervínculo" xfId="9483" builtinId="8" hidden="1"/>
    <cellStyle name="Hipervínculo" xfId="6121" builtinId="8" hidden="1"/>
    <cellStyle name="Hipervínculo" xfId="5547" builtinId="8" hidden="1"/>
    <cellStyle name="Hipervínculo" xfId="9067" builtinId="8" hidden="1"/>
    <cellStyle name="Hipervínculo" xfId="5679" builtinId="8" hidden="1"/>
    <cellStyle name="Hipervínculo" xfId="9321" builtinId="8" hidden="1"/>
    <cellStyle name="Hipervínculo" xfId="10379" builtinId="8" hidden="1"/>
    <cellStyle name="Hipervínculo" xfId="6609" builtinId="8" hidden="1"/>
    <cellStyle name="Hipervínculo" xfId="7793" builtinId="8" hidden="1"/>
    <cellStyle name="Hipervínculo" xfId="6433" builtinId="8" hidden="1"/>
    <cellStyle name="Hipervínculo" xfId="4185" builtinId="8" hidden="1"/>
    <cellStyle name="Hipervínculo" xfId="1533" builtinId="8" hidden="1"/>
    <cellStyle name="Hipervínculo" xfId="287" builtinId="8" hidden="1"/>
    <cellStyle name="Hipervínculo" xfId="7745" builtinId="8" hidden="1"/>
    <cellStyle name="Hipervínculo" xfId="7327" builtinId="8" hidden="1"/>
    <cellStyle name="Hipervínculo" xfId="5593" builtinId="8" hidden="1"/>
    <cellStyle name="Hipervínculo" xfId="4059" builtinId="8" hidden="1"/>
    <cellStyle name="Hipervínculo" xfId="9579" builtinId="8" hidden="1"/>
    <cellStyle name="Hipervínculo" xfId="279" builtinId="8" hidden="1"/>
    <cellStyle name="Hipervínculo" xfId="8353" builtinId="8" hidden="1"/>
    <cellStyle name="Hipervínculo" xfId="7941" builtinId="8" hidden="1"/>
    <cellStyle name="Hipervínculo" xfId="807" builtinId="8" hidden="1"/>
    <cellStyle name="Hipervínculo" xfId="667" builtinId="8" hidden="1"/>
    <cellStyle name="Hipervínculo" xfId="9367" builtinId="8" hidden="1"/>
    <cellStyle name="Hipervínculo" xfId="7295" builtinId="8" hidden="1"/>
    <cellStyle name="Hipervínculo" xfId="259" builtinId="8" hidden="1"/>
    <cellStyle name="Hipervínculo" xfId="6589" builtinId="8" hidden="1"/>
    <cellStyle name="Hipervínculo" xfId="3549" builtinId="8" hidden="1"/>
    <cellStyle name="Hipervínculo" xfId="581" builtinId="8" hidden="1"/>
    <cellStyle name="Hipervínculo" xfId="7299" builtinId="8" hidden="1"/>
    <cellStyle name="Hipervínculo" xfId="2493" builtinId="8" hidden="1"/>
    <cellStyle name="Hipervínculo" xfId="8345" builtinId="8" hidden="1"/>
    <cellStyle name="Hipervínculo" xfId="2159" builtinId="8" hidden="1"/>
    <cellStyle name="Hipervínculo" xfId="5199" builtinId="8" hidden="1"/>
    <cellStyle name="Hipervínculo" xfId="709" builtinId="8" hidden="1"/>
    <cellStyle name="Hipervínculo" xfId="3013" builtinId="8" hidden="1"/>
    <cellStyle name="Hipervínculo" xfId="305" builtinId="8" hidden="1"/>
    <cellStyle name="Hipervínculo" xfId="3609" builtinId="8" hidden="1"/>
    <cellStyle name="Hipervínculo" xfId="1441" builtinId="8" hidden="1"/>
    <cellStyle name="Hipervínculo" xfId="4095" builtinId="8" hidden="1"/>
    <cellStyle name="Hipervínculo" xfId="1465" builtinId="8" hidden="1"/>
    <cellStyle name="Hipervínculo" xfId="9427" builtinId="8" hidden="1"/>
    <cellStyle name="Hipervínculo" xfId="7965" builtinId="8" hidden="1"/>
    <cellStyle name="Hipervínculo" xfId="7331" builtinId="8" hidden="1"/>
    <cellStyle name="Hipervínculo" xfId="5293" builtinId="8" hidden="1"/>
    <cellStyle name="Hipervínculo" xfId="9341" builtinId="8" hidden="1"/>
    <cellStyle name="Hipervínculo" xfId="10405" builtinId="8" hidden="1"/>
    <cellStyle name="Hipervínculo" xfId="9895" builtinId="8" hidden="1"/>
    <cellStyle name="Hipervínculo" xfId="6093" builtinId="8" hidden="1"/>
    <cellStyle name="Hipervínculo" xfId="6755" builtinId="8" hidden="1"/>
    <cellStyle name="Hipervínculo" xfId="9301" builtinId="8" hidden="1"/>
    <cellStyle name="Hipervínculo" xfId="35" builtinId="8" hidden="1"/>
    <cellStyle name="Hipervínculo" xfId="8405" builtinId="8" hidden="1"/>
    <cellStyle name="Hipervínculo" xfId="9841" builtinId="8" hidden="1"/>
    <cellStyle name="Hipervínculo" xfId="9393" builtinId="8" hidden="1"/>
    <cellStyle name="Hipervínculo" xfId="2459" builtinId="8" hidden="1"/>
    <cellStyle name="Hipervínculo" xfId="8025" builtinId="8" hidden="1"/>
    <cellStyle name="Hipervínculo" xfId="7657" builtinId="8" hidden="1"/>
    <cellStyle name="Hipervínculo" xfId="3373" builtinId="8" hidden="1"/>
    <cellStyle name="Hipervínculo" xfId="7535" builtinId="8" hidden="1"/>
    <cellStyle name="Hipervínculo" xfId="2017" builtinId="8" hidden="1"/>
    <cellStyle name="Hipervínculo" xfId="5131" builtinId="8" hidden="1"/>
    <cellStyle name="Hipervínculo" xfId="7041" builtinId="8" hidden="1"/>
    <cellStyle name="Hipervínculo" xfId="10193" builtinId="8" hidden="1"/>
    <cellStyle name="Hipervínculo" xfId="7797" builtinId="8" hidden="1"/>
    <cellStyle name="Hipervínculo" xfId="165" builtinId="8" hidden="1"/>
    <cellStyle name="Hipervínculo" xfId="10451" builtinId="8" hidden="1"/>
    <cellStyle name="Hipervínculo" xfId="10349" builtinId="8" hidden="1"/>
    <cellStyle name="Hipervínculo" xfId="7285" builtinId="8" hidden="1"/>
    <cellStyle name="Hipervínculo" xfId="5213" builtinId="8" hidden="1"/>
    <cellStyle name="Hipervínculo" xfId="9379" builtinId="8" hidden="1"/>
    <cellStyle name="Hipervínculo" xfId="6543" builtinId="8" hidden="1"/>
    <cellStyle name="Hipervínculo" xfId="4009" builtinId="8" hidden="1"/>
    <cellStyle name="Hipervínculo" xfId="2949" builtinId="8" hidden="1"/>
    <cellStyle name="Hipervínculo" xfId="6631" builtinId="8" hidden="1"/>
    <cellStyle name="Hipervínculo" xfId="1149" builtinId="8" hidden="1"/>
    <cellStyle name="Hipervínculo" xfId="6427" builtinId="8" hidden="1"/>
    <cellStyle name="Hipervínculo" xfId="5725" builtinId="8" hidden="1"/>
    <cellStyle name="Hipervínculo" xfId="887" builtinId="8" hidden="1"/>
    <cellStyle name="Hipervínculo" xfId="2585" builtinId="8" hidden="1"/>
    <cellStyle name="Hipervínculo" xfId="5551" builtinId="8" hidden="1"/>
    <cellStyle name="Hipervínculo" xfId="4677" builtinId="8" hidden="1"/>
    <cellStyle name="Hipervínculo" xfId="1037" builtinId="8" hidden="1"/>
    <cellStyle name="Hipervínculo" xfId="1047" builtinId="8" hidden="1"/>
    <cellStyle name="Hipervínculo" xfId="1867" builtinId="8" hidden="1"/>
    <cellStyle name="Hipervínculo" xfId="4763" builtinId="8" hidden="1"/>
    <cellStyle name="Hipervínculo" xfId="2999" builtinId="8" hidden="1"/>
    <cellStyle name="Hipervínculo" xfId="4999" builtinId="8" hidden="1"/>
    <cellStyle name="Hipervínculo" xfId="537" builtinId="8" hidden="1"/>
    <cellStyle name="Hipervínculo" xfId="10199" builtinId="8" hidden="1"/>
    <cellStyle name="Hipervínculo" xfId="9457" builtinId="8" hidden="1"/>
    <cellStyle name="Hipervínculo" xfId="15" builtinId="8" hidden="1"/>
    <cellStyle name="Hipervínculo" xfId="1153" builtinId="8" hidden="1"/>
    <cellStyle name="Hipervínculo" xfId="4559" builtinId="8" hidden="1"/>
    <cellStyle name="Hipervínculo" xfId="3051" builtinId="8" hidden="1"/>
    <cellStyle name="Hipervínculo" xfId="413" builtinId="8" hidden="1"/>
    <cellStyle name="Hipervínculo" xfId="9469" builtinId="8" hidden="1"/>
    <cellStyle name="Hipervínculo" xfId="7187" builtinId="8" hidden="1"/>
    <cellStyle name="Hipervínculo" xfId="239" builtinId="8" hidden="1"/>
    <cellStyle name="Hipervínculo" xfId="7069" builtinId="8" hidden="1"/>
    <cellStyle name="Hipervínculo" xfId="10777" builtinId="8" hidden="1"/>
    <cellStyle name="Hipervínculo" xfId="6779" builtinId="8" hidden="1"/>
    <cellStyle name="Hipervínculo" xfId="2557" builtinId="8" hidden="1"/>
    <cellStyle name="Hipervínculo" xfId="1573" builtinId="8" hidden="1"/>
    <cellStyle name="Hipervínculo" xfId="2947" builtinId="8" hidden="1"/>
    <cellStyle name="Hipervínculo" xfId="7685" builtinId="8" hidden="1"/>
    <cellStyle name="Hipervínculo" xfId="6795" builtinId="8" hidden="1"/>
    <cellStyle name="Hipervínculo" xfId="7229" builtinId="8" hidden="1"/>
    <cellStyle name="Hipervínculo" xfId="325" builtinId="8" hidden="1"/>
    <cellStyle name="Hipervínculo" xfId="9333" builtinId="8" hidden="1"/>
    <cellStyle name="Hipervínculo" xfId="9347" builtinId="8" hidden="1"/>
    <cellStyle name="Hipervínculo" xfId="4265" builtinId="8" hidden="1"/>
    <cellStyle name="Hipervínculo" xfId="531" builtinId="8" hidden="1"/>
    <cellStyle name="Hipervínculo" xfId="2193" builtinId="8" hidden="1"/>
    <cellStyle name="Hipervínculo" xfId="2275" builtinId="8" hidden="1"/>
    <cellStyle name="Hipervínculo" xfId="4211" builtinId="8" hidden="1"/>
    <cellStyle name="Hipervínculo" xfId="4673" builtinId="8" hidden="1"/>
    <cellStyle name="Hipervínculo" xfId="6157" builtinId="8" hidden="1"/>
    <cellStyle name="Hipervínculo" xfId="4739" builtinId="8" hidden="1"/>
    <cellStyle name="Hipervínculo" xfId="6645" builtinId="8" hidden="1"/>
    <cellStyle name="Hipervínculo" xfId="6607" builtinId="8" hidden="1"/>
    <cellStyle name="Hipervínculo" xfId="10015" builtinId="8" hidden="1"/>
    <cellStyle name="Hipervínculo" xfId="763" builtinId="8" hidden="1"/>
    <cellStyle name="Hipervínculo" xfId="3147" builtinId="8" hidden="1"/>
    <cellStyle name="Hipervínculo" xfId="1797" builtinId="8" hidden="1"/>
    <cellStyle name="Hipervínculo" xfId="5321" builtinId="8" hidden="1"/>
    <cellStyle name="Hipervínculo" xfId="5859" builtinId="8" hidden="1"/>
    <cellStyle name="Hipervínculo" xfId="9769" builtinId="8" hidden="1"/>
    <cellStyle name="Hipervínculo" xfId="7589" builtinId="8" hidden="1"/>
    <cellStyle name="Hipervínculo" xfId="719" builtinId="8" hidden="1"/>
    <cellStyle name="Hipervínculo" xfId="8781" builtinId="8" hidden="1"/>
    <cellStyle name="Hipervínculo" xfId="3419" builtinId="8" hidden="1"/>
    <cellStyle name="Hipervínculo" xfId="2679" builtinId="8" hidden="1"/>
    <cellStyle name="Hipervínculo" xfId="10603" builtinId="8" hidden="1"/>
    <cellStyle name="Hipervínculo" xfId="7091" builtinId="8" hidden="1"/>
    <cellStyle name="Hipervínculo" xfId="7149" builtinId="8" hidden="1"/>
    <cellStyle name="Hipervínculo" xfId="10801" builtinId="8" hidden="1"/>
    <cellStyle name="Hipervínculo" xfId="877" builtinId="8" hidden="1"/>
    <cellStyle name="Hipervínculo" xfId="8185" builtinId="8" hidden="1"/>
    <cellStyle name="Hipervínculo" xfId="5379" builtinId="8" hidden="1"/>
    <cellStyle name="Hipervínculo" xfId="8755" builtinId="8" hidden="1"/>
    <cellStyle name="Hipervínculo" xfId="339" builtinId="8" hidden="1"/>
    <cellStyle name="Hipervínculo" xfId="5017" builtinId="8" hidden="1"/>
    <cellStyle name="Hipervínculo" xfId="2381" builtinId="8" hidden="1"/>
    <cellStyle name="Hipervínculo" xfId="1973" builtinId="8" hidden="1"/>
    <cellStyle name="Hipervínculo" xfId="8225" builtinId="8" hidden="1"/>
    <cellStyle name="Hipervínculo" xfId="6173" builtinId="8" hidden="1"/>
    <cellStyle name="Hipervínculo" xfId="6769" builtinId="8" hidden="1"/>
    <cellStyle name="Hipervínculo" xfId="1327" builtinId="8" hidden="1"/>
    <cellStyle name="Hipervínculo" xfId="10569" builtinId="8" hidden="1"/>
    <cellStyle name="Hipervínculo" xfId="6169" builtinId="8" hidden="1"/>
    <cellStyle name="Hipervínculo" xfId="1761" builtinId="8" hidden="1"/>
    <cellStyle name="Hipervínculo" xfId="6925" builtinId="8" hidden="1"/>
    <cellStyle name="Hipervínculo" xfId="5875" builtinId="8" hidden="1"/>
    <cellStyle name="Hipervínculo" xfId="11005" builtinId="8" hidden="1"/>
    <cellStyle name="Hipervínculo" xfId="9335" builtinId="8" hidden="1"/>
    <cellStyle name="Hipervínculo" xfId="8073" builtinId="8" hidden="1"/>
    <cellStyle name="Hipervínculo" xfId="4701" builtinId="8" hidden="1"/>
    <cellStyle name="Hipervínculo" xfId="9107" builtinId="8" hidden="1"/>
    <cellStyle name="Hipervínculo" xfId="5649" builtinId="8" hidden="1"/>
    <cellStyle name="Hipervínculo" xfId="881" builtinId="8" hidden="1"/>
    <cellStyle name="Hipervínculo" xfId="7681" builtinId="8" hidden="1"/>
    <cellStyle name="Hipervínculo" xfId="9753" builtinId="8" hidden="1"/>
    <cellStyle name="Hipervínculo" xfId="2083" builtinId="8" hidden="1"/>
    <cellStyle name="Hipervínculo" xfId="919" builtinId="8" hidden="1"/>
    <cellStyle name="Hipervínculo" xfId="473" builtinId="8" hidden="1"/>
    <cellStyle name="Hipervínculo" xfId="5789" builtinId="8" hidden="1"/>
    <cellStyle name="Hipervínculo" xfId="6945" builtinId="8" hidden="1"/>
    <cellStyle name="Hipervínculo" xfId="9009" builtinId="8" hidden="1"/>
    <cellStyle name="Hipervínculo" xfId="2815" builtinId="8" hidden="1"/>
    <cellStyle name="Hipervínculo" xfId="1227" builtinId="8" hidden="1"/>
    <cellStyle name="Hipervínculo" xfId="8693" builtinId="8" hidden="1"/>
    <cellStyle name="Hipervínculo" xfId="3335" builtinId="8" hidden="1"/>
    <cellStyle name="Hipervínculo" xfId="3149" builtinId="8" hidden="1"/>
    <cellStyle name="Hipervínculo" xfId="4729" builtinId="8" hidden="1"/>
    <cellStyle name="Hipervínculo" xfId="6179" builtinId="8" hidden="1"/>
    <cellStyle name="Hipervínculo" xfId="5681" builtinId="8" hidden="1"/>
    <cellStyle name="Hipervínculo" xfId="8843" builtinId="8" hidden="1"/>
    <cellStyle name="Hipervínculo" xfId="9161" builtinId="8" hidden="1"/>
    <cellStyle name="Hipervínculo" xfId="6275" builtinId="8" hidden="1"/>
    <cellStyle name="Hipervínculo" xfId="6255" builtinId="8" hidden="1"/>
    <cellStyle name="Hipervínculo" xfId="6197" builtinId="8" hidden="1"/>
    <cellStyle name="Hipervínculo" xfId="1147" builtinId="8" hidden="1"/>
    <cellStyle name="Hipervínculo" xfId="5897" builtinId="8" hidden="1"/>
    <cellStyle name="Hipervínculo" xfId="7651" builtinId="8" hidden="1"/>
    <cellStyle name="Hipervínculo" xfId="6161" builtinId="8" hidden="1"/>
    <cellStyle name="Hipervínculo" xfId="151" builtinId="8" hidden="1"/>
    <cellStyle name="Hipervínculo" xfId="3973" builtinId="8" hidden="1"/>
    <cellStyle name="Hipervínculo" xfId="6077" builtinId="8" hidden="1"/>
    <cellStyle name="Hipervínculo" xfId="10345" builtinId="8" hidden="1"/>
    <cellStyle name="Hipervínculo" xfId="1033" builtinId="8" hidden="1"/>
    <cellStyle name="Hipervínculo" xfId="3859" builtinId="8" hidden="1"/>
    <cellStyle name="Hipervínculo" xfId="467" builtinId="8" hidden="1"/>
    <cellStyle name="Hipervínculo" xfId="4905" builtinId="8" hidden="1"/>
    <cellStyle name="Hipervínculo" xfId="7529" builtinId="8" hidden="1"/>
    <cellStyle name="Hipervínculo" xfId="263" builtinId="8" hidden="1"/>
    <cellStyle name="Hipervínculo" xfId="2893" builtinId="8" hidden="1"/>
    <cellStyle name="Hipervínculo" xfId="907" builtinId="8" hidden="1"/>
    <cellStyle name="Hipervínculo" xfId="173" builtinId="8" hidden="1"/>
    <cellStyle name="Hipervínculo" xfId="10325" builtinId="8" hidden="1"/>
    <cellStyle name="Hipervínculo" xfId="7205" builtinId="8" hidden="1"/>
    <cellStyle name="Hipervínculo" xfId="3087" builtinId="8" hidden="1"/>
    <cellStyle name="Hipervínculo" xfId="1191" builtinId="8" hidden="1"/>
    <cellStyle name="Hipervínculo" xfId="6283" builtinId="8" hidden="1"/>
    <cellStyle name="Hipervínculo" xfId="9249" builtinId="8" hidden="1"/>
    <cellStyle name="Hipervínculo" xfId="7177" builtinId="8" hidden="1"/>
    <cellStyle name="Hipervínculo" xfId="6743" builtinId="8" hidden="1"/>
    <cellStyle name="Hipervínculo" xfId="3591" builtinId="8" hidden="1"/>
    <cellStyle name="Hipervínculo" xfId="8183" builtinId="8" hidden="1"/>
    <cellStyle name="Hipervínculo" xfId="10601" builtinId="8" hidden="1"/>
    <cellStyle name="Hipervínculo" xfId="8289" builtinId="8" hidden="1"/>
    <cellStyle name="Hipervínculo" xfId="171" builtinId="8" hidden="1"/>
    <cellStyle name="Hipervínculo" xfId="2635" builtinId="8" hidden="1"/>
    <cellStyle name="Hipervínculo" xfId="1709" builtinId="8" hidden="1"/>
    <cellStyle name="Hipervínculo" xfId="6123" builtinId="8" hidden="1"/>
    <cellStyle name="Hipervínculo" xfId="5911" builtinId="8" hidden="1"/>
    <cellStyle name="Hipervínculo" xfId="2551" builtinId="8" hidden="1"/>
    <cellStyle name="Hipervínculo" xfId="4397" builtinId="8" hidden="1"/>
    <cellStyle name="Hipervínculo" xfId="7497" builtinId="8" hidden="1"/>
    <cellStyle name="Hipervínculo" xfId="9237" builtinId="8" hidden="1"/>
    <cellStyle name="Hipervínculo" xfId="7903" builtinId="8" hidden="1"/>
    <cellStyle name="Hipervínculo" xfId="3979" builtinId="8" hidden="1"/>
    <cellStyle name="Hipervínculo" xfId="2633" builtinId="8" hidden="1"/>
    <cellStyle name="Hipervínculo" xfId="4737" builtinId="8" hidden="1"/>
    <cellStyle name="Hipervínculo" xfId="2263" builtinId="8" hidden="1"/>
    <cellStyle name="Hipervínculo" xfId="7919" builtinId="8" hidden="1"/>
    <cellStyle name="Hipervínculo" xfId="7381" builtinId="8" hidden="1"/>
    <cellStyle name="Hipervínculo" xfId="113" builtinId="8" hidden="1"/>
    <cellStyle name="Hipervínculo" xfId="913" builtinId="8" hidden="1"/>
    <cellStyle name="Hipervínculo" xfId="10527" builtinId="8" hidden="1"/>
    <cellStyle name="Hipervínculo" xfId="8823" builtinId="8" hidden="1"/>
    <cellStyle name="Hipervínculo" xfId="2401" builtinId="8" hidden="1"/>
    <cellStyle name="Hipervínculo" xfId="4995" builtinId="8" hidden="1"/>
    <cellStyle name="Hipervínculo" xfId="7661" builtinId="8" hidden="1"/>
    <cellStyle name="Hipervínculo" xfId="4419" builtinId="8" hidden="1"/>
    <cellStyle name="Hipervínculo" xfId="3603" builtinId="8" hidden="1"/>
    <cellStyle name="Hipervínculo" xfId="4705" builtinId="8" hidden="1"/>
    <cellStyle name="Hipervínculo" xfId="5501" builtinId="8" hidden="1"/>
    <cellStyle name="Hipervínculo" xfId="6133" builtinId="8" hidden="1"/>
    <cellStyle name="Hipervínculo" xfId="7259" builtinId="8" hidden="1"/>
    <cellStyle name="Hipervínculo" xfId="4337" builtinId="8" hidden="1"/>
    <cellStyle name="Hipervínculo" xfId="7111" builtinId="8" hidden="1"/>
    <cellStyle name="Hipervínculo" xfId="5559" builtinId="8" hidden="1"/>
    <cellStyle name="Hipervínculo" xfId="3749" builtinId="8" hidden="1"/>
    <cellStyle name="Hipervínculo" xfId="7145" builtinId="8" hidden="1"/>
    <cellStyle name="Hipervínculo" xfId="4591" builtinId="8" hidden="1"/>
    <cellStyle name="Hipervínculo" xfId="4951" builtinId="8" hidden="1"/>
    <cellStyle name="Hipervínculo" xfId="4221" builtinId="8" hidden="1"/>
    <cellStyle name="Hipervínculo" xfId="7237" builtinId="8" hidden="1"/>
    <cellStyle name="Hipervínculo" xfId="10077" builtinId="8" hidden="1"/>
    <cellStyle name="Hipervínculo" xfId="8255" builtinId="8" hidden="1"/>
    <cellStyle name="Hipervínculo" xfId="7307" builtinId="8" hidden="1"/>
    <cellStyle name="Hipervínculo" xfId="4925" builtinId="8" hidden="1"/>
    <cellStyle name="Hipervínculo" xfId="8221" builtinId="8" hidden="1"/>
    <cellStyle name="Hipervínculo" xfId="8527" builtinId="8" hidden="1"/>
    <cellStyle name="Hipervínculo" xfId="4111" builtinId="8" hidden="1"/>
    <cellStyle name="Hipervínculo" xfId="4579" builtinId="8" hidden="1"/>
    <cellStyle name="Hipervínculo" xfId="1439" builtinId="8" hidden="1"/>
    <cellStyle name="Hipervínculo" xfId="4091" builtinId="8" hidden="1"/>
    <cellStyle name="Hipervínculo" xfId="11055" builtinId="8" hidden="1"/>
    <cellStyle name="Hipervínculo" xfId="2509" builtinId="8" hidden="1"/>
    <cellStyle name="Hipervínculo" xfId="8457" builtinId="8" hidden="1"/>
    <cellStyle name="Hipervínculo" xfId="317" builtinId="8" hidden="1"/>
    <cellStyle name="Hipervínculo" xfId="3897" builtinId="8" hidden="1"/>
    <cellStyle name="Hipervínculo" xfId="8921" builtinId="8" hidden="1"/>
    <cellStyle name="Hipervínculo" xfId="6519" builtinId="8" hidden="1"/>
    <cellStyle name="Hipervínculo" xfId="7499" builtinId="8" hidden="1"/>
    <cellStyle name="Hipervínculo" xfId="10009" builtinId="8" hidden="1"/>
    <cellStyle name="Hipervínculo" xfId="6985" builtinId="8" hidden="1"/>
    <cellStyle name="Hipervínculo" xfId="1105" builtinId="8" hidden="1"/>
    <cellStyle name="Hipervínculo" xfId="10303" builtinId="8" hidden="1"/>
    <cellStyle name="Hipervínculo" xfId="7581" builtinId="8" hidden="1"/>
    <cellStyle name="Hipervínculo" xfId="3011" builtinId="8" hidden="1"/>
    <cellStyle name="Hipervínculo" xfId="1189" builtinId="8" hidden="1"/>
    <cellStyle name="Hipervínculo" xfId="9793" builtinId="8" hidden="1"/>
    <cellStyle name="Hipervínculo" xfId="4231" builtinId="8" hidden="1"/>
    <cellStyle name="Hipervínculo" xfId="2871" builtinId="8" hidden="1"/>
    <cellStyle name="Hipervínculo" xfId="10559" builtinId="8" hidden="1"/>
    <cellStyle name="Hipervínculo" xfId="5739" builtinId="8" hidden="1"/>
    <cellStyle name="Hipervínculo" xfId="3279" builtinId="8" hidden="1"/>
    <cellStyle name="Hipervínculo" xfId="3665" builtinId="8" hidden="1"/>
    <cellStyle name="Hipervínculo" xfId="2245" builtinId="8" hidden="1"/>
    <cellStyle name="Hipervínculo" xfId="3505" builtinId="8" hidden="1"/>
    <cellStyle name="Hipervínculo" xfId="3393" builtinId="8" hidden="1"/>
    <cellStyle name="Hipervínculo" xfId="727" builtinId="8" hidden="1"/>
    <cellStyle name="Hipervínculo" xfId="7687" builtinId="8" hidden="1"/>
    <cellStyle name="Hipervínculo" xfId="10213" builtinId="8" hidden="1"/>
    <cellStyle name="Hipervínculo" xfId="4251" builtinId="8" hidden="1"/>
    <cellStyle name="Hipervínculo" xfId="10919" builtinId="8" hidden="1"/>
    <cellStyle name="Hipervínculo" xfId="6805" builtinId="8" hidden="1"/>
    <cellStyle name="Hipervínculo" xfId="8141" builtinId="8" hidden="1"/>
    <cellStyle name="Hipervínculo" xfId="10879" builtinId="8" hidden="1"/>
    <cellStyle name="Hipervínculo" xfId="7271" builtinId="8" hidden="1"/>
    <cellStyle name="Hipervínculo" xfId="9253" builtinId="8" hidden="1"/>
    <cellStyle name="Hipervínculo" xfId="1293" builtinId="8" hidden="1"/>
    <cellStyle name="Hipervínculo" xfId="3777" builtinId="8" hidden="1"/>
    <cellStyle name="Hipervínculo" xfId="3291" builtinId="8" hidden="1"/>
    <cellStyle name="Hipervínculo" xfId="2553" builtinId="8" hidden="1"/>
    <cellStyle name="Hipervínculo" xfId="6383" builtinId="8" hidden="1"/>
    <cellStyle name="Hipervínculo" xfId="1557" builtinId="8" hidden="1"/>
    <cellStyle name="Hipervínculo" xfId="5539" builtinId="8" hidden="1"/>
    <cellStyle name="Hipervínculo" xfId="4901" builtinId="8" hidden="1"/>
    <cellStyle name="Hipervínculo" xfId="6259" builtinId="8" hidden="1"/>
    <cellStyle name="Hipervínculo" xfId="9617" builtinId="8" hidden="1"/>
    <cellStyle name="Hipervínculo" xfId="6567" builtinId="8" hidden="1"/>
    <cellStyle name="Hipervínculo" xfId="3513" builtinId="8" hidden="1"/>
    <cellStyle name="Hipervínculo" xfId="2973" builtinId="8" hidden="1"/>
    <cellStyle name="Hipervínculo" xfId="1207" builtinId="8" hidden="1"/>
    <cellStyle name="Hipervínculo" xfId="7301" builtinId="8" hidden="1"/>
    <cellStyle name="Hipervínculo" xfId="3943" builtinId="8" hidden="1"/>
    <cellStyle name="Hipervínculo" xfId="395" builtinId="8" hidden="1"/>
    <cellStyle name="Hipervínculo" xfId="2545" builtinId="8" hidden="1"/>
    <cellStyle name="Hipervínculo" xfId="799" builtinId="8" hidden="1"/>
    <cellStyle name="Hipervínculo" xfId="451" builtinId="8" hidden="1"/>
    <cellStyle name="Hipervínculo" xfId="5729" builtinId="8" hidden="1"/>
    <cellStyle name="Hipervínculo" xfId="3727" builtinId="8" hidden="1"/>
    <cellStyle name="Hipervínculo" xfId="6623" builtinId="8" hidden="1"/>
    <cellStyle name="Hipervínculo" xfId="8207" builtinId="8" hidden="1"/>
    <cellStyle name="Hipervínculo" xfId="2713" builtinId="8" hidden="1"/>
    <cellStyle name="Hipervínculo" xfId="2505" builtinId="8" hidden="1"/>
    <cellStyle name="Hipervínculo" xfId="423" builtinId="8" hidden="1"/>
    <cellStyle name="Hipervínculo" xfId="3041" builtinId="8" hidden="1"/>
    <cellStyle name="Hipervínculo" xfId="601" builtinId="8" hidden="1"/>
    <cellStyle name="Hipervínculo" xfId="6981" builtinId="8" hidden="1"/>
    <cellStyle name="Hipervínculo" xfId="2743" builtinId="8" hidden="1"/>
    <cellStyle name="Hipervínculo" xfId="7175" builtinId="8" hidden="1"/>
    <cellStyle name="Hipervínculo" xfId="5105" builtinId="8" hidden="1"/>
    <cellStyle name="Hipervínculo" xfId="10485" builtinId="8" hidden="1"/>
    <cellStyle name="Hipervínculo" xfId="2041" builtinId="8" hidden="1"/>
    <cellStyle name="Hipervínculo" xfId="6875" builtinId="8" hidden="1"/>
    <cellStyle name="Hipervínculo" xfId="9069" builtinId="8" hidden="1"/>
    <cellStyle name="Hipervínculo" xfId="8849" builtinId="8" hidden="1"/>
    <cellStyle name="Hipervínculo" xfId="901" builtinId="8" hidden="1"/>
    <cellStyle name="Hipervínculo" xfId="5417" builtinId="8" hidden="1"/>
    <cellStyle name="Hipervínculo" xfId="3795" builtinId="8" hidden="1"/>
    <cellStyle name="Hipervínculo" xfId="4661" builtinId="8" hidden="1"/>
    <cellStyle name="Hipervínculo" xfId="6823" builtinId="8" hidden="1"/>
    <cellStyle name="Hipervínculo" xfId="9837" builtinId="8" hidden="1"/>
    <cellStyle name="Hipervínculo" xfId="3877" builtinId="8" hidden="1"/>
    <cellStyle name="Hipervínculo" xfId="6753" builtinId="8" hidden="1"/>
    <cellStyle name="Hipervínculo" xfId="4157" builtinId="8" hidden="1"/>
    <cellStyle name="Hipervínculo" xfId="6825" builtinId="8" hidden="1"/>
    <cellStyle name="Hipervínculo" xfId="6937" builtinId="8" hidden="1"/>
    <cellStyle name="Hipervínculo" xfId="7161" builtinId="8" hidden="1"/>
    <cellStyle name="Hipervínculo" xfId="9413" builtinId="8" hidden="1"/>
    <cellStyle name="Hipervínculo" xfId="2785" builtinId="8" hidden="1"/>
    <cellStyle name="Hipervínculo" xfId="9961" builtinId="8" hidden="1"/>
    <cellStyle name="Hipervínculo" xfId="7775" builtinId="8" hidden="1"/>
    <cellStyle name="Hipervínculo" xfId="2961" builtinId="8" hidden="1"/>
    <cellStyle name="Hipervínculo" xfId="4061" builtinId="8" hidden="1"/>
    <cellStyle name="Hipervínculo" xfId="8799" builtinId="8" hidden="1"/>
    <cellStyle name="Hipervínculo" xfId="9745" builtinId="8" hidden="1"/>
    <cellStyle name="Hipervínculo" xfId="7439" builtinId="8" hidden="1"/>
    <cellStyle name="Hipervínculo" xfId="8575" builtinId="8" hidden="1"/>
    <cellStyle name="Hipervínculo" xfId="10581" builtinId="8" hidden="1"/>
    <cellStyle name="Hipervínculo" xfId="10097" builtinId="8" hidden="1"/>
    <cellStyle name="Hipervínculo" xfId="2453" builtinId="8" hidden="1"/>
    <cellStyle name="Hipervínculo" xfId="2645" builtinId="8" hidden="1"/>
    <cellStyle name="Hipervínculo" xfId="8757" builtinId="8" hidden="1"/>
    <cellStyle name="Hipervínculo" xfId="3961" builtinId="8" hidden="1"/>
    <cellStyle name="Hipervínculo" xfId="2835" builtinId="8" hidden="1"/>
    <cellStyle name="Hipervínculo" xfId="9911" builtinId="8" hidden="1"/>
    <cellStyle name="Hipervínculo" xfId="645" builtinId="8" hidden="1"/>
    <cellStyle name="Hipervínculo" xfId="10473" builtinId="8" hidden="1"/>
    <cellStyle name="Hipervínculo" xfId="5553" builtinId="8" hidden="1"/>
    <cellStyle name="Hipervínculo" xfId="10181" builtinId="8" hidden="1"/>
    <cellStyle name="Hipervínculo" xfId="7697" builtinId="8" hidden="1"/>
    <cellStyle name="Hipervínculo" xfId="10971" builtinId="8" hidden="1"/>
    <cellStyle name="Hipervínculo" xfId="3685" builtinId="8" hidden="1"/>
    <cellStyle name="Hipervínculo" xfId="3901" builtinId="8" hidden="1"/>
    <cellStyle name="Hipervínculo" xfId="553" builtinId="8" hidden="1"/>
    <cellStyle name="Hipervínculo" xfId="2975" builtinId="8" hidden="1"/>
    <cellStyle name="Hipervínculo" xfId="3841" builtinId="8" hidden="1"/>
    <cellStyle name="Hipervínculo" xfId="2781" builtinId="8" hidden="1"/>
    <cellStyle name="Hipervínculo" xfId="5527" builtinId="8" hidden="1"/>
    <cellStyle name="Hipervínculo" xfId="8461" builtinId="8" hidden="1"/>
    <cellStyle name="Hipervínculo" xfId="9477" builtinId="8" hidden="1"/>
    <cellStyle name="Hipervínculo" xfId="7641" builtinId="8" hidden="1"/>
    <cellStyle name="Hipervínculo" xfId="3711" builtinId="8" hidden="1"/>
    <cellStyle name="Hipervínculo" xfId="7925" builtinId="8" hidden="1"/>
    <cellStyle name="Hipervínculo" xfId="271" builtinId="8" hidden="1"/>
    <cellStyle name="Hipervínculo" xfId="1647" builtinId="8" hidden="1"/>
    <cellStyle name="Hipervínculo" xfId="2539" builtinId="8" hidden="1"/>
    <cellStyle name="Hipervínculo" xfId="7121" builtinId="8" hidden="1"/>
    <cellStyle name="Hipervínculo" xfId="4479" builtinId="8" hidden="1"/>
    <cellStyle name="Hipervínculo" xfId="4473" builtinId="8" hidden="1"/>
    <cellStyle name="Hipervínculo" xfId="9545" builtinId="8" hidden="1"/>
    <cellStyle name="Hipervínculo" xfId="9421" builtinId="8" hidden="1"/>
    <cellStyle name="Hipervínculo" xfId="8339" builtinId="8" hidden="1"/>
    <cellStyle name="Hipervínculo" xfId="357" builtinId="8" hidden="1"/>
    <cellStyle name="Hipervínculo" xfId="10171" builtinId="8" hidden="1"/>
    <cellStyle name="Hipervínculo" xfId="8209" builtinId="8" hidden="1"/>
    <cellStyle name="Hipervínculo" xfId="3427" builtinId="8" hidden="1"/>
    <cellStyle name="Hipervínculo" xfId="1005" builtinId="8" hidden="1"/>
    <cellStyle name="Hipervínculo" xfId="2969" builtinId="8" hidden="1"/>
    <cellStyle name="Hipervínculo" xfId="10111" builtinId="8" hidden="1"/>
    <cellStyle name="Hipervínculo" xfId="8845" builtinId="8" hidden="1"/>
    <cellStyle name="Hipervínculo" xfId="1445" builtinId="8" hidden="1"/>
    <cellStyle name="Hipervínculo" xfId="5057" builtinId="8" hidden="1"/>
    <cellStyle name="Hipervínculo" xfId="10167" builtinId="8" hidden="1"/>
    <cellStyle name="Hipervínculo" xfId="1873" builtinId="8" hidden="1"/>
    <cellStyle name="Hipervínculo" xfId="8817" builtinId="8" hidden="1"/>
    <cellStyle name="Hipervínculo" xfId="8677" builtinId="8" hidden="1"/>
    <cellStyle name="Hipervínculo" xfId="5975" builtinId="8" hidden="1"/>
    <cellStyle name="Hipervínculo" xfId="10409" builtinId="8" hidden="1"/>
    <cellStyle name="Hipervínculo" xfId="7217" builtinId="8" hidden="1"/>
    <cellStyle name="Hipervínculo" xfId="9627" builtinId="8" hidden="1"/>
    <cellStyle name="Hipervínculo" xfId="1999" builtinId="8" hidden="1"/>
    <cellStyle name="Hipervínculo" xfId="5603" builtinId="8" hidden="1"/>
    <cellStyle name="Hipervínculo" xfId="2495" builtinId="8" hidden="1"/>
    <cellStyle name="Hipervínculo" xfId="571" builtinId="8" hidden="1"/>
    <cellStyle name="Hipervínculo" xfId="4109" builtinId="8" hidden="1"/>
    <cellStyle name="Hipervínculo" xfId="2639" builtinId="8" hidden="1"/>
    <cellStyle name="Hipervínculo" xfId="9313" builtinId="8" hidden="1"/>
    <cellStyle name="Hipervínculo" xfId="2183" builtinId="8" hidden="1"/>
    <cellStyle name="Hipervínculo" xfId="3899" builtinId="8" hidden="1"/>
    <cellStyle name="Hipervínculo" xfId="1663" builtinId="8" hidden="1"/>
    <cellStyle name="Hipervínculo" xfId="91" builtinId="8" hidden="1"/>
    <cellStyle name="Hipervínculo" xfId="3481" builtinId="8" hidden="1"/>
    <cellStyle name="Hipervínculo" xfId="3311" builtinId="8" hidden="1"/>
    <cellStyle name="Hipervínculo" xfId="6139" builtinId="8" hidden="1"/>
    <cellStyle name="Hipervínculo" xfId="8549" builtinId="8" hidden="1"/>
    <cellStyle name="Hipervínculo" xfId="8469" builtinId="8" hidden="1"/>
    <cellStyle name="Hipervínculo" xfId="2375" builtinId="8" hidden="1"/>
    <cellStyle name="Hipervínculo" xfId="4325" builtinId="8" hidden="1"/>
    <cellStyle name="Hipervínculo" xfId="10753" builtinId="8" hidden="1"/>
    <cellStyle name="Hipervínculo" xfId="3383" builtinId="8" hidden="1"/>
    <cellStyle name="Hipervínculo" xfId="721" builtinId="8" hidden="1"/>
    <cellStyle name="Hipervínculo" xfId="955" builtinId="8" hidden="1"/>
    <cellStyle name="Hipervínculo" xfId="7575" builtinId="8" hidden="1"/>
    <cellStyle name="Hipervínculo" xfId="6603" builtinId="8" hidden="1"/>
    <cellStyle name="Hipervínculo" xfId="5825" builtinId="8" hidden="1"/>
    <cellStyle name="Hipervínculo" xfId="2801" builtinId="8" hidden="1"/>
    <cellStyle name="Hipervínculo" xfId="5985" builtinId="8" hidden="1"/>
    <cellStyle name="Hipervínculo" xfId="9611" builtinId="8" hidden="1"/>
    <cellStyle name="Hipervínculo" xfId="3487" builtinId="8" hidden="1"/>
    <cellStyle name="Hipervínculo" xfId="2853" builtinId="8" hidden="1"/>
    <cellStyle name="Hipervínculo" xfId="793" builtinId="8" hidden="1"/>
    <cellStyle name="Hipervínculo" xfId="10641" builtinId="8" hidden="1"/>
    <cellStyle name="Hipervínculo" xfId="6291" builtinId="8" hidden="1"/>
    <cellStyle name="Hipervínculo" xfId="6379" builtinId="8" hidden="1"/>
    <cellStyle name="Hipervínculo" xfId="9229" builtinId="8" hidden="1"/>
    <cellStyle name="Hipervínculo" xfId="1629" builtinId="8" hidden="1"/>
    <cellStyle name="Hipervínculo" xfId="7387" builtinId="8" hidden="1"/>
    <cellStyle name="Hipervínculo" xfId="9445" builtinId="8" hidden="1"/>
    <cellStyle name="Hipervínculo" xfId="3597" builtinId="8" hidden="1"/>
    <cellStyle name="Hipervínculo" xfId="9517" builtinId="8" hidden="1"/>
    <cellStyle name="Hipervínculo" xfId="10699" builtinId="8" hidden="1"/>
    <cellStyle name="Hipervínculo" xfId="695" builtinId="8" hidden="1"/>
    <cellStyle name="Hipervínculo" xfId="11019" builtinId="8" hidden="1"/>
    <cellStyle name="Hipervínculo" xfId="3703" builtinId="8" hidden="1"/>
    <cellStyle name="Hipervínculo" xfId="7863" builtinId="8" hidden="1"/>
    <cellStyle name="Hipervínculo" xfId="3599" builtinId="8" hidden="1"/>
    <cellStyle name="Hipervínculo" xfId="1045" builtinId="8" hidden="1"/>
    <cellStyle name="Hipervínculo" xfId="10731" builtinId="8" hidden="1"/>
    <cellStyle name="Hipervínculo" xfId="9373" builtinId="8" hidden="1"/>
    <cellStyle name="Hipervínculo" xfId="4323" builtinId="8" hidden="1"/>
    <cellStyle name="Hipervínculo" xfId="7433" builtinId="8" hidden="1"/>
    <cellStyle name="Hipervínculo" xfId="6547" builtinId="8" hidden="1"/>
    <cellStyle name="Hipervínculo" xfId="2417" builtinId="8" hidden="1"/>
    <cellStyle name="Hipervínculo" xfId="7131" builtinId="8" hidden="1"/>
    <cellStyle name="Hipervínculo" xfId="2637" builtinId="8" hidden="1"/>
    <cellStyle name="Hipervínculo" xfId="1145" builtinId="8" hidden="1"/>
    <cellStyle name="Hipervínculo" xfId="10631" builtinId="8" hidden="1"/>
    <cellStyle name="Hipervínculo" xfId="9285" builtinId="8" hidden="1"/>
    <cellStyle name="Hipervínculo" xfId="373" builtinId="8" hidden="1"/>
    <cellStyle name="Hipervínculo" xfId="7913" builtinId="8" hidden="1"/>
    <cellStyle name="Hipervínculo" xfId="8943" builtinId="8" hidden="1"/>
    <cellStyle name="Hipervínculo" xfId="10007" builtinId="8" hidden="1"/>
    <cellStyle name="Hipervínculo" xfId="7157" builtinId="8" hidden="1"/>
    <cellStyle name="Hipervínculo" xfId="10961" builtinId="8" hidden="1"/>
    <cellStyle name="Hipervínculo" xfId="8335" builtinId="8" hidden="1"/>
    <cellStyle name="Hipervínculo" xfId="9217" builtinId="8" hidden="1"/>
    <cellStyle name="Hipervínculo" xfId="7955" builtinId="8" hidden="1"/>
    <cellStyle name="Hipervínculo" xfId="1097" builtinId="8" hidden="1"/>
    <cellStyle name="Hipervínculo" xfId="10735" builtinId="8" hidden="1"/>
    <cellStyle name="Hipervínculo" xfId="5807" builtinId="8" hidden="1"/>
    <cellStyle name="Hipervínculo" xfId="5159" builtinId="8" hidden="1"/>
    <cellStyle name="Hipervínculo" xfId="3015" builtinId="8" hidden="1"/>
    <cellStyle name="Hipervínculo" xfId="4025" builtinId="8" hidden="1"/>
    <cellStyle name="Hipervínculo" xfId="6211" builtinId="8" hidden="1"/>
    <cellStyle name="Hipervínculo" xfId="599" builtinId="8" hidden="1"/>
    <cellStyle name="Hipervínculo" xfId="8625" builtinId="8" hidden="1"/>
    <cellStyle name="Hipervínculo" xfId="8205" builtinId="8" hidden="1"/>
    <cellStyle name="Hipervínculo" xfId="911" builtinId="8" hidden="1"/>
    <cellStyle name="Hipervínculo" xfId="1591" builtinId="8" hidden="1"/>
    <cellStyle name="Hipervínculo" xfId="7451" builtinId="8" hidden="1"/>
    <cellStyle name="Hipervínculo" xfId="7477" builtinId="8" hidden="1"/>
    <cellStyle name="Hipervínculo" xfId="1723" builtinId="8" hidden="1"/>
    <cellStyle name="Hipervínculo" xfId="9641" builtinId="8" hidden="1"/>
    <cellStyle name="Hipervínculo" xfId="7467" builtinId="8" hidden="1"/>
    <cellStyle name="Hipervínculo" xfId="7189" builtinId="8" hidden="1"/>
    <cellStyle name="Hipervínculo" xfId="5723" builtinId="8" hidden="1"/>
    <cellStyle name="Hipervínculo" xfId="4799" builtinId="8" hidden="1"/>
    <cellStyle name="Hipervínculo" xfId="7115" builtinId="8" hidden="1"/>
    <cellStyle name="Hipervínculo" xfId="9949" builtinId="8" hidden="1"/>
    <cellStyle name="Hipervínculo" xfId="3133" builtinId="8" hidden="1"/>
    <cellStyle name="Hipervínculo" xfId="7881" builtinId="8" hidden="1"/>
    <cellStyle name="Hipervínculo" xfId="7341" builtinId="8" hidden="1"/>
    <cellStyle name="Hipervínculo" xfId="10585" builtinId="8" hidden="1"/>
    <cellStyle name="Hipervínculo" xfId="10189" builtinId="8" hidden="1"/>
    <cellStyle name="Hipervínculo" xfId="7355" builtinId="8" hidden="1"/>
    <cellStyle name="Hipervínculo" xfId="5143" builtinId="8" hidden="1"/>
    <cellStyle name="Hipervínculo" xfId="3259" builtinId="8" hidden="1"/>
    <cellStyle name="Hipervínculo" xfId="7461" builtinId="8" hidden="1"/>
    <cellStyle name="Hipervínculo" xfId="9689" builtinId="8" hidden="1"/>
    <cellStyle name="Hipervínculo" xfId="5669" builtinId="8" hidden="1"/>
    <cellStyle name="Hipervínculo" xfId="9165" builtinId="8" hidden="1"/>
    <cellStyle name="Hipervínculo" xfId="3653" builtinId="8" hidden="1"/>
    <cellStyle name="Hipervínculo" xfId="5041" builtinId="8" hidden="1"/>
    <cellStyle name="Hipervínculo" xfId="8735" builtinId="8" hidden="1"/>
    <cellStyle name="Hipervínculo" xfId="4997" builtinId="8" hidden="1"/>
    <cellStyle name="Hipervínculo" xfId="6967" builtinId="8" hidden="1"/>
    <cellStyle name="Hipervínculo" xfId="745" builtinId="8" hidden="1"/>
    <cellStyle name="Hipervínculo" xfId="10573" builtinId="8" hidden="1"/>
    <cellStyle name="Hipervínculo" xfId="8093" builtinId="8" hidden="1"/>
    <cellStyle name="Hipervínculo" xfId="1783" builtinId="8" hidden="1"/>
    <cellStyle name="Hipervínculo" xfId="209" builtinId="8" hidden="1"/>
    <cellStyle name="Hipervínculo" xfId="3977" builtinId="8" hidden="1"/>
    <cellStyle name="Hipervínculo" xfId="5485" builtinId="8" hidden="1"/>
    <cellStyle name="Hipervínculo" xfId="989" builtinId="8" hidden="1"/>
    <cellStyle name="Hipervínculo" xfId="9765" builtinId="8" hidden="1"/>
    <cellStyle name="Hipervínculo" xfId="8671" builtinId="8" hidden="1"/>
    <cellStyle name="Hipervínculo" xfId="87" builtinId="8" hidden="1"/>
    <cellStyle name="Hipervínculo" xfId="81" builtinId="8" hidden="1"/>
    <cellStyle name="Hipervínculo" xfId="6655" builtinId="8" hidden="1"/>
    <cellStyle name="Hipervínculo" xfId="1785" builtinId="8" hidden="1"/>
    <cellStyle name="Hipervínculo" xfId="7351" builtinId="8" hidden="1"/>
    <cellStyle name="Hipervínculo" xfId="525" builtinId="8" hidden="1"/>
    <cellStyle name="Hipervínculo" xfId="4411" builtinId="8" hidden="1"/>
    <cellStyle name="Hipervínculo" xfId="2603" builtinId="8" hidden="1"/>
    <cellStyle name="Hipervínculo" xfId="2325" builtinId="8" hidden="1"/>
    <cellStyle name="Hipervínculo" xfId="7591" builtinId="8" hidden="1"/>
    <cellStyle name="Hipervínculo" xfId="1811" builtinId="8" hidden="1"/>
    <cellStyle name="Hipervínculo" xfId="297" builtinId="8" hidden="1"/>
    <cellStyle name="Hipervínculo" xfId="6063" builtinId="8" hidden="1"/>
    <cellStyle name="Hipervínculo" xfId="5567" builtinId="8" hidden="1"/>
    <cellStyle name="Hipervínculo" xfId="125" builtinId="8" hidden="1"/>
    <cellStyle name="Hipervínculo" xfId="7851" builtinId="8" hidden="1"/>
    <cellStyle name="Hipervínculo" xfId="4487" builtinId="8" hidden="1"/>
    <cellStyle name="Hipervínculo" xfId="5607" builtinId="8" hidden="1"/>
    <cellStyle name="Hipervínculo" xfId="7457" builtinId="8" hidden="1"/>
    <cellStyle name="Hipervínculo" xfId="429" builtinId="8" hidden="1"/>
    <cellStyle name="Hipervínculo" xfId="4445" builtinId="8" hidden="1"/>
    <cellStyle name="Hipervínculo" xfId="3515" builtinId="8" hidden="1"/>
    <cellStyle name="Hipervínculo" xfId="8597" builtinId="8" hidden="1"/>
    <cellStyle name="Hipervínculo" xfId="3915" builtinId="8" hidden="1"/>
    <cellStyle name="Hipervínculo" xfId="4623" builtinId="8" hidden="1"/>
    <cellStyle name="Hipervínculo" xfId="4911" builtinId="8" hidden="1"/>
    <cellStyle name="Hipervínculo" xfId="9169" builtinId="8" hidden="1"/>
    <cellStyle name="Hipervínculo" xfId="1643" builtinId="8" hidden="1"/>
    <cellStyle name="Hipervínculo" xfId="8321" builtinId="8" hidden="1"/>
    <cellStyle name="Hipervínculo" xfId="539" builtinId="8" hidden="1"/>
    <cellStyle name="Hipervínculo" xfId="855" builtinId="8" hidden="1"/>
    <cellStyle name="Hipervínculo" xfId="9351" builtinId="8" hidden="1"/>
    <cellStyle name="Hipervínculo" xfId="181" builtinId="8" hidden="1"/>
    <cellStyle name="Hipervínculo" xfId="7485" builtinId="8" hidden="1"/>
    <cellStyle name="Hipervínculo" xfId="10941" builtinId="8" hidden="1"/>
    <cellStyle name="Hipervínculo" xfId="10093" builtinId="8" hidden="1"/>
    <cellStyle name="Hipervínculo" xfId="2431" builtinId="8" hidden="1"/>
    <cellStyle name="Hipervínculo" xfId="925" builtinId="8" hidden="1"/>
    <cellStyle name="Hipervínculo" xfId="2933" builtinId="8" hidden="1"/>
    <cellStyle name="Hipervínculo" xfId="2259" builtinId="8" hidden="1"/>
    <cellStyle name="Hipervínculo" xfId="915" builtinId="8" hidden="1"/>
    <cellStyle name="Hipervínculo" xfId="8281" builtinId="8" hidden="1"/>
    <cellStyle name="Hipervínculo" xfId="6959" builtinId="8" hidden="1"/>
    <cellStyle name="Hipervínculo" xfId="10455" builtinId="8" hidden="1"/>
    <cellStyle name="Hipervínculo" xfId="4839" builtinId="8" hidden="1"/>
    <cellStyle name="Hipervínculo" xfId="6785" builtinId="8" hidden="1"/>
    <cellStyle name="Hipervínculo" xfId="7849" builtinId="8" hidden="1"/>
    <cellStyle name="Hipervínculo" xfId="8739" builtinId="8" hidden="1"/>
    <cellStyle name="Hipervínculo" xfId="4033" builtinId="8" hidden="1"/>
    <cellStyle name="Hipervínculo" xfId="781" builtinId="8" hidden="1"/>
    <cellStyle name="Hipervínculo" xfId="4383" builtinId="8" hidden="1"/>
    <cellStyle name="Hipervínculo" xfId="2253" builtinId="8" hidden="1"/>
    <cellStyle name="Hipervínculo" xfId="5343" builtinId="8" hidden="1"/>
    <cellStyle name="Hipervínculo" xfId="969" builtinId="8" hidden="1"/>
    <cellStyle name="Hipervínculo" xfId="4923" builtinId="8" hidden="1"/>
    <cellStyle name="Hipervínculo" xfId="2123" builtinId="8" hidden="1"/>
    <cellStyle name="Hipervínculo" xfId="6293" builtinId="8" hidden="1"/>
    <cellStyle name="Hipervínculo" xfId="9821" builtinId="8" hidden="1"/>
    <cellStyle name="Hipervínculo" xfId="4657" builtinId="8" hidden="1"/>
    <cellStyle name="Hipervínculo" xfId="9861" builtinId="8" hidden="1"/>
    <cellStyle name="Hipervínculo" xfId="3975" builtinId="8" hidden="1"/>
    <cellStyle name="Hipervínculo" xfId="9989" builtinId="8" hidden="1"/>
    <cellStyle name="Hipervínculo" xfId="5067" builtinId="8" hidden="1"/>
    <cellStyle name="Hipervínculo" xfId="3039" builtinId="8" hidden="1"/>
    <cellStyle name="Hipervínculo" xfId="1419" builtinId="8" hidden="1"/>
    <cellStyle name="Hipervínculo" xfId="8131" builtinId="8" hidden="1"/>
    <cellStyle name="Hipervínculo" xfId="10683" builtinId="8" hidden="1"/>
    <cellStyle name="Hipervínculo" xfId="9797" builtinId="8" hidden="1"/>
    <cellStyle name="Hipervínculo" xfId="4189" builtinId="8" hidden="1"/>
    <cellStyle name="Hipervínculo" xfId="7573" builtinId="8" hidden="1"/>
    <cellStyle name="Hipervínculo" xfId="7907" builtinId="8" hidden="1"/>
    <cellStyle name="Hipervínculo" xfId="945" builtinId="8" hidden="1"/>
    <cellStyle name="Hipervínculo" xfId="7659" builtinId="8" hidden="1"/>
    <cellStyle name="Hipervínculo" xfId="43" builtinId="8" hidden="1"/>
    <cellStyle name="Hipervínculo" xfId="3935" builtinId="8" hidden="1"/>
    <cellStyle name="Hipervínculo" xfId="5399" builtinId="8" hidden="1"/>
    <cellStyle name="Hipervínculo" xfId="11011" builtinId="8" hidden="1"/>
    <cellStyle name="Hipervínculo" xfId="3421" builtinId="8" hidden="1"/>
    <cellStyle name="Hipervínculo" xfId="10547" builtinId="8" hidden="1"/>
    <cellStyle name="Hipervínculo" xfId="6149" builtinId="8" hidden="1"/>
    <cellStyle name="Hipervínculo" xfId="3785" builtinId="8" hidden="1"/>
    <cellStyle name="Hipervínculo" xfId="7765" builtinId="8" hidden="1"/>
    <cellStyle name="Hipervínculo" xfId="1409" builtinId="8" hidden="1"/>
    <cellStyle name="Hipervínculo" xfId="9599" builtinId="8" hidden="1"/>
    <cellStyle name="Hipervínculo" xfId="6571" builtinId="8" hidden="1"/>
    <cellStyle name="Hipervínculo" xfId="7035" builtinId="8" hidden="1"/>
    <cellStyle name="Hipervínculo" xfId="10797" builtinId="8" hidden="1"/>
    <cellStyle name="Hipervínculo" xfId="2461" builtinId="8" hidden="1"/>
    <cellStyle name="Hipervínculo" xfId="7103" builtinId="8" hidden="1"/>
    <cellStyle name="Hipervínculo" xfId="7437" builtinId="8" hidden="1"/>
    <cellStyle name="Hipervínculo" xfId="4943" builtinId="8" hidden="1"/>
    <cellStyle name="Hipervínculo" xfId="5785" builtinId="8" hidden="1"/>
    <cellStyle name="Hipervínculo" xfId="7769" builtinId="8" hidden="1"/>
    <cellStyle name="Hipervínculo" xfId="6811" builtinId="8" hidden="1"/>
    <cellStyle name="Hipervínculo" xfId="2515" builtinId="8" hidden="1"/>
    <cellStyle name="Hipervínculo" xfId="9897" builtinId="8" hidden="1"/>
    <cellStyle name="Hipervínculo" xfId="1195" builtinId="8" hidden="1"/>
    <cellStyle name="Hipervínculo" xfId="3079" builtinId="8" hidden="1"/>
    <cellStyle name="Hipervínculo" xfId="6295" builtinId="8" hidden="1"/>
    <cellStyle name="Hipervínculo" xfId="3447" builtinId="8" hidden="1"/>
    <cellStyle name="Hipervínculo" xfId="7137" builtinId="8" hidden="1"/>
    <cellStyle name="Hipervínculo" xfId="69" builtinId="8" hidden="1"/>
    <cellStyle name="Hipervínculo" xfId="2013" builtinId="8" hidden="1"/>
    <cellStyle name="Hipervínculo" xfId="8869" builtinId="8" hidden="1"/>
    <cellStyle name="Hipervínculo" xfId="507" builtinId="8" hidden="1"/>
    <cellStyle name="Hipervínculo" xfId="8415" builtinId="8" hidden="1"/>
    <cellStyle name="Hipervínculo" xfId="2427" builtinId="8" hidden="1"/>
    <cellStyle name="Hipervínculo" xfId="9005" builtinId="8" hidden="1"/>
    <cellStyle name="Hipervínculo" xfId="3267" builtinId="8" hidden="1"/>
    <cellStyle name="Hipervínculo" xfId="10951" builtinId="8" hidden="1"/>
    <cellStyle name="Hipervínculo" xfId="2045" builtinId="8" hidden="1"/>
    <cellStyle name="Hipervínculo" xfId="8465" builtinId="8" hidden="1"/>
    <cellStyle name="Hipervínculo" xfId="2001" builtinId="8" hidden="1"/>
    <cellStyle name="Hipervínculo" xfId="3647" builtinId="8" hidden="1"/>
    <cellStyle name="Hipervínculo" xfId="1715" builtinId="8" hidden="1"/>
    <cellStyle name="Hipervínculo" xfId="1619" builtinId="8" hidden="1"/>
    <cellStyle name="Hipervínculo" xfId="9647" builtinId="8" hidden="1"/>
    <cellStyle name="Hipervínculo" xfId="3557" builtinId="8" hidden="1"/>
    <cellStyle name="Hipervínculo" xfId="10725" builtinId="8" hidden="1"/>
    <cellStyle name="Hipervínculo" xfId="10275" builtinId="8" hidden="1"/>
    <cellStyle name="Hipervínculo" xfId="10145" builtinId="8" hidden="1"/>
    <cellStyle name="Hipervínculo" xfId="7213" builtinId="8" hidden="1"/>
    <cellStyle name="Hipervínculo" xfId="3573" builtinId="8" hidden="1"/>
    <cellStyle name="Hipervínculo" xfId="4315" builtinId="8" hidden="1"/>
    <cellStyle name="Hipervínculo" xfId="2825" builtinId="8" hidden="1"/>
    <cellStyle name="Hipervínculo" xfId="10785" builtinId="8" hidden="1"/>
    <cellStyle name="Hipervínculo" xfId="7813" builtinId="8" hidden="1"/>
    <cellStyle name="Hipervínculo" xfId="6505" builtinId="8" hidden="1"/>
    <cellStyle name="Hipervínculo" xfId="7087" builtinId="8" hidden="1"/>
    <cellStyle name="Hipervínculo" xfId="5285" builtinId="8" hidden="1"/>
    <cellStyle name="Hipervínculo" xfId="4149" builtinId="8" hidden="1"/>
    <cellStyle name="Hipervínculo" xfId="9819" builtinId="8" hidden="1"/>
    <cellStyle name="Hipervínculo" xfId="6279" builtinId="8" hidden="1"/>
    <cellStyle name="Hipervínculo" xfId="687" builtinId="8" hidden="1"/>
    <cellStyle name="Hipervínculo" xfId="5645" builtinId="8" hidden="1"/>
    <cellStyle name="Hipervínculo" xfId="9955" builtinId="8" hidden="1"/>
    <cellStyle name="Hipervínculo" xfId="1859" builtinId="8" hidden="1"/>
    <cellStyle name="Hipervínculo" xfId="8385" builtinId="8" hidden="1"/>
    <cellStyle name="Hipervínculo" xfId="7333" builtinId="8" hidden="1"/>
    <cellStyle name="Hipervínculo" xfId="2547" builtinId="8" hidden="1"/>
    <cellStyle name="Hipervínculo" xfId="3357" builtinId="8" hidden="1"/>
    <cellStyle name="Hipervínculo" xfId="10133" builtinId="8" hidden="1"/>
    <cellStyle name="Hipervínculo" xfId="1513" builtinId="8" hidden="1"/>
    <cellStyle name="Hipervínculo" xfId="10845" builtinId="8" hidden="1"/>
    <cellStyle name="Hipervínculo" xfId="9329" builtinId="8" hidden="1"/>
    <cellStyle name="Hipervínculo" xfId="2527" builtinId="8" hidden="1"/>
    <cellStyle name="Hipervínculo" xfId="6071" builtinId="8" hidden="1"/>
    <cellStyle name="Hipervínculo" xfId="11077" builtinId="8" hidden="1"/>
    <cellStyle name="Hipervínculo" xfId="4599" builtinId="8" hidden="1"/>
    <cellStyle name="Hipervínculo" xfId="6789" builtinId="8" hidden="1"/>
    <cellStyle name="Hipervínculo" xfId="10443" builtinId="8" hidden="1"/>
    <cellStyle name="Hipervínculo" xfId="9739" builtinId="8" hidden="1"/>
    <cellStyle name="Hipervínculo" xfId="6909" builtinId="8" hidden="1"/>
    <cellStyle name="Hipervínculo" xfId="7395" builtinId="8" hidden="1"/>
    <cellStyle name="Hipervínculo" xfId="9749" builtinId="8" hidden="1"/>
    <cellStyle name="Hipervínculo" xfId="10557" builtinId="8" hidden="1"/>
    <cellStyle name="Hipervínculo" xfId="519" builtinId="8" hidden="1"/>
    <cellStyle name="Hipervínculo" xfId="2457" builtinId="8" hidden="1"/>
    <cellStyle name="Hipervínculo" xfId="9415" builtinId="8" hidden="1"/>
    <cellStyle name="Hipervínculo" xfId="8295" builtinId="8" hidden="1"/>
    <cellStyle name="Hipervínculo" xfId="4523" builtinId="8" hidden="1"/>
    <cellStyle name="Hipervínculo" xfId="3699" builtinId="8" hidden="1"/>
    <cellStyle name="Hipervínculo" xfId="1019" builtinId="8" hidden="1"/>
    <cellStyle name="Hipervínculo" xfId="10781" builtinId="8" hidden="1"/>
    <cellStyle name="Hipervínculo" xfId="5867" builtinId="8" hidden="1"/>
    <cellStyle name="Hipervínculo" xfId="3381" builtinId="8" hidden="1"/>
    <cellStyle name="Hipervínculo" xfId="9317" builtinId="8" hidden="1"/>
    <cellStyle name="Hipervínculo" xfId="7109" builtinId="8" hidden="1"/>
    <cellStyle name="Hipervínculo" xfId="4403" builtinId="8" hidden="1"/>
    <cellStyle name="Hipervínculo" xfId="10321" builtinId="8" hidden="1"/>
    <cellStyle name="Hipervínculo" xfId="5653" builtinId="8" hidden="1"/>
    <cellStyle name="Hipervínculo" xfId="5833" builtinId="8" hidden="1"/>
    <cellStyle name="Hipervínculo" xfId="10119" builtinId="8" hidden="1"/>
    <cellStyle name="Hipervínculo" xfId="3559" builtinId="8" hidden="1"/>
    <cellStyle name="Hipervínculo" xfId="6629" builtinId="8" hidden="1"/>
    <cellStyle name="Hipervínculo" xfId="6867" builtinId="8" hidden="1"/>
    <cellStyle name="Hipervínculo" xfId="8113" builtinId="8" hidden="1"/>
    <cellStyle name="Hipervínculo" xfId="8057" builtinId="8" hidden="1"/>
    <cellStyle name="Hipervínculo" xfId="9849" builtinId="8" hidden="1"/>
    <cellStyle name="Hipervínculo" xfId="4581" builtinId="8" hidden="1"/>
    <cellStyle name="Hipervínculo" xfId="10755" builtinId="8" hidden="1"/>
    <cellStyle name="Hipervínculo" xfId="10945" builtinId="8" hidden="1"/>
    <cellStyle name="Hipervínculo" xfId="7727" builtinId="8" hidden="1"/>
    <cellStyle name="Hipervínculo" xfId="5407" builtinId="8" hidden="1"/>
    <cellStyle name="Hipervínculo" xfId="9149" builtinId="8" hidden="1"/>
    <cellStyle name="Hipervínculo" xfId="2443" builtinId="8" hidden="1"/>
    <cellStyle name="Hipervínculo" xfId="3945" builtinId="8" hidden="1"/>
    <cellStyle name="Hipervínculo" xfId="1555" builtinId="8" hidden="1"/>
    <cellStyle name="Hipervínculo" xfId="2093" builtinId="8" hidden="1"/>
    <cellStyle name="Hipervínculo" xfId="5167" builtinId="8" hidden="1"/>
    <cellStyle name="Hipervínculo" xfId="9909" builtinId="8" hidden="1"/>
    <cellStyle name="Hipervínculo" xfId="10249" builtinId="8" hidden="1"/>
    <cellStyle name="Hipervínculo" xfId="9101" builtinId="8" hidden="1"/>
    <cellStyle name="Hipervínculo" xfId="6037" builtinId="8" hidden="1"/>
    <cellStyle name="Hipervínculo" xfId="255" builtinId="8" hidden="1"/>
    <cellStyle name="Hipervínculo" xfId="1231" builtinId="8" hidden="1"/>
    <cellStyle name="Hipervínculo" xfId="1487" builtinId="8" hidden="1"/>
    <cellStyle name="Hipervínculo" xfId="3565" builtinId="8" hidden="1"/>
    <cellStyle name="Hipervínculo" xfId="933" builtinId="8" hidden="1"/>
    <cellStyle name="Hipervínculo" xfId="10953" builtinId="8" hidden="1"/>
    <cellStyle name="Hipervínculo" xfId="6043" builtinId="8" hidden="1"/>
    <cellStyle name="Hipervínculo" xfId="9987" builtinId="8" hidden="1"/>
    <cellStyle name="Hipervínculo" xfId="3075" builtinId="8" hidden="1"/>
    <cellStyle name="Hipervínculo" xfId="8829" builtinId="8" hidden="1"/>
    <cellStyle name="Hipervínculo" xfId="8111" builtinId="8" hidden="1"/>
    <cellStyle name="Hipervínculo" xfId="8763" builtinId="8" hidden="1"/>
    <cellStyle name="Hipervínculo" xfId="9563" builtinId="8" hidden="1"/>
    <cellStyle name="Hipervínculo" xfId="10771" builtinId="8" hidden="1"/>
    <cellStyle name="Hipervínculo" xfId="903" builtinId="8" hidden="1"/>
    <cellStyle name="Hipervínculo" xfId="5413" builtinId="8" hidden="1"/>
    <cellStyle name="Hipervínculo" xfId="7059" builtinId="8" hidden="1"/>
    <cellStyle name="Hipervínculo" xfId="7409" builtinId="8" hidden="1"/>
    <cellStyle name="Hipervínculo" xfId="1483" builtinId="8" hidden="1"/>
    <cellStyle name="Hipervínculo" xfId="10247" builtinId="8" hidden="1"/>
    <cellStyle name="Hipervínculo" xfId="3957" builtinId="8" hidden="1"/>
    <cellStyle name="Hipervínculo" xfId="4321" builtinId="8" hidden="1"/>
    <cellStyle name="Hipervínculo" xfId="8159" builtinId="8" hidden="1"/>
    <cellStyle name="Hipervínculo" xfId="10873" builtinId="8" hidden="1"/>
    <cellStyle name="Hipervínculo" xfId="5033" builtinId="8" hidden="1"/>
    <cellStyle name="Hipervínculo" xfId="10819" builtinId="8" hidden="1"/>
    <cellStyle name="Hipervínculo" xfId="10499" builtinId="8" hidden="1"/>
    <cellStyle name="Hipervínculo" xfId="4761" builtinId="8" hidden="1"/>
    <cellStyle name="Hipervínculo" xfId="1499" builtinId="8" hidden="1"/>
    <cellStyle name="Hipervínculo" xfId="7309" builtinId="8" hidden="1"/>
    <cellStyle name="Hipervínculo" xfId="6035" builtinId="8" hidden="1"/>
    <cellStyle name="Hipervínculo" xfId="167" builtinId="8" hidden="1"/>
    <cellStyle name="Hipervínculo" xfId="5675" builtinId="8" hidden="1"/>
    <cellStyle name="Hipervínculo" xfId="4053" builtinId="8" hidden="1"/>
    <cellStyle name="Hipervínculo" xfId="9691" builtinId="8" hidden="1"/>
    <cellStyle name="Hipervínculo" xfId="8443" builtinId="8" hidden="1"/>
    <cellStyle name="Hipervínculo" xfId="3587" builtinId="8" hidden="1"/>
    <cellStyle name="Hipervínculo" xfId="477" builtinId="8" hidden="1"/>
    <cellStyle name="Hipervínculo" xfId="8977" builtinId="8" hidden="1"/>
    <cellStyle name="Hipervínculo" xfId="1857" builtinId="8" hidden="1"/>
    <cellStyle name="Hipervínculo" xfId="10051" builtinId="8" hidden="1"/>
    <cellStyle name="Hipervínculo" xfId="9823" builtinId="8" hidden="1"/>
    <cellStyle name="Hipervínculo" xfId="5029" builtinId="8" hidden="1"/>
    <cellStyle name="Hipervínculo" xfId="10367" builtinId="8" hidden="1"/>
    <cellStyle name="Hipervínculo" xfId="5061" builtinId="8" hidden="1"/>
    <cellStyle name="Hipervínculo" xfId="2985" builtinId="8" hidden="1"/>
    <cellStyle name="Hipervínculo" xfId="8855" builtinId="8" hidden="1"/>
    <cellStyle name="Hipervínculo" xfId="10055" builtinId="8" hidden="1"/>
    <cellStyle name="Hipervínculo" xfId="4929" builtinId="8" hidden="1"/>
    <cellStyle name="Hipervínculo" xfId="10487" builtinId="8" hidden="1"/>
    <cellStyle name="Hipervínculo" xfId="6321" builtinId="8" hidden="1"/>
    <cellStyle name="Hipervínculo" xfId="7549" builtinId="8" hidden="1"/>
    <cellStyle name="Hipervínculo" xfId="9227" builtinId="8" hidden="1"/>
    <cellStyle name="Hipervínculo" xfId="10417" builtinId="8" hidden="1"/>
    <cellStyle name="Hipervínculo" xfId="5255" builtinId="8" hidden="1"/>
    <cellStyle name="Hipervínculo" xfId="6977" builtinId="8" hidden="1"/>
    <cellStyle name="Hipervínculo" xfId="8931" builtinId="8" hidden="1"/>
    <cellStyle name="Hipervínculo" xfId="8105" builtinId="8" hidden="1"/>
    <cellStyle name="Hipervínculo" xfId="5843" builtinId="8" hidden="1"/>
    <cellStyle name="Hipervínculo" xfId="10095" builtinId="8" hidden="1"/>
    <cellStyle name="Hipervínculo" xfId="6905" builtinId="8" hidden="1"/>
    <cellStyle name="Hipervínculo" xfId="7313" builtinId="8" hidden="1"/>
    <cellStyle name="Hipervínculo" xfId="3927" builtinId="8" hidden="1"/>
    <cellStyle name="Hipervínculo" xfId="5979" builtinId="8" hidden="1"/>
    <cellStyle name="Hipervínculo" xfId="9585" builtinId="8" hidden="1"/>
    <cellStyle name="Hipervínculo" xfId="6119" builtinId="8" hidden="1"/>
    <cellStyle name="Hipervínculo" xfId="5125" builtinId="8" hidden="1"/>
    <cellStyle name="Hipervínculo" xfId="6583" builtinId="8" hidden="1"/>
    <cellStyle name="Hipervínculo" xfId="8889" builtinId="8" hidden="1"/>
    <cellStyle name="Hipervínculo" xfId="3525" builtinId="8" hidden="1"/>
    <cellStyle name="Hipervínculo" xfId="5119" builtinId="8" hidden="1"/>
    <cellStyle name="Hipervínculo" xfId="3347" builtinId="8" hidden="1"/>
    <cellStyle name="Hipervínculo" xfId="4481" builtinId="8" hidden="1"/>
    <cellStyle name="Hipervínculo" xfId="2311" builtinId="8" hidden="1"/>
    <cellStyle name="Hipervínculo" xfId="1981" builtinId="8" hidden="1"/>
    <cellStyle name="Hipervínculo" xfId="5075" builtinId="8" hidden="1"/>
    <cellStyle name="Hipervínculo" xfId="4047" builtinId="8" hidden="1"/>
    <cellStyle name="Hipervínculo" xfId="4195" builtinId="8" hidden="1"/>
    <cellStyle name="Hipervínculo" xfId="4399" builtinId="8" hidden="1"/>
    <cellStyle name="Hipervínculo" xfId="5187" builtinId="8" hidden="1"/>
    <cellStyle name="Hipervínculo" xfId="8831" builtinId="8" hidden="1"/>
    <cellStyle name="Hipervínculo" xfId="9857" builtinId="8" hidden="1"/>
    <cellStyle name="Hipervínculo" xfId="995" builtinId="8" hidden="1"/>
    <cellStyle name="Hipervínculo" xfId="10901" builtinId="8" hidden="1"/>
    <cellStyle name="Hipervínculo" xfId="9157" builtinId="8" hidden="1"/>
    <cellStyle name="Hipervínculo" xfId="4229" builtinId="8" hidden="1"/>
    <cellStyle name="Hipervínculo" xfId="9079" builtinId="8" hidden="1"/>
    <cellStyle name="Hipervínculo" xfId="1437" builtinId="8" hidden="1"/>
    <cellStyle name="Hipervínculo" xfId="7683" builtinId="8" hidden="1"/>
    <cellStyle name="Hipervínculo" xfId="2577" builtinId="8" hidden="1"/>
    <cellStyle name="Hipervínculo" xfId="1949" builtinId="8" hidden="1"/>
    <cellStyle name="Hipervínculo" xfId="615" builtinId="8" hidden="1"/>
    <cellStyle name="Hipervínculo" xfId="4941" builtinId="8" hidden="1"/>
    <cellStyle name="Hipervínculo" xfId="7971" builtinId="8" hidden="1"/>
    <cellStyle name="Hipervínculo" xfId="3227" builtinId="8" hidden="1"/>
    <cellStyle name="Hipervínculo" xfId="1691" builtinId="8" hidden="1"/>
    <cellStyle name="Hipervínculo" xfId="11001" builtinId="8" hidden="1"/>
    <cellStyle name="Hipervínculo" xfId="1201" builtinId="8" hidden="1"/>
    <cellStyle name="Hipervínculo" xfId="10627" builtinId="8" hidden="1"/>
    <cellStyle name="Hipervínculo" xfId="10531" builtinId="8" hidden="1"/>
    <cellStyle name="Hipervínculo" xfId="4347" builtinId="8" hidden="1"/>
    <cellStyle name="Hipervínculo" xfId="5865" builtinId="8" hidden="1"/>
    <cellStyle name="Hipervínculo" xfId="2341" builtinId="8" hidden="1"/>
    <cellStyle name="Hipervínculo" xfId="5977" builtinId="8" hidden="1"/>
    <cellStyle name="Hipervínculo" xfId="5747" builtinId="8" hidden="1"/>
    <cellStyle name="Hipervínculo" xfId="5051" builtinId="8" hidden="1"/>
    <cellStyle name="Hipervínculo" xfId="3285" builtinId="8" hidden="1"/>
    <cellStyle name="Hipervínculo" xfId="6195" builtinId="8" hidden="1"/>
    <cellStyle name="Hipervínculo" xfId="785" builtinId="8" hidden="1"/>
    <cellStyle name="Hipervínculo" xfId="4615" builtinId="8" hidden="1"/>
    <cellStyle name="Hipervínculo" xfId="3119" builtinId="8" hidden="1"/>
    <cellStyle name="Hipervínculo" xfId="5103" builtinId="8" hidden="1"/>
    <cellStyle name="Hipervínculo" xfId="1669" builtinId="8" hidden="1"/>
    <cellStyle name="Hipervínculo" xfId="10107" builtinId="8" hidden="1"/>
    <cellStyle name="Hipervínculo" xfId="2257" builtinId="8" hidden="1"/>
    <cellStyle name="Hipervínculo" xfId="10019" builtinId="8" hidden="1"/>
    <cellStyle name="Hipervínculo" xfId="5415" builtinId="8" hidden="1"/>
    <cellStyle name="Hipervínculo" xfId="7089" builtinId="8" hidden="1"/>
    <cellStyle name="Hipervínculo" xfId="5505" builtinId="8" hidden="1"/>
    <cellStyle name="Hipervínculo" xfId="9447" builtinId="8" hidden="1"/>
    <cellStyle name="Hipervínculo" xfId="2081" builtinId="8" hidden="1"/>
    <cellStyle name="Hipervínculo" xfId="6881" builtinId="8" hidden="1"/>
    <cellStyle name="Hipervínculo" xfId="809" builtinId="8" hidden="1"/>
    <cellStyle name="Hipervínculo" xfId="8587" builtinId="8" hidden="1"/>
    <cellStyle name="Hipervínculo" xfId="9527" builtinId="8" hidden="1"/>
    <cellStyle name="Hipervínculo" xfId="10339" builtinId="8" hidden="1"/>
    <cellStyle name="Hipervínculo" xfId="5767" builtinId="8" hidden="1"/>
    <cellStyle name="Hipervínculo" xfId="6587" builtinId="8" hidden="1"/>
    <cellStyle name="Hipervínculo" xfId="10803" builtinId="8" hidden="1"/>
    <cellStyle name="Hipervínculo" xfId="8909" builtinId="8" hidden="1"/>
    <cellStyle name="Hipervínculo" xfId="6577" builtinId="8" hidden="1"/>
    <cellStyle name="Hipervínculo" xfId="4971" builtinId="8" hidden="1"/>
    <cellStyle name="Hipervínculo" xfId="3341" builtinId="8" hidden="1"/>
    <cellStyle name="Hipervínculo" xfId="6973" builtinId="8" hidden="1"/>
    <cellStyle name="Hipervínculo" xfId="3581" builtinId="8" hidden="1"/>
    <cellStyle name="Hipervínculo" xfId="2631" builtinId="8" hidden="1"/>
    <cellStyle name="Hipervínculo" xfId="8129" builtinId="8" hidden="1"/>
    <cellStyle name="Hipervínculo" xfId="5289" builtinId="8" hidden="1"/>
    <cellStyle name="Hipervínculo" xfId="8127" builtinId="8" hidden="1"/>
    <cellStyle name="Hipervínculo" xfId="6059" builtinId="8" hidden="1"/>
    <cellStyle name="Hipervínculo" xfId="9159" builtinId="8" hidden="1"/>
    <cellStyle name="Hipervínculo" xfId="2775" builtinId="8" hidden="1"/>
    <cellStyle name="Hipervínculo" xfId="6415" builtinId="8" hidden="1"/>
    <cellStyle name="Hipervínculo" xfId="9001" builtinId="8" hidden="1"/>
    <cellStyle name="Hipervínculo" xfId="10857" builtinId="8" hidden="1"/>
    <cellStyle name="Hipervínculo" xfId="7905" builtinId="8" hidden="1"/>
    <cellStyle name="Hipervínculo" xfId="2747" builtinId="8" hidden="1"/>
    <cellStyle name="Hipervínculo" xfId="1165" builtinId="8" hidden="1"/>
    <cellStyle name="Hipervínculo" xfId="3657" builtinId="8" hidden="1"/>
    <cellStyle name="Hipervínculo" xfId="7257" builtinId="8" hidden="1"/>
    <cellStyle name="Hipervínculo" xfId="2387" builtinId="8" hidden="1"/>
    <cellStyle name="Hipervínculo" xfId="9389" builtinId="8" hidden="1"/>
    <cellStyle name="Hipervínculo" xfId="4573" builtinId="8" hidden="1"/>
    <cellStyle name="Hipervínculo" xfId="7459" builtinId="8" hidden="1"/>
    <cellStyle name="Hipervínculo" xfId="8433" builtinId="8" hidden="1"/>
    <cellStyle name="Hipervínculo" xfId="8935" builtinId="8" hidden="1"/>
    <cellStyle name="Hipervínculo" xfId="8215" builtinId="8" hidden="1"/>
    <cellStyle name="Hipervínculo" xfId="3613" builtinId="8" hidden="1"/>
    <cellStyle name="Hipervínculo" xfId="2181" builtinId="8" hidden="1"/>
    <cellStyle name="Hipervínculo" xfId="7391" builtinId="8" hidden="1"/>
    <cellStyle name="Hipervínculo" xfId="4005" builtinId="8" hidden="1"/>
    <cellStyle name="Hipervínculo" xfId="4263" builtinId="8" hidden="1"/>
    <cellStyle name="Hipervínculo" xfId="10823" builtinId="8" hidden="1"/>
    <cellStyle name="Hipervínculo" xfId="1151" builtinId="8" hidden="1"/>
    <cellStyle name="Hipervínculo" xfId="5611" builtinId="8" hidden="1"/>
    <cellStyle name="Hipervínculo" xfId="7695" builtinId="8" hidden="1"/>
    <cellStyle name="Hipervínculo" xfId="10175" builtinId="8" hidden="1"/>
    <cellStyle name="Hipervínculo" xfId="551" builtinId="8" hidden="1"/>
    <cellStyle name="Hipervínculo" xfId="495" builtinId="8" hidden="1"/>
    <cellStyle name="Hipervínculo" xfId="205" builtinId="8" hidden="1"/>
    <cellStyle name="Hipervínculo" xfId="5023" builtinId="8" hidden="1"/>
    <cellStyle name="Hipervínculo" xfId="1587" builtinId="8" hidden="1"/>
    <cellStyle name="Hipervínculo" xfId="11009" builtinId="8" hidden="1"/>
    <cellStyle name="Hipervínculo" xfId="4663" builtinId="8" hidden="1"/>
    <cellStyle name="Hipervínculo" xfId="9875" builtinId="8" hidden="1"/>
    <cellStyle name="Hipervínculo" xfId="2015" builtinId="8" hidden="1"/>
    <cellStyle name="Hipervínculo" xfId="6305" builtinId="8" hidden="1"/>
    <cellStyle name="Hipervínculo" xfId="2945" builtinId="8" hidden="1"/>
    <cellStyle name="Hipervínculo" xfId="4163" builtinId="8" hidden="1"/>
    <cellStyle name="Hipervínculo" xfId="947" builtinId="8" hidden="1"/>
    <cellStyle name="Hipervínculo" xfId="3403" builtinId="8" hidden="1"/>
    <cellStyle name="Hipervínculo" xfId="7579" builtinId="8" hidden="1"/>
    <cellStyle name="Hipervínculo" xfId="2529" builtinId="8" hidden="1"/>
    <cellStyle name="Hipervínculo" xfId="8363" builtinId="8" hidden="1"/>
    <cellStyle name="Hipervínculo" xfId="7707" builtinId="8" hidden="1"/>
    <cellStyle name="Hipervínculo" xfId="6521" builtinId="8" hidden="1"/>
    <cellStyle name="Hipervínculo" xfId="1091" builtinId="8" hidden="1"/>
    <cellStyle name="Hipervínculo" xfId="5375" builtinId="8" hidden="1"/>
    <cellStyle name="Hipervínculo" xfId="7825" builtinId="8" hidden="1"/>
    <cellStyle name="Hipervínculo" xfId="8745" builtinId="8" hidden="1"/>
    <cellStyle name="Hipervínculo" xfId="11053" builtinId="8" hidden="1"/>
    <cellStyle name="Hipervínculo" xfId="7721" builtinId="8" hidden="1"/>
    <cellStyle name="Hipervínculo" xfId="885" builtinId="8" hidden="1"/>
    <cellStyle name="Hipervínculo" xfId="9813" builtinId="8" hidden="1"/>
    <cellStyle name="Hipervínculo" xfId="7447" builtinId="8" hidden="1"/>
    <cellStyle name="Hipervínculo" xfId="145" builtinId="8" hidden="1"/>
    <cellStyle name="Hipervínculo" xfId="4415" builtinId="8" hidden="1"/>
    <cellStyle name="Hipervínculo" xfId="9971" builtinId="8" hidden="1"/>
    <cellStyle name="Hipervínculo" xfId="6533" builtinId="8" hidden="1"/>
    <cellStyle name="Hipervínculo" xfId="681" builtinId="8" hidden="1"/>
    <cellStyle name="Hipervínculo" xfId="605" builtinId="8" hidden="1"/>
    <cellStyle name="Hipervínculo" xfId="9643" builtinId="8" hidden="1"/>
    <cellStyle name="Hipervínculo" xfId="5953" builtinId="8" hidden="1"/>
    <cellStyle name="Hipervínculo" xfId="1893" builtinId="8" hidden="1"/>
    <cellStyle name="Hipervínculo" xfId="8453" builtinId="8" hidden="1"/>
    <cellStyle name="Hipervínculo" xfId="7281" builtinId="8" hidden="1"/>
    <cellStyle name="Hipervínculo" xfId="335" builtinId="8" hidden="1"/>
    <cellStyle name="Hipervínculo" xfId="2075" builtinId="8" hidden="1"/>
    <cellStyle name="Hipervínculo" xfId="10157" builtinId="8" hidden="1"/>
    <cellStyle name="Hipervínculo" xfId="3687" builtinId="8" hidden="1"/>
    <cellStyle name="Hipervínculo" xfId="3371" builtinId="8" hidden="1"/>
    <cellStyle name="Hipervínculo" xfId="133" builtinId="8" hidden="1"/>
    <cellStyle name="Hipervínculo" xfId="501" builtinId="8" hidden="1"/>
    <cellStyle name="Hipervínculo" xfId="6449" builtinId="8" hidden="1"/>
    <cellStyle name="Hipervínculo" xfId="8593" builtinId="8" hidden="1"/>
    <cellStyle name="Hipervínculo" xfId="6181" builtinId="8" hidden="1"/>
    <cellStyle name="Hipervínculo" xfId="2739" builtinId="8" hidden="1"/>
    <cellStyle name="Hipervínculo" xfId="105" builtinId="8" hidden="1"/>
    <cellStyle name="Hipervínculo" xfId="9705" builtinId="8" hidden="1"/>
    <cellStyle name="Hipervínculo" xfId="7781" builtinId="8" hidden="1"/>
    <cellStyle name="Hipervínculo" xfId="5469" builtinId="8" hidden="1"/>
    <cellStyle name="Hipervínculo" xfId="3245" builtinId="8" hidden="1"/>
    <cellStyle name="Hipervínculo" xfId="10331" builtinId="8" hidden="1"/>
    <cellStyle name="Hipervínculo" xfId="639" builtinId="8" hidden="1"/>
    <cellStyle name="Hipervínculo" xfId="7525" builtinId="8" hidden="1"/>
    <cellStyle name="Hipervínculo" xfId="4697" builtinId="8" hidden="1"/>
    <cellStyle name="Hipervínculo" xfId="6407" builtinId="8" hidden="1"/>
    <cellStyle name="Hipervínculo" xfId="347" builtinId="8" hidden="1"/>
    <cellStyle name="Hipervínculo" xfId="7231" builtinId="8" hidden="1"/>
    <cellStyle name="Hipervínculo" xfId="1505" builtinId="8" hidden="1"/>
    <cellStyle name="Hipervínculo" xfId="8563" builtinId="8" hidden="1"/>
    <cellStyle name="Hipervínculo" xfId="3407" builtinId="8" hidden="1"/>
    <cellStyle name="Hipervínculo" xfId="1069" builtinId="8" hidden="1"/>
    <cellStyle name="Hipervínculo" xfId="7833" builtinId="8" hidden="1"/>
    <cellStyle name="Hipervínculo" xfId="355" builtinId="8" hidden="1"/>
    <cellStyle name="Hipervínculo" xfId="4857" builtinId="8" hidden="1"/>
    <cellStyle name="Hipervínculo" xfId="10645" builtinId="8" hidden="1"/>
    <cellStyle name="Hipervínculo" xfId="1687" builtinId="8" hidden="1"/>
    <cellStyle name="Hipervínculo" xfId="1361" builtinId="8" hidden="1"/>
    <cellStyle name="Hipervínculo" xfId="6461" builtinId="8" hidden="1"/>
    <cellStyle name="Hipervínculo" xfId="3095" builtinId="8" hidden="1"/>
    <cellStyle name="Hipervínculo" xfId="175" builtinId="8" hidden="1"/>
    <cellStyle name="Hipervínculo" xfId="3751" builtinId="8" hidden="1"/>
    <cellStyle name="Hipervínculo" xfId="379" builtinId="8" hidden="1"/>
    <cellStyle name="Hipervínculo" xfId="10475" builtinId="8" hidden="1"/>
    <cellStyle name="Hipervínculo" xfId="10623" builtinId="8" hidden="1"/>
    <cellStyle name="Hipervínculo" xfId="6201" builtinId="8" hidden="1"/>
    <cellStyle name="Hipervínculo" xfId="8541" builtinId="8" hidden="1"/>
    <cellStyle name="Hipervínculo" xfId="4183" builtinId="8" hidden="1"/>
    <cellStyle name="Hipervínculo" xfId="3641" builtinId="8" hidden="1"/>
    <cellStyle name="Hipervínculo" xfId="5913" builtinId="8" hidden="1"/>
    <cellStyle name="Hipervínculo" xfId="3839" builtinId="8" hidden="1"/>
    <cellStyle name="Hipervínculo" xfId="1139" builtinId="8" hidden="1"/>
    <cellStyle name="Hipervínculo" xfId="5743" builtinId="8" hidden="1"/>
    <cellStyle name="Hipervínculo" xfId="8521" builtinId="8" hidden="1"/>
    <cellStyle name="Hipervínculo" xfId="1129" builtinId="8" hidden="1"/>
    <cellStyle name="Hipervínculo" xfId="1755" builtinId="8" hidden="1"/>
    <cellStyle name="Hipervínculo" xfId="3535" builtinId="8" hidden="1"/>
    <cellStyle name="Hipervínculo" xfId="4847" builtinId="8" hidden="1"/>
    <cellStyle name="Hipervínculo" xfId="5845" builtinId="8" hidden="1"/>
    <cellStyle name="Hipervínculo" xfId="1633" builtinId="8" hidden="1"/>
    <cellStyle name="Hipervínculo" xfId="10805" builtinId="8" hidden="1"/>
    <cellStyle name="Hipervínculo" xfId="7909" builtinId="8" hidden="1"/>
    <cellStyle name="Hipervínculo" xfId="1693" builtinId="8" hidden="1"/>
    <cellStyle name="Hipervínculo" xfId="3605" builtinId="8" hidden="1"/>
    <cellStyle name="Hipervínculo" xfId="9677" builtinId="8" hidden="1"/>
    <cellStyle name="Hipervínculo" xfId="2111" builtinId="8" hidden="1"/>
    <cellStyle name="Hipervínculo" xfId="8479" builtinId="8" hidden="1"/>
    <cellStyle name="Hipervínculo" xfId="6927" builtinId="8" hidden="1"/>
    <cellStyle name="Hipervínculo" xfId="2327" builtinId="8" hidden="1"/>
    <cellStyle name="Hipervínculo" xfId="8819" builtinId="8" hidden="1"/>
    <cellStyle name="Hipervínculo" xfId="9037" builtinId="8" hidden="1"/>
    <cellStyle name="Hipervínculo" xfId="5257" builtinId="8" hidden="1"/>
    <cellStyle name="Hipervínculo" xfId="1109" builtinId="8" hidden="1"/>
    <cellStyle name="Hipervínculo" xfId="10535" builtinId="8" hidden="1"/>
    <cellStyle name="Hipervínculo" xfId="10729" builtinId="8" hidden="1"/>
    <cellStyle name="Hipervínculo" xfId="10103" builtinId="8" hidden="1"/>
    <cellStyle name="Hipervínculo" xfId="8275" builtinId="8" hidden="1"/>
    <cellStyle name="Hipervínculo" xfId="4531" builtinId="8" hidden="1"/>
    <cellStyle name="Hipervínculo" xfId="5365" builtinId="8" hidden="1"/>
    <cellStyle name="Hipervínculo" xfId="10609" builtinId="8" hidden="1"/>
    <cellStyle name="Hipervínculo" xfId="9225" builtinId="8" hidden="1"/>
    <cellStyle name="Hipervínculo" xfId="10439" builtinId="8" hidden="1"/>
    <cellStyle name="Hipervínculo" xfId="10371" builtinId="8" hidden="1"/>
    <cellStyle name="Hipervínculo" xfId="2957" builtinId="8" hidden="1"/>
    <cellStyle name="Hipervínculo" xfId="1423" builtinId="8" hidden="1"/>
    <cellStyle name="Hipervínculo" xfId="9503" builtinId="8" hidden="1"/>
    <cellStyle name="Hipervínculo" xfId="7207" builtinId="8" hidden="1"/>
    <cellStyle name="Hipervínculo" xfId="7737" builtinId="8" hidden="1"/>
    <cellStyle name="Hipervínculo" xfId="6997" builtinId="8" hidden="1"/>
    <cellStyle name="Hipervínculo" xfId="10639" builtinId="8" hidden="1"/>
    <cellStyle name="Hipervínculo" xfId="6463" builtinId="8" hidden="1"/>
    <cellStyle name="Hipervínculo" xfId="1127" builtinId="8" hidden="1"/>
    <cellStyle name="Hipervínculo" xfId="1747" builtinId="8" hidden="1"/>
    <cellStyle name="Hipervínculo" xfId="703" builtinId="8" hidden="1"/>
    <cellStyle name="Hipervínculo" xfId="9179" builtinId="8" hidden="1"/>
    <cellStyle name="Hipervínculo" xfId="8445" builtinId="8" hidden="1"/>
    <cellStyle name="Hipervínculo" xfId="9901" builtinId="8" hidden="1"/>
    <cellStyle name="Hipervínculo" xfId="6599" builtinId="8" hidden="1"/>
    <cellStyle name="Hipervínculo" xfId="10663" builtinId="8" hidden="1"/>
    <cellStyle name="Hipervínculo" xfId="2899" builtinId="8" hidden="1"/>
    <cellStyle name="Hipervínculo" xfId="8679" builtinId="8" hidden="1"/>
    <cellStyle name="Hipervínculo" xfId="5115" builtinId="8" hidden="1"/>
    <cellStyle name="Hipervínculo" xfId="7159" builtinId="8" hidden="1"/>
    <cellStyle name="Hipervínculo" xfId="33" builtinId="8" hidden="1"/>
    <cellStyle name="Hipervínculo" xfId="5283" builtinId="8" hidden="1"/>
    <cellStyle name="Hipervínculo" xfId="6611" builtinId="8" hidden="1"/>
    <cellStyle name="Hipervínculo" xfId="5695" builtinId="8" hidden="1"/>
    <cellStyle name="Hipervínculo" xfId="3465" builtinId="8" hidden="1"/>
    <cellStyle name="Hipervínculo" xfId="9887" builtinId="8" hidden="1"/>
    <cellStyle name="Hipervínculo" xfId="10363" builtinId="8" hidden="1"/>
    <cellStyle name="Hipervínculo" xfId="10867" builtinId="8" hidden="1"/>
    <cellStyle name="Hipervínculo" xfId="2345" builtinId="8" hidden="1"/>
    <cellStyle name="Hipervínculo" xfId="2247" builtinId="8" hidden="1"/>
    <cellStyle name="Hipervínculo" xfId="5069" builtinId="8" hidden="1"/>
    <cellStyle name="Hipervínculo" xfId="3069" builtinId="8" hidden="1"/>
    <cellStyle name="Hipervínculo" xfId="2673" builtinId="8" hidden="1"/>
    <cellStyle name="Hipervínculo" xfId="10605" builtinId="8" hidden="1"/>
    <cellStyle name="Hipervínculo" xfId="4043" builtinId="8" hidden="1"/>
    <cellStyle name="Hipervínculo" xfId="1405" builtinId="8" hidden="1"/>
    <cellStyle name="Hipervínculo" xfId="6065" builtinId="8" hidden="1"/>
    <cellStyle name="Hipervínculo" xfId="161" builtinId="8" hidden="1"/>
    <cellStyle name="Hipervínculo" xfId="2079" builtinId="8" hidden="1"/>
    <cellStyle name="Hipervínculo" xfId="6403" builtinId="8" hidden="1"/>
    <cellStyle name="Hipervínculo" xfId="10563" builtinId="8" hidden="1"/>
    <cellStyle name="Hipervínculo" xfId="8387" builtinId="8" hidden="1"/>
    <cellStyle name="Hipervínculo" xfId="3161" builtinId="8" hidden="1"/>
    <cellStyle name="Hipervínculo" xfId="4365" builtinId="8" hidden="1"/>
    <cellStyle name="Hipervínculo" xfId="1899" builtinId="8" hidden="1"/>
    <cellStyle name="Hipervínculo" xfId="4769" builtinId="8" hidden="1"/>
    <cellStyle name="Hipervínculo" xfId="6715" builtinId="8" hidden="1"/>
    <cellStyle name="Hipervínculo" xfId="5711" builtinId="8" hidden="1"/>
    <cellStyle name="Hipervínculo" xfId="7367" builtinId="8" hidden="1"/>
    <cellStyle name="Hipervínculo" xfId="8161" builtinId="8" hidden="1"/>
    <cellStyle name="Hipervínculo" xfId="1943" builtinId="8" hidden="1"/>
    <cellStyle name="Hipervínculo" xfId="311" builtinId="8" hidden="1"/>
    <cellStyle name="Hipervínculo" xfId="6627" builtinId="8" hidden="1"/>
    <cellStyle name="Hipervínculo" xfId="5733" builtinId="8" hidden="1"/>
    <cellStyle name="Hipervínculo" xfId="4409" builtinId="8" hidden="1"/>
    <cellStyle name="Hipervínculo" xfId="1193" builtinId="8" hidden="1"/>
    <cellStyle name="Hipervínculo" xfId="1727" builtinId="8" hidden="1"/>
    <cellStyle name="Hipervínculo" xfId="7039" builtinId="8" hidden="1"/>
    <cellStyle name="Hipervínculo" xfId="3677" builtinId="8" hidden="1"/>
    <cellStyle name="Hipervínculo" xfId="7377" builtinId="8" hidden="1"/>
    <cellStyle name="Hipervínculo" xfId="1311" builtinId="8" hidden="1"/>
    <cellStyle name="Hipervínculo" xfId="4709" builtinId="8" hidden="1"/>
    <cellStyle name="Hipervínculo" xfId="3579" builtinId="8" hidden="1"/>
    <cellStyle name="Hipervínculo" xfId="2307" builtinId="8" hidden="1"/>
    <cellStyle name="Hipervínculo" xfId="2817" builtinId="8" hidden="1"/>
    <cellStyle name="Hipervínculo" xfId="5565" builtinId="8" hidden="1"/>
    <cellStyle name="Hipervínculo" xfId="6555" builtinId="8" hidden="1"/>
    <cellStyle name="Hipervínculo" xfId="1411" builtinId="8" hidden="1"/>
    <cellStyle name="Hipervínculo" xfId="6159" builtinId="8" hidden="1"/>
    <cellStyle name="Hipervínculo" xfId="3413" builtinId="8" hidden="1"/>
    <cellStyle name="Hipervínculo" xfId="6341" builtinId="8" hidden="1"/>
    <cellStyle name="Hipervínculo" xfId="7603" builtinId="8" hidden="1"/>
    <cellStyle name="Hipervínculo" xfId="3219" builtinId="8" hidden="1"/>
    <cellStyle name="Hipervínculo" xfId="4985" builtinId="8" hidden="1"/>
    <cellStyle name="Hipervínculo" xfId="29" builtinId="8" hidden="1"/>
    <cellStyle name="Hipervínculo" xfId="8157" builtinId="8" hidden="1"/>
    <cellStyle name="Hipervínculo" xfId="8517" builtinId="8" hidden="1"/>
    <cellStyle name="Hipervínculo" xfId="7097" builtinId="8" hidden="1"/>
    <cellStyle name="Hipervínculo" xfId="4019" builtinId="8" hidden="1"/>
    <cellStyle name="Hipervínculo" xfId="10207" builtinId="8" hidden="1"/>
    <cellStyle name="Hipervínculo" xfId="2513" builtinId="8" hidden="1"/>
    <cellStyle name="Hipervínculo" xfId="4601" builtinId="8" hidden="1"/>
    <cellStyle name="Hipervínculo" xfId="5703" builtinId="8" hidden="1"/>
    <cellStyle name="Hipervínculo" xfId="1793" builtinId="8" hidden="1"/>
    <cellStyle name="Hipervínculo" xfId="4953" builtinId="8" hidden="1"/>
    <cellStyle name="Hipervínculo" xfId="7567" builtinId="8" hidden="1"/>
    <cellStyle name="Hipervínculo" xfId="6003" builtinId="8" hidden="1"/>
    <cellStyle name="Hipervínculo" xfId="1847" builtinId="8" hidden="1"/>
    <cellStyle name="Hipervínculo" xfId="9741" builtinId="8" hidden="1"/>
    <cellStyle name="Hipervínculo" xfId="299" builtinId="8" hidden="1"/>
    <cellStyle name="Hipervínculo" xfId="2523" builtinId="8" hidden="1"/>
    <cellStyle name="Hipervínculo" xfId="4659" builtinId="8" hidden="1"/>
    <cellStyle name="Hipervínculo" xfId="267" builtinId="8" hidden="1"/>
    <cellStyle name="Hipervínculo" xfId="3773" builtinId="8" hidden="1"/>
    <cellStyle name="Hipervínculo" xfId="6593" builtinId="8" hidden="1"/>
    <cellStyle name="Hipervínculo" xfId="1729" builtinId="8" hidden="1"/>
    <cellStyle name="Hipervínculo" xfId="403" builtinId="8" hidden="1"/>
    <cellStyle name="Hipervínculo" xfId="8893" builtinId="8" hidden="1"/>
    <cellStyle name="Hipervínculo" xfId="8839" builtinId="8" hidden="1"/>
    <cellStyle name="Hipervínculo" xfId="1997" builtinId="8" hidden="1"/>
    <cellStyle name="Hipervínculo" xfId="1769" builtinId="8" hidden="1"/>
    <cellStyle name="Hipervínculo" xfId="1897" builtinId="8" hidden="1"/>
    <cellStyle name="Hipervínculo" xfId="4101" builtinId="8" hidden="1"/>
    <cellStyle name="Hipervínculo" xfId="7083" builtinId="8" hidden="1"/>
    <cellStyle name="Hipervínculo" xfId="4687" builtinId="8" hidden="1"/>
    <cellStyle name="Hipervínculo" xfId="411" builtinId="8" hidden="1"/>
    <cellStyle name="Hipervínculo" xfId="8771" builtinId="8" hidden="1"/>
    <cellStyle name="Hipervínculo" xfId="5707" builtinId="8" hidden="1"/>
    <cellStyle name="Hipervínculo" xfId="3193" builtinId="8" hidden="1"/>
    <cellStyle name="Hipervínculo" xfId="7761" builtinId="8" hidden="1"/>
    <cellStyle name="Hipervínculo" xfId="4131" builtinId="8" hidden="1"/>
    <cellStyle name="Hipervínculo" xfId="6441" builtinId="8" hidden="1"/>
    <cellStyle name="Hipervínculo" xfId="2625" builtinId="8" hidden="1"/>
    <cellStyle name="Hipervínculo" xfId="1745" builtinId="8" hidden="1"/>
    <cellStyle name="Hipervínculo" xfId="405" builtinId="8" hidden="1"/>
    <cellStyle name="Hipervínculo" xfId="3329" builtinId="8" hidden="1"/>
    <cellStyle name="Hipervínculo" xfId="8573" builtinId="8" hidden="1"/>
    <cellStyle name="Hipervínculo" xfId="4253" builtinId="8" hidden="1"/>
    <cellStyle name="Hipervínculo" xfId="7405" builtinId="8" hidden="1"/>
    <cellStyle name="Hipervínculo" xfId="10109" builtinId="8" hidden="1"/>
    <cellStyle name="Hipervínculo" xfId="6111" builtinId="8" hidden="1"/>
    <cellStyle name="Hipervínculo" xfId="4909" builtinId="8" hidden="1"/>
    <cellStyle name="Hipervínculo" xfId="1593" builtinId="8" hidden="1"/>
    <cellStyle name="Hipervínculo" xfId="5671" builtinId="8" hidden="1"/>
    <cellStyle name="Hipervínculo" xfId="9815" builtinId="8" hidden="1"/>
    <cellStyle name="Hipervínculo" xfId="4745" builtinId="8" hidden="1"/>
    <cellStyle name="Hipervínculo" xfId="41" builtinId="8" hidden="1"/>
    <cellStyle name="Hipervínculo" xfId="10979" builtinId="8" hidden="1"/>
    <cellStyle name="Hipervínculo" xfId="6221" builtinId="8" hidden="1"/>
    <cellStyle name="Hipervínculo" xfId="1607" builtinId="8" hidden="1"/>
    <cellStyle name="Hipervínculo" xfId="8547" builtinId="8" hidden="1"/>
    <cellStyle name="Hipervínculo" xfId="4699" builtinId="8" hidden="1"/>
    <cellStyle name="Hipervínculo" xfId="7755" builtinId="8" hidden="1"/>
    <cellStyle name="Hipervínculo" xfId="1085" builtinId="8" hidden="1"/>
    <cellStyle name="Hipervínculo" xfId="3337" builtinId="8" hidden="1"/>
    <cellStyle name="Hipervínculo" xfId="1253" builtinId="8" hidden="1"/>
    <cellStyle name="Hipervínculo" xfId="2517" builtinId="8" hidden="1"/>
    <cellStyle name="Hipervínculo" xfId="4913" builtinId="8" hidden="1"/>
    <cellStyle name="Hipervínculo" xfId="2875" builtinId="8" hidden="1"/>
    <cellStyle name="Hipervínculo" xfId="8229" builtinId="8" hidden="1"/>
    <cellStyle name="Hipervínculo" xfId="7741" builtinId="8" hidden="1"/>
    <cellStyle name="Hipervínculo" xfId="2073" builtinId="8" hidden="1"/>
    <cellStyle name="Hipervínculo" xfId="6127" builtinId="8" hidden="1"/>
    <cellStyle name="Hipervínculo" xfId="9095" builtinId="8" hidden="1"/>
    <cellStyle name="Hipervínculo" xfId="4635" builtinId="8" hidden="1"/>
    <cellStyle name="Hipervínculo" xfId="3831" builtinId="8" hidden="1"/>
    <cellStyle name="Hipervínculo" xfId="9879" builtinId="8" hidden="1"/>
    <cellStyle name="Hipervínculo" xfId="169" builtinId="8" hidden="1"/>
    <cellStyle name="Hipervínculo" xfId="997" builtinId="8" hidden="1"/>
    <cellStyle name="Hipervínculo" xfId="10505" builtinId="8" hidden="1"/>
    <cellStyle name="Hipervínculo" xfId="4757" builtinId="8" hidden="1"/>
    <cellStyle name="Hipervínculo" xfId="9979" builtinId="8" hidden="1"/>
    <cellStyle name="Hipervínculo" xfId="2103" builtinId="8" hidden="1"/>
    <cellStyle name="Hipervínculo" xfId="6131" builtinId="8" hidden="1"/>
    <cellStyle name="Hipervínculo" xfId="10741" builtinId="8" hidden="1"/>
    <cellStyle name="Hipervínculo" xfId="7807" builtinId="8" hidden="1"/>
    <cellStyle name="Hipervínculo" xfId="10425" builtinId="8" hidden="1"/>
    <cellStyle name="Hipervínculo" xfId="2463" builtinId="8" hidden="1"/>
    <cellStyle name="Hipervínculo" xfId="10351" builtinId="8" hidden="1"/>
    <cellStyle name="Hipervínculo" xfId="1883" builtinId="8" hidden="1"/>
    <cellStyle name="Hipervínculo" xfId="3857" builtinId="8" hidden="1"/>
    <cellStyle name="Hipervínculo" xfId="6405" builtinId="8" hidden="1"/>
    <cellStyle name="Hipervínculo" xfId="9201" builtinId="8" hidden="1"/>
    <cellStyle name="Hipervínculo" xfId="4747" builtinId="8" hidden="1"/>
    <cellStyle name="Hipervínculo" xfId="10649" builtinId="8" hidden="1"/>
    <cellStyle name="Hipervínculo" xfId="9513" builtinId="8" hidden="1"/>
    <cellStyle name="Hipervínculo" xfId="8791" builtinId="8" hidden="1"/>
    <cellStyle name="Hipervínculo" xfId="4611" builtinId="8" hidden="1"/>
    <cellStyle name="Hipervínculo" xfId="10277" builtinId="8" hidden="1"/>
    <cellStyle name="Hipervínculo" xfId="7245" builtinId="8" hidden="1"/>
    <cellStyle name="Hipervínculo" xfId="2695" builtinId="8" hidden="1"/>
    <cellStyle name="Hipervínculo" xfId="2745" builtinId="8" hidden="1"/>
    <cellStyle name="Hipervínculo" xfId="6487" builtinId="8" hidden="1"/>
    <cellStyle name="Hipervínculo" xfId="6359" builtinId="8" hidden="1"/>
    <cellStyle name="Hipervínculo" xfId="9023" builtinId="8" hidden="1"/>
    <cellStyle name="Hipervínculo" xfId="557" builtinId="8" hidden="1"/>
    <cellStyle name="Hipervínculo" xfId="11045" builtinId="8" hidden="1"/>
    <cellStyle name="Hipervínculo" xfId="10987" builtinId="8" hidden="1"/>
    <cellStyle name="Hipervínculo" xfId="5689" builtinId="8" hidden="1"/>
    <cellStyle name="Hipervínculo" xfId="8041" builtinId="8" hidden="1"/>
    <cellStyle name="Hipervínculo" xfId="5045" builtinId="8" hidden="1"/>
    <cellStyle name="Hipervínculo" xfId="9799" builtinId="8" hidden="1"/>
    <cellStyle name="Hipervínculo" xfId="3531" builtinId="8" hidden="1"/>
    <cellStyle name="Hipervínculo" xfId="71" builtinId="8" hidden="1"/>
    <cellStyle name="Hipervínculo" xfId="779" builtinId="8" hidden="1"/>
    <cellStyle name="Hipervínculo" xfId="7027" builtinId="8" hidden="1"/>
    <cellStyle name="Hipervínculo" xfId="9207" builtinId="8" hidden="1"/>
    <cellStyle name="Hipervínculo" xfId="8143" builtinId="8" hidden="1"/>
    <cellStyle name="Hipervínculo" xfId="7929" builtinId="8" hidden="1"/>
    <cellStyle name="Hipervínculo" xfId="2661" builtinId="8" hidden="1"/>
    <cellStyle name="Hipervínculo" xfId="10929" builtinId="8" hidden="1"/>
    <cellStyle name="Hipervínculo" xfId="5853" builtinId="8" hidden="1"/>
    <cellStyle name="Hipervínculo" xfId="8911" builtinId="8" hidden="1"/>
    <cellStyle name="Hipervínculo" xfId="677" builtinId="8" hidden="1"/>
    <cellStyle name="Hipervínculo" xfId="1751" builtinId="8" hidden="1"/>
    <cellStyle name="Hipervínculo" xfId="7049" builtinId="8" hidden="1"/>
    <cellStyle name="Hipervínculo" xfId="3811" builtinId="8" hidden="1"/>
    <cellStyle name="Hipervínculo" xfId="301" builtinId="8" hidden="1"/>
    <cellStyle name="Hipervínculo" xfId="63" builtinId="8" hidden="1"/>
    <cellStyle name="Hipervínculo" xfId="453" builtinId="8" hidden="1"/>
    <cellStyle name="Hipervínculo" xfId="7551" builtinId="8" hidden="1"/>
    <cellStyle name="Hipervínculo" xfId="1431" builtinId="8" hidden="1"/>
    <cellStyle name="Hipervínculo" xfId="1055" builtinId="8" hidden="1"/>
    <cellStyle name="Hipervínculo" xfId="7141" builtinId="8" hidden="1"/>
    <cellStyle name="Hipervínculo" xfId="9639" builtinId="8" hidden="1"/>
    <cellStyle name="Hipervínculo" xfId="2923" builtinId="8" hidden="1"/>
    <cellStyle name="Hipervínculo" xfId="9055" builtinId="8" hidden="1"/>
    <cellStyle name="Hipervínculo" xfId="10017" builtinId="8" hidden="1"/>
    <cellStyle name="Hipervínculo" xfId="5813" builtinId="8" hidden="1"/>
    <cellStyle name="Hipervínculo" xfId="3879" builtinId="8" hidden="1"/>
    <cellStyle name="Hipervínculo" xfId="9441" builtinId="8" hidden="1"/>
    <cellStyle name="Hipervínculo" xfId="1649" builtinId="8" hidden="1"/>
    <cellStyle name="Hipervínculo" xfId="10049" builtinId="8" hidden="1"/>
    <cellStyle name="Hipervínculo" xfId="10011" builtinId="8" hidden="1"/>
    <cellStyle name="Hipervínculo" xfId="2497" builtinId="8" hidden="1"/>
    <cellStyle name="Hipervínculo" xfId="6649" builtinId="8" hidden="1"/>
    <cellStyle name="Hipervínculo" xfId="10865" builtinId="8" hidden="1"/>
    <cellStyle name="Hipervínculo" xfId="4227" builtinId="8" hidden="1"/>
    <cellStyle name="Hipervínculo" xfId="1929" builtinId="8" hidden="1"/>
    <cellStyle name="Hipervínculo" xfId="7403" builtinId="8" hidden="1"/>
    <cellStyle name="Hipervínculo" xfId="5169" builtinId="8" hidden="1"/>
    <cellStyle name="Hipervínculo" xfId="2735" builtinId="8" hidden="1"/>
    <cellStyle name="Hipervínculo" xfId="8727" builtinId="8" hidden="1"/>
    <cellStyle name="Hipervínculo" xfId="4233" builtinId="8" hidden="1"/>
    <cellStyle name="Hipervínculo" xfId="10811" builtinId="8" hidden="1"/>
    <cellStyle name="Hipervínculo" xfId="10395" builtinId="8" hidden="1"/>
    <cellStyle name="Hipervínculo" xfId="7861" builtinId="8" hidden="1"/>
    <cellStyle name="Hipervínculo" xfId="5113" builtinId="8" hidden="1"/>
    <cellStyle name="Hipervínculo" xfId="1485" builtinId="8" hidden="1"/>
    <cellStyle name="Hipervínculo" xfId="8261" builtinId="8" hidden="1"/>
    <cellStyle name="Hipervínculo" xfId="6829" builtinId="8" hidden="1"/>
    <cellStyle name="Hipervínculo" xfId="2077" builtinId="8" hidden="1"/>
    <cellStyle name="Hipervínculo" xfId="4521" builtinId="8" hidden="1"/>
    <cellStyle name="Hipervínculo" xfId="10619" builtinId="8" hidden="1"/>
    <cellStyle name="Hipervínculo" xfId="9831" builtinId="8" hidden="1"/>
    <cellStyle name="Hipervínculo" xfId="9683" builtinId="8" hidden="1"/>
    <cellStyle name="Hipervínculo" xfId="2365" builtinId="8" hidden="1"/>
    <cellStyle name="Hipervínculo" xfId="7335" builtinId="8" hidden="1"/>
    <cellStyle name="Hipervínculo" xfId="1767" builtinId="8" hidden="1"/>
    <cellStyle name="Hipervínculo" xfId="5697" builtinId="8" hidden="1"/>
    <cellStyle name="Hipervínculo" xfId="3361" builtinId="8" hidden="1"/>
    <cellStyle name="Hipervínculo" xfId="7043" builtinId="8" hidden="1"/>
    <cellStyle name="Hipervínculo" xfId="939" builtinId="8" hidden="1"/>
    <cellStyle name="Hipervínculo" xfId="9481" builtinId="8" hidden="1"/>
    <cellStyle name="Hipervínculo" xfId="1169" builtinId="8" hidden="1"/>
    <cellStyle name="Hipervínculo" xfId="3067" builtinId="8" hidden="1"/>
    <cellStyle name="Hipervínculo" xfId="6501" builtinId="8" hidden="1"/>
    <cellStyle name="Hipervínculo" xfId="7061" builtinId="8" hidden="1"/>
    <cellStyle name="Hipervínculo" xfId="19" builtinId="8" hidden="1"/>
    <cellStyle name="Hipervínculo" xfId="6897" builtinId="8" hidden="1"/>
    <cellStyle name="Hipervínculo" xfId="2037" builtinId="8" hidden="1"/>
    <cellStyle name="Hipervínculo" xfId="3835" builtinId="8" hidden="1"/>
    <cellStyle name="Hipervínculo" xfId="7677" builtinId="8" hidden="1"/>
    <cellStyle name="Hipervínculo" xfId="6849" builtinId="8" hidden="1"/>
    <cellStyle name="Hipervínculo" xfId="4509" builtinId="8" hidden="1"/>
    <cellStyle name="Hipervínculo" xfId="4447" builtinId="8" hidden="1"/>
    <cellStyle name="Hipervínculo" xfId="9141" builtinId="8" hidden="1"/>
    <cellStyle name="Hipervínculo" xfId="6473" builtinId="8" hidden="1"/>
    <cellStyle name="Hipervínculo" xfId="4099" builtinId="8" hidden="1"/>
    <cellStyle name="Hipervínculo" xfId="7961" builtinId="8" hidden="1"/>
    <cellStyle name="Hipervínculo" xfId="1731" builtinId="8" hidden="1"/>
    <cellStyle name="Hipervínculo" xfId="8759" builtinId="8" hidden="1"/>
    <cellStyle name="Hipervínculo" xfId="5011" builtinId="8" hidden="1"/>
    <cellStyle name="Hipervínculo" xfId="2763" builtinId="8" hidden="1"/>
    <cellStyle name="Hipervínculo" xfId="7203" builtinId="8" hidden="1"/>
    <cellStyle name="Hipervínculo" xfId="841" builtinId="8" hidden="1"/>
    <cellStyle name="Hipervínculo" xfId="8683" builtinId="8" hidden="1"/>
    <cellStyle name="Hipervínculo" xfId="1363" builtinId="8" hidden="1"/>
    <cellStyle name="Hipervínculo" xfId="5397" builtinId="8" hidden="1"/>
    <cellStyle name="Hipervínculo" xfId="4713" builtinId="8" hidden="1"/>
    <cellStyle name="Hipervínculo" xfId="7349" builtinId="8" hidden="1"/>
    <cellStyle name="Hipervínculo" xfId="7227" builtinId="8" hidden="1"/>
    <cellStyle name="Hipervínculo" xfId="9057" builtinId="8" hidden="1"/>
    <cellStyle name="Hipervínculo" xfId="499" builtinId="8" hidden="1"/>
    <cellStyle name="Hipervínculo" xfId="2349" builtinId="8" hidden="1"/>
    <cellStyle name="Hipervínculo" xfId="9965" builtinId="8" hidden="1"/>
    <cellStyle name="Hipervínculo" xfId="3397" builtinId="8" hidden="1"/>
    <cellStyle name="Hipervínculo" xfId="6445" builtinId="8" hidden="1"/>
    <cellStyle name="Hipervínculo" xfId="2317" builtinId="8" hidden="1"/>
    <cellStyle name="Hipervínculo" xfId="8493" builtinId="8" hidden="1"/>
    <cellStyle name="Hipervínculo" xfId="2411" builtinId="8" hidden="1"/>
    <cellStyle name="Hipervínculo" xfId="10657" builtinId="8" hidden="1"/>
    <cellStyle name="Hipervínculo" xfId="10391" builtinId="8" hidden="1"/>
    <cellStyle name="Hipervínculo" xfId="3471" builtinId="8" hidden="1"/>
    <cellStyle name="Hipervínculo" xfId="10237" builtinId="8" hidden="1"/>
    <cellStyle name="Hipervínculo" xfId="8641" builtinId="8" hidden="1"/>
    <cellStyle name="Hipervínculo" xfId="10697" builtinId="8" hidden="1"/>
    <cellStyle name="Hipervínculo" xfId="3607" builtinId="8" hidden="1"/>
    <cellStyle name="Hipervínculo" xfId="3179" builtinId="8" hidden="1"/>
    <cellStyle name="Hipervínculo" xfId="5221" builtinId="8" hidden="1"/>
    <cellStyle name="Hipervínculo" xfId="3775" builtinId="8" hidden="1"/>
    <cellStyle name="Hipervínculo" xfId="661" builtinId="8" hidden="1"/>
    <cellStyle name="Hipervínculo" xfId="8083" builtinId="8" hidden="1"/>
    <cellStyle name="Hipervínculo" xfId="635" builtinId="8" hidden="1"/>
    <cellStyle name="Hipervínculo" xfId="10515" builtinId="8" hidden="1"/>
    <cellStyle name="Hipervínculo" xfId="7037" builtinId="8" hidden="1"/>
    <cellStyle name="Hipervínculo" xfId="873" builtinId="8" hidden="1"/>
    <cellStyle name="Hipervínculo" xfId="1239" builtinId="8" hidden="1"/>
    <cellStyle name="Hipervínculo" xfId="4667" builtinId="8" hidden="1"/>
    <cellStyle name="Hipervínculo" xfId="8591" builtinId="8" hidden="1"/>
    <cellStyle name="Hipervínculo" xfId="4505" builtinId="8" hidden="1"/>
    <cellStyle name="Hipervínculo" xfId="2783" builtinId="8" hidden="1"/>
    <cellStyle name="Hipervínculo" xfId="3121" builtinId="8" hidden="1"/>
    <cellStyle name="Hipervínculo" xfId="2851" builtinId="8" hidden="1"/>
    <cellStyle name="Hipervínculo" xfId="5521" builtinId="8" hidden="1"/>
    <cellStyle name="Hipervínculo" xfId="10457" builtinId="8" hidden="1"/>
    <cellStyle name="Hipervínculo" xfId="3221" builtinId="8" hidden="1"/>
    <cellStyle name="Hipervínculo" xfId="3325" builtinId="8" hidden="1"/>
    <cellStyle name="Hipervínculo" xfId="4823" builtinId="8" hidden="1"/>
    <cellStyle name="Hipervínculo" xfId="9125" builtinId="8" hidden="1"/>
    <cellStyle name="Hipervínculo" xfId="4393" builtinId="8" hidden="1"/>
    <cellStyle name="Hipervínculo" xfId="647" builtinId="8" hidden="1"/>
    <cellStyle name="Hipervínculo" xfId="9265" builtinId="8" hidden="1"/>
    <cellStyle name="Hipervínculo" xfId="3211" builtinId="8" hidden="1"/>
    <cellStyle name="Hipervínculo" xfId="1957" builtinId="8" hidden="1"/>
    <cellStyle name="Hipervínculo" xfId="10759" builtinId="8" hidden="1"/>
    <cellStyle name="Hipervínculo" xfId="5881" builtinId="8" hidden="1"/>
    <cellStyle name="Hipervínculo" xfId="2531" builtinId="8" hidden="1"/>
    <cellStyle name="Hipervínculo" xfId="7675" builtinId="8" hidden="1"/>
    <cellStyle name="Hipervínculo" xfId="7243" builtinId="8" hidden="1"/>
    <cellStyle name="Hipervínculo" xfId="5775" builtinId="8" hidden="1"/>
    <cellStyle name="Hipervínculo" xfId="4367" builtinId="8" hidden="1"/>
    <cellStyle name="Hipervínculo" xfId="6545" builtinId="8" hidden="1"/>
    <cellStyle name="Hipervínculo" xfId="5315" builtinId="8" hidden="1"/>
    <cellStyle name="Hipervínculo" xfId="8957" builtinId="8" hidden="1"/>
    <cellStyle name="Hipervínculo" xfId="1503" builtinId="8" hidden="1"/>
    <cellStyle name="Hipervínculo" xfId="1523" builtinId="8" hidden="1"/>
    <cellStyle name="Hipervínculo" xfId="1447" builtinId="8" hidden="1"/>
    <cellStyle name="Hipervínculo" xfId="1547" builtinId="8" hidden="1"/>
    <cellStyle name="Hipervínculo" xfId="2887" builtinId="8" hidden="1"/>
    <cellStyle name="Hipervínculo" xfId="6099" builtinId="8" hidden="1"/>
    <cellStyle name="Hipervínculo" xfId="4083" builtinId="8" hidden="1"/>
    <cellStyle name="Hipervínculo" xfId="5803" builtinId="8" hidden="1"/>
    <cellStyle name="Hipervínculo" xfId="3275" builtinId="8" hidden="1"/>
    <cellStyle name="Hipervínculo" xfId="1763" builtinId="8" hidden="1"/>
    <cellStyle name="Hipervínculo" xfId="2839" builtinId="8" hidden="1"/>
    <cellStyle name="Hipervínculo" xfId="3217" builtinId="8" hidden="1"/>
    <cellStyle name="Hipervínculo" xfId="2917" builtinId="8" hidden="1"/>
    <cellStyle name="Hipervínculo" xfId="7637" builtinId="8" hidden="1"/>
    <cellStyle name="Hipervínculo" xfId="3537" builtinId="8" hidden="1"/>
    <cellStyle name="Hipervínculo" xfId="1609" builtinId="8" hidden="1"/>
    <cellStyle name="Hipervínculo" xfId="7373" builtinId="8" hidden="1"/>
    <cellStyle name="Hipervínculo" xfId="3007" builtinId="8" hidden="1"/>
    <cellStyle name="Hipervínculo" xfId="8611" builtinId="8" hidden="1"/>
    <cellStyle name="Hipervínculo" xfId="3301" builtinId="8" hidden="1"/>
    <cellStyle name="Hipervínculo" xfId="5971" builtinId="8" hidden="1"/>
    <cellStyle name="Hipervínculo" xfId="3117" builtinId="8" hidden="1"/>
    <cellStyle name="Hipervínculo" xfId="10921" builtinId="8" hidden="1"/>
    <cellStyle name="Hipervínculo" xfId="1009" builtinId="8" hidden="1"/>
    <cellStyle name="Hipervínculo" xfId="10375" builtinId="8" hidden="1"/>
    <cellStyle name="Hipervínculo" xfId="1967" builtinId="8" hidden="1"/>
    <cellStyle name="Hipervínculo" xfId="4793" builtinId="8" hidden="1"/>
    <cellStyle name="Hipervínculo" xfId="1063" builtinId="8" hidden="1"/>
    <cellStyle name="Hipervínculo" xfId="1889" builtinId="8" hidden="1"/>
    <cellStyle name="Hipervínculo" xfId="207" builtinId="8" hidden="1"/>
    <cellStyle name="Hipervínculo" xfId="547" builtinId="8" hidden="1"/>
    <cellStyle name="Hipervínculo" xfId="4493" builtinId="8" hidden="1"/>
    <cellStyle name="Hipervínculo" xfId="9399" builtinId="8" hidden="1"/>
    <cellStyle name="Hipervínculo" xfId="4247" builtinId="8" hidden="1"/>
    <cellStyle name="Hipervínculo" xfId="10149" builtinId="8" hidden="1"/>
    <cellStyle name="Hipervínculo" xfId="8717" builtinId="8" hidden="1"/>
    <cellStyle name="Hipervínculo" xfId="9873" builtinId="8" hidden="1"/>
    <cellStyle name="Hipervínculo" xfId="3359" builtinId="8" hidden="1"/>
    <cellStyle name="Hipervínculo" xfId="1223" builtinId="8" hidden="1"/>
    <cellStyle name="Hipervínculo" xfId="5371" builtinId="8" hidden="1"/>
    <cellStyle name="Hipervínculo" xfId="8525" builtinId="8" hidden="1"/>
    <cellStyle name="Hipervínculo" xfId="5871" builtinId="8" hidden="1"/>
    <cellStyle name="Hipervínculo" xfId="5039" builtinId="8" hidden="1"/>
    <cellStyle name="Hipervínculo" xfId="8507" builtinId="8" hidden="1"/>
    <cellStyle name="Hipervínculo" xfId="8247" builtinId="8" hidden="1"/>
    <cellStyle name="Hipervínculo" xfId="7025" builtinId="8" hidden="1"/>
    <cellStyle name="Hipervínculo" xfId="3759" builtinId="8" hidden="1"/>
    <cellStyle name="Hipervínculo" xfId="5991" builtinId="8" hidden="1"/>
    <cellStyle name="Hipervínculo" xfId="5839" builtinId="8" hidden="1"/>
    <cellStyle name="Hipervínculo" xfId="9091" builtinId="8" hidden="1"/>
    <cellStyle name="Hipervínculo" xfId="6097" builtinId="8" hidden="1"/>
    <cellStyle name="Hipervínculo" xfId="1817" builtinId="8" hidden="1"/>
    <cellStyle name="Hipervínculo" xfId="5893" builtinId="8" hidden="1"/>
    <cellStyle name="Hipervínculo" xfId="5639" builtinId="8" hidden="1"/>
    <cellStyle name="Hipervínculo" xfId="3339" builtinId="8" hidden="1"/>
    <cellStyle name="Hipervínculo" xfId="9721" builtinId="8" hidden="1"/>
    <cellStyle name="Hipervínculo" xfId="3489" builtinId="8" hidden="1"/>
    <cellStyle name="Hipervínculo" xfId="2087" builtinId="8" hidden="1"/>
    <cellStyle name="Hipervínculo" xfId="6215" builtinId="8" hidden="1"/>
    <cellStyle name="Hipervínculo" xfId="6711" builtinId="8" hidden="1"/>
    <cellStyle name="Hipervínculo" xfId="5195" builtinId="8" hidden="1"/>
    <cellStyle name="Hipervínculo" xfId="5447" builtinId="8" hidden="1"/>
    <cellStyle name="Hipervínculo" xfId="7475" builtinId="8" hidden="1"/>
    <cellStyle name="Hipervínculo" xfId="3019" builtinId="8" hidden="1"/>
    <cellStyle name="Hipervínculo" xfId="6177" builtinId="8" hidden="1"/>
    <cellStyle name="Hipervínculo" xfId="7601" builtinId="8" hidden="1"/>
    <cellStyle name="Hipervínculo" xfId="475" builtinId="8" hidden="1"/>
    <cellStyle name="Hipervínculo" xfId="4719" builtinId="8" hidden="1"/>
    <cellStyle name="Hipervínculo" xfId="1549" builtinId="8" hidden="1"/>
    <cellStyle name="Hipervínculo" xfId="7495" builtinId="8" hidden="1"/>
    <cellStyle name="Hipervínculo" xfId="3823" builtinId="8" hidden="1"/>
    <cellStyle name="Hipervínculo" xfId="7777" builtinId="8" hidden="1"/>
    <cellStyle name="Hipervínculo" xfId="2435" builtinId="8" hidden="1"/>
    <cellStyle name="Hipervínculo" xfId="5627" builtinId="8" hidden="1"/>
    <cellStyle name="Hipervínculo" xfId="5827" builtinId="8" hidden="1"/>
    <cellStyle name="Hipervínculo" xfId="491" builtinId="8" hidden="1"/>
    <cellStyle name="Hipervínculo" xfId="3997" builtinId="8" hidden="1"/>
    <cellStyle name="Hipervínculo" xfId="147" builtinId="8" hidden="1"/>
    <cellStyle name="Hipervínculo" xfId="2291" builtinId="8" hidden="1"/>
    <cellStyle name="Hipervínculo" xfId="1945" builtinId="8" hidden="1"/>
    <cellStyle name="Hipervínculo" xfId="6615" builtinId="8" hidden="1"/>
    <cellStyle name="Hipervínculo" xfId="8393" builtinId="8" hidden="1"/>
    <cellStyle name="Hipervínculo" xfId="3463" builtinId="8" hidden="1"/>
    <cellStyle name="Hipervínculo" xfId="6231" builtinId="8" hidden="1"/>
    <cellStyle name="Hipervínculo" xfId="8543" builtinId="8" hidden="1"/>
    <cellStyle name="Hipervínculo" xfId="3889" builtinId="8" hidden="1"/>
    <cellStyle name="Hipervínculo" xfId="4585" builtinId="8" hidden="1"/>
    <cellStyle name="Hipervínculo" xfId="5301" builtinId="8" hidden="1"/>
    <cellStyle name="Hipervínculo" xfId="2749" builtinId="8" hidden="1"/>
    <cellStyle name="Hipervínculo" xfId="741" builtinId="8" hidden="1"/>
    <cellStyle name="Hipervínculo" xfId="5247" builtinId="8" hidden="1"/>
    <cellStyle name="Hipervínculo" xfId="5793" builtinId="8" hidden="1"/>
    <cellStyle name="Hipervínculo" xfId="2799" builtinId="8" hidden="1"/>
    <cellStyle name="Hipervínculo" xfId="2737" builtinId="8" hidden="1"/>
    <cellStyle name="Hipervínculo" xfId="10947" builtinId="8" hidden="1"/>
    <cellStyle name="Hipervínculo" xfId="10501" builtinId="8" hidden="1"/>
    <cellStyle name="Hipervínculo" xfId="9711" builtinId="8" hidden="1"/>
    <cellStyle name="Hipervínculo" xfId="4013" builtinId="8" hidden="1"/>
    <cellStyle name="Hipervínculo" xfId="1657" builtinId="8" hidden="1"/>
    <cellStyle name="Hipervínculo" xfId="333" builtinId="8" hidden="1"/>
    <cellStyle name="Hipervínculo" xfId="999" builtinId="8" hidden="1"/>
    <cellStyle name="Hipervínculo" xfId="21" builtinId="8" hidden="1"/>
    <cellStyle name="Hipervínculo" xfId="8569" builtinId="8" hidden="1"/>
    <cellStyle name="Hipervínculo" xfId="3073" builtinId="8" hidden="1"/>
    <cellStyle name="Hipervínculo" xfId="1955" builtinId="8" hidden="1"/>
    <cellStyle name="Hipervínculo" xfId="9671" builtinId="8" hidden="1"/>
    <cellStyle name="Hipervínculo" xfId="7611" builtinId="8" hidden="1"/>
    <cellStyle name="Hipervínculo" xfId="3509" builtinId="8" hidden="1"/>
    <cellStyle name="Hipervínculo" xfId="10927" builtinId="8" hidden="1"/>
    <cellStyle name="Hipervínculo" xfId="9183" builtinId="8" hidden="1"/>
    <cellStyle name="Hipervínculo" xfId="3499" builtinId="8" hidden="1"/>
    <cellStyle name="Hipervínculo" xfId="1953" builtinId="8" hidden="1"/>
    <cellStyle name="Hipervínculo" xfId="5513" builtinId="8" hidden="1"/>
    <cellStyle name="Hipervínculo" xfId="10503" builtinId="8" hidden="1"/>
    <cellStyle name="Hipervínculo" xfId="4085" builtinId="8" hidden="1"/>
    <cellStyle name="Hipervínculo" xfId="4917" builtinId="8" hidden="1"/>
    <cellStyle name="Hipervínculo" xfId="1913" builtinId="8" hidden="1"/>
    <cellStyle name="Hipervínculo" xfId="5489" builtinId="8" hidden="1"/>
    <cellStyle name="Hipervínculo" xfId="10549" builtinId="8" hidden="1"/>
    <cellStyle name="Hipervínculo" xfId="533" builtinId="8" hidden="1"/>
    <cellStyle name="Hipervínculo" xfId="5261" builtinId="8" hidden="1"/>
    <cellStyle name="Hipervínculo" xfId="8635" builtinId="8" hidden="1"/>
    <cellStyle name="Hipervínculo" xfId="4283" builtinId="8" hidden="1"/>
    <cellStyle name="Hipervínculo" xfId="10337" builtinId="8" hidden="1"/>
    <cellStyle name="Hipervínculo" xfId="6531" builtinId="8" hidden="1"/>
    <cellStyle name="Hipervínculo" xfId="1711" builtinId="8" hidden="1"/>
    <cellStyle name="Hipervínculo" xfId="1537" builtinId="8" hidden="1"/>
    <cellStyle name="Hipervínculo" xfId="9855" builtinId="8" hidden="1"/>
    <cellStyle name="Hipervínculo" xfId="4715" builtinId="8" hidden="1"/>
    <cellStyle name="Hipervínculo" xfId="1511" builtinId="8" hidden="1"/>
    <cellStyle name="Hipervínculo" xfId="5173" builtinId="8" hidden="1"/>
    <cellStyle name="Hipervínculo" xfId="2023" builtinId="8" hidden="1"/>
    <cellStyle name="Hipervínculo" xfId="7893" builtinId="8" hidden="1"/>
    <cellStyle name="Hipervínculo" xfId="8707" builtinId="8" hidden="1"/>
    <cellStyle name="Hipervínculo" xfId="9109" builtinId="8" hidden="1"/>
    <cellStyle name="Hipervínculo" xfId="7749" builtinId="8" hidden="1"/>
    <cellStyle name="Hipervínculo" xfId="3101" builtinId="8" hidden="1"/>
    <cellStyle name="Hipervínculo" xfId="5507" builtinId="8" hidden="1"/>
    <cellStyle name="Hipervínculo" xfId="5191" builtinId="8" hidden="1"/>
    <cellStyle name="Hipervínculo" xfId="7791" builtinId="8" hidden="1"/>
    <cellStyle name="Hipervínculo" xfId="5237" builtinId="8" hidden="1"/>
    <cellStyle name="Hipervínculo" xfId="8513" builtinId="8" hidden="1"/>
    <cellStyle name="Hipervínculo" xfId="2107" builtinId="8" hidden="1"/>
    <cellStyle name="Hipervínculo" xfId="9263" builtinId="8" hidden="1"/>
    <cellStyle name="Hipervínculo" xfId="10441" builtinId="8" hidden="1"/>
    <cellStyle name="Hipervínculo" xfId="2031" builtinId="8" hidden="1"/>
    <cellStyle name="Hipervínculo" xfId="8711" builtinId="8" hidden="1"/>
    <cellStyle name="Hipervínculo" xfId="4981" builtinId="8" hidden="1"/>
    <cellStyle name="Hipervínculo" xfId="8651" builtinId="8" hidden="1"/>
    <cellStyle name="Hipervínculo" xfId="7923" builtinId="8" hidden="1"/>
    <cellStyle name="Hipervínculo" xfId="5071" builtinId="8" hidden="1"/>
    <cellStyle name="Hipervínculo" xfId="8657" builtinId="8" hidden="1"/>
    <cellStyle name="Hipervínculo" xfId="6707" builtinId="8" hidden="1"/>
    <cellStyle name="Hipervínculo" xfId="1287" builtinId="8" hidden="1"/>
    <cellStyle name="Hipervínculo" xfId="329" builtinId="8" hidden="1"/>
    <cellStyle name="Hipervínculo" xfId="2609" builtinId="8" hidden="1"/>
    <cellStyle name="Hipervínculo" xfId="4541" builtinId="8" hidden="1"/>
    <cellStyle name="Hipervínculo" xfId="1221" builtinId="8" hidden="1"/>
    <cellStyle name="Hipervínculo" xfId="6069" builtinId="8" hidden="1"/>
    <cellStyle name="Hipervínculo" xfId="2691" builtinId="8" hidden="1"/>
    <cellStyle name="Hipervínculo" xfId="6289" builtinId="8" hidden="1"/>
    <cellStyle name="Hipervínculo" xfId="6081" builtinId="8" hidden="1"/>
    <cellStyle name="Hipervínculo" xfId="4873" builtinId="8" hidden="1"/>
    <cellStyle name="Hipervínculo" xfId="8053" builtinId="8" hidden="1"/>
    <cellStyle name="Hipervínculo" xfId="10419" builtinId="8" hidden="1"/>
    <cellStyle name="Hipervínculo" xfId="8483" builtinId="8" hidden="1"/>
    <cellStyle name="Hipervínculo" xfId="9953" builtinId="8" hidden="1"/>
    <cellStyle name="Hipervínculo" xfId="5869" builtinId="8" hidden="1"/>
    <cellStyle name="Hipervínculo" xfId="83" builtinId="8" hidden="1"/>
    <cellStyle name="Hipervínculo" xfId="7107" builtinId="8" hidden="1"/>
    <cellStyle name="Hipervínculo" xfId="10787" builtinId="8" hidden="1"/>
    <cellStyle name="Hipervínculo" xfId="3769" builtinId="8" hidden="1"/>
    <cellStyle name="Hipervínculo" xfId="7635" builtinId="8" hidden="1"/>
    <cellStyle name="Hipervínculo" xfId="4533" builtinId="8" hidden="1"/>
    <cellStyle name="Hipervínculo" xfId="487" builtinId="8" hidden="1"/>
    <cellStyle name="Hipervínculo" xfId="9743" builtinId="8" hidden="1"/>
    <cellStyle name="Hipervínculo" xfId="5031" builtinId="8" hidden="1"/>
    <cellStyle name="Hipervínculo" xfId="1993" builtinId="8" hidden="1"/>
    <cellStyle name="Hipervínculo" xfId="4507" builtinId="8" hidden="1"/>
    <cellStyle name="Hipervínculo" xfId="10973" builtinId="8" hidden="1"/>
    <cellStyle name="Hipervínculo" xfId="6105" builtinId="8" hidden="1"/>
    <cellStyle name="Hipervínculo" xfId="7817" builtinId="8" hidden="1"/>
    <cellStyle name="Hipervínculo" xfId="5569" builtinId="8" hidden="1"/>
    <cellStyle name="Hipervínculo" xfId="9571" builtinId="8" hidden="1"/>
    <cellStyle name="Hipervínculo" xfId="1809" builtinId="8" hidden="1"/>
    <cellStyle name="Hipervínculo" xfId="8201" builtinId="8" hidden="1"/>
    <cellStyle name="Hipervínculo" xfId="10511" builtinId="8" hidden="1"/>
    <cellStyle name="Hipervínculo" xfId="2709" builtinId="8" hidden="1"/>
    <cellStyle name="Hipervínculo" xfId="10723" builtinId="8" hidden="1"/>
    <cellStyle name="Hipervínculo" xfId="10661" builtinId="8" hidden="1"/>
    <cellStyle name="Hipervínculo" xfId="5673" builtinId="8" hidden="1"/>
    <cellStyle name="Hipervínculo" xfId="4371" builtinId="8" hidden="1"/>
    <cellStyle name="Hipervínculo" xfId="7539" builtinId="8" hidden="1"/>
    <cellStyle name="Hipervínculo" xfId="1205" builtinId="8" hidden="1"/>
    <cellStyle name="Hipervínculo" xfId="9577" builtinId="8" hidden="1"/>
    <cellStyle name="Hipervínculo" xfId="6327" builtinId="8" hidden="1"/>
    <cellStyle name="Hipervínculo" xfId="927" builtinId="8" hidden="1"/>
    <cellStyle name="Hipervínculo" xfId="3697" builtinId="8" hidden="1"/>
    <cellStyle name="Hipervínculo" xfId="1313" builtinId="8" hidden="1"/>
    <cellStyle name="Hipervínculo" xfId="1135" builtinId="8" hidden="1"/>
    <cellStyle name="Hipervínculo" xfId="5937" builtinId="8" hidden="1"/>
    <cellStyle name="Hipervínculo" xfId="7" builtinId="8" hidden="1"/>
    <cellStyle name="Hipervínculo" xfId="9325" builtinId="8" hidden="1"/>
    <cellStyle name="Hipervínculo" xfId="1733" builtinId="8" hidden="1"/>
    <cellStyle name="Hipervínculo" xfId="9717" builtinId="8" hidden="1"/>
    <cellStyle name="Hipervínculo" xfId="9375" builtinId="8" hidden="1"/>
    <cellStyle name="Hipervínculo" xfId="9143" builtinId="8" hidden="1"/>
    <cellStyle name="Hipervínculo" xfId="8865" builtinId="8" hidden="1"/>
    <cellStyle name="Hipervínculo" xfId="6417" builtinId="8" hidden="1"/>
    <cellStyle name="Hipervínculo" xfId="10393" builtinId="8" hidden="1"/>
    <cellStyle name="Hipervínculo" xfId="5935" builtinId="8" hidden="1"/>
    <cellStyle name="Hipervínculo" xfId="7425" builtinId="8" hidden="1"/>
    <cellStyle name="Hipervínculo" xfId="5599" builtinId="8" hidden="1"/>
    <cellStyle name="Hipervínculo" xfId="10329" builtinId="8" hidden="1"/>
    <cellStyle name="Hipervínculo" xfId="1081" builtinId="8" hidden="1"/>
    <cellStyle name="Hipervínculo" xfId="4077" builtinId="8" hidden="1"/>
    <cellStyle name="Hipervínculo" xfId="4155" builtinId="8" hidden="1"/>
    <cellStyle name="Hipervínculo" xfId="9309" builtinId="8" hidden="1"/>
    <cellStyle name="Hipervínculo" xfId="3141" builtinId="8" hidden="1"/>
    <cellStyle name="Hipervínculo" xfId="9847" builtinId="8" hidden="1"/>
    <cellStyle name="Hipervínculo" xfId="9395" builtinId="8" hidden="1"/>
    <cellStyle name="Hipervínculo" xfId="2535" builtinId="8" hidden="1"/>
    <cellStyle name="Hipervínculo" xfId="4803" builtinId="8" hidden="1"/>
    <cellStyle name="Hipervínculo" xfId="2455" builtinId="8" hidden="1"/>
    <cellStyle name="Hipervínculo" xfId="9833" builtinId="8" hidden="1"/>
    <cellStyle name="Hipervínculo" xfId="10861" builtinId="8" hidden="1"/>
    <cellStyle name="Hipervínculo" xfId="1197" builtinId="8" hidden="1"/>
    <cellStyle name="Hipervínculo" xfId="9059" builtinId="8" hidden="1"/>
    <cellStyle name="Hipervínculo" xfId="2371" builtinId="8" hidden="1"/>
    <cellStyle name="Hipervínculo" xfId="643" builtinId="8" hidden="1"/>
    <cellStyle name="Hipervínculo" xfId="2979" builtinId="8" hidden="1"/>
    <cellStyle name="Hipervínculo" xfId="3411" builtinId="8" hidden="1"/>
    <cellStyle name="Hipervínculo" xfId="6797" builtinId="8" hidden="1"/>
    <cellStyle name="Hipervínculo" xfId="9279" builtinId="8" hidden="1"/>
    <cellStyle name="Hipervínculo" xfId="6641" builtinId="8" hidden="1"/>
    <cellStyle name="Hipervínculo" xfId="397" builtinId="8" hidden="1"/>
    <cellStyle name="Hipervínculo" xfId="3247" builtinId="8" hidden="1"/>
    <cellStyle name="Hipervínculo" xfId="1351" builtinId="8" hidden="1"/>
    <cellStyle name="Hipervínculo" xfId="2225" builtinId="8" hidden="1"/>
    <cellStyle name="Hipervínculo" xfId="2599" builtinId="8" hidden="1"/>
    <cellStyle name="Hipervínculo" xfId="9235" builtinId="8" hidden="1"/>
    <cellStyle name="Hipervínculo" xfId="4855" builtinId="8" hidden="1"/>
    <cellStyle name="Hipervínculo" xfId="9655" builtinId="8" hidden="1"/>
    <cellStyle name="Hipervínculo" xfId="10709" builtinId="8" hidden="1"/>
    <cellStyle name="Hipervínculo" xfId="2507" builtinId="8" hidden="1"/>
    <cellStyle name="Hipervínculo" xfId="7279" builtinId="8" hidden="1"/>
    <cellStyle name="Hipervínculo" xfId="7679" builtinId="8" hidden="1"/>
    <cellStyle name="Hipervínculo" xfId="7105" builtinId="8" hidden="1"/>
    <cellStyle name="Hipervínculo" xfId="8467" builtinId="8" hidden="1"/>
    <cellStyle name="Hipervínculo" xfId="10413" builtinId="8" hidden="1"/>
    <cellStyle name="Hipervínculo" xfId="9605" builtinId="8" hidden="1"/>
    <cellStyle name="Hipervínculo" xfId="9043" builtinId="8" hidden="1"/>
    <cellStyle name="Hipervínculo" xfId="7599" builtinId="8" hidden="1"/>
    <cellStyle name="Hipervínculo" xfId="191" builtinId="8" hidden="1"/>
    <cellStyle name="Hipervínculo" xfId="4827" builtinId="8" hidden="1"/>
    <cellStyle name="Hipervínculo" xfId="6365" builtinId="8" hidden="1"/>
    <cellStyle name="Hipervínculo" xfId="1685" builtinId="8" hidden="1"/>
    <cellStyle name="Hipervínculo" xfId="9525" builtinId="8" hidden="1"/>
    <cellStyle name="Hipervínculo" xfId="4513" builtinId="8" hidden="1"/>
    <cellStyle name="Hipervínculo" xfId="6089" builtinId="8" hidden="1"/>
    <cellStyle name="Hipervínculo" xfId="6869" builtinId="8" hidden="1"/>
    <cellStyle name="Hipervínculo" xfId="5007" builtinId="8" hidden="1"/>
    <cellStyle name="Hipervínculo" xfId="7017" builtinId="8" hidden="1"/>
    <cellStyle name="Hipervínculo" xfId="5309" builtinId="8" hidden="1"/>
    <cellStyle name="Hipervínculo" xfId="1101" builtinId="8" hidden="1"/>
    <cellStyle name="Hipervínculo" xfId="5721" builtinId="8" hidden="1"/>
    <cellStyle name="Hipervínculo" xfId="2959" builtinId="8" hidden="1"/>
    <cellStyle name="Hipervínculo" xfId="293" builtinId="8" hidden="1"/>
    <cellStyle name="Hipervínculo" xfId="10571" builtinId="8" hidden="1"/>
    <cellStyle name="Hipervínculo" xfId="2335" builtinId="8" hidden="1"/>
    <cellStyle name="Hipervínculo" xfId="9187" builtinId="8" hidden="1"/>
    <cellStyle name="Hipervínculo" xfId="211" builtinId="8" hidden="1"/>
    <cellStyle name="Hipervínculo" xfId="425" builtinId="8" hidden="1"/>
    <cellStyle name="Hipervínculo" xfId="11041" builtinId="8" hidden="1"/>
    <cellStyle name="Hipervínculo" xfId="9281" builtinId="8" hidden="1"/>
    <cellStyle name="Hipervínculo" xfId="2319" builtinId="8" hidden="1"/>
    <cellStyle name="Hipervínculo" xfId="1739" builtinId="8" hidden="1"/>
    <cellStyle name="Hipervínculo" xfId="6323" builtinId="8" hidden="1"/>
    <cellStyle name="Hipervínculo" xfId="3113" builtinId="8" hidden="1"/>
    <cellStyle name="Hipervínculo" xfId="8531" builtinId="8" hidden="1"/>
    <cellStyle name="Hipervínculo" xfId="7193" builtinId="8" hidden="1"/>
    <cellStyle name="Hipervínculo" xfId="5949" builtinId="8" hidden="1"/>
    <cellStyle name="Hipervínculo" xfId="8323" builtinId="8" hidden="1"/>
    <cellStyle name="Hipervínculo" xfId="3803" builtinId="8" hidden="1"/>
    <cellStyle name="Hipervínculo" xfId="9993" builtinId="8" hidden="1"/>
    <cellStyle name="Hipervínculo" xfId="4425" builtinId="8" hidden="1"/>
    <cellStyle name="Hipervínculo" xfId="7123" builtinId="8" hidden="1"/>
    <cellStyle name="Hipervínculo" xfId="2813" builtinId="8" hidden="1"/>
    <cellStyle name="Hipervínculo" xfId="3023" builtinId="8" hidden="1"/>
    <cellStyle name="Hipervínculo" xfId="6773" builtinId="8" hidden="1"/>
    <cellStyle name="Hipervínculo" xfId="7325" builtinId="8" hidden="1"/>
    <cellStyle name="Hipervínculo" xfId="1345" builtinId="8" hidden="1"/>
    <cellStyle name="Hipervínculo" xfId="9051" builtinId="8" hidden="1"/>
    <cellStyle name="Hipervínculo" xfId="3365" builtinId="8" hidden="1"/>
    <cellStyle name="Hipervínculo" xfId="3849" builtinId="8" hidden="1"/>
    <cellStyle name="Hipervínculo" xfId="1543" builtinId="8" hidden="1"/>
    <cellStyle name="Hipervínculo" xfId="9553" builtinId="8" hidden="1"/>
    <cellStyle name="Hipervínculo" xfId="7689" builtinId="8" hidden="1"/>
    <cellStyle name="Hipervínculo" xfId="4711" builtinId="8" hidden="1"/>
    <cellStyle name="Hipervínculo" xfId="1065" builtinId="8" hidden="1"/>
    <cellStyle name="Hipervínculo" xfId="6315" builtinId="8" hidden="1"/>
    <cellStyle name="Hipervínculo" xfId="11031" builtinId="8" hidden="1"/>
    <cellStyle name="Hipervínculo" xfId="4883" builtinId="8" hidden="1"/>
    <cellStyle name="Hipervínculo" xfId="8271" builtinId="8" hidden="1"/>
    <cellStyle name="Hipervínculo" xfId="9451" builtinId="8" hidden="1"/>
    <cellStyle name="Hipervínculo" xfId="3251" builtinId="8" hidden="1"/>
    <cellStyle name="Hipervínculo" xfId="4017" builtinId="8" hidden="1"/>
    <cellStyle name="Hipervínculo" xfId="4625" builtinId="8" hidden="1"/>
    <cellStyle name="Hipervínculo" xfId="10121" builtinId="8" hidden="1"/>
    <cellStyle name="Hipervínculo" xfId="9613" builtinId="8" hidden="1"/>
    <cellStyle name="Hipervínculo" xfId="7219" builtinId="8" hidden="1"/>
    <cellStyle name="Hipervínculo" xfId="3561" builtinId="8" hidden="1"/>
    <cellStyle name="Hipervínculo" xfId="10939" builtinId="8" hidden="1"/>
    <cellStyle name="Hipervínculo" xfId="1887" builtinId="8" hidden="1"/>
    <cellStyle name="Hipervínculo" xfId="8173" builtinId="8" hidden="1"/>
    <cellStyle name="Hipervínculo" xfId="7249" builtinId="8" hidden="1"/>
    <cellStyle name="Hipervínculo" xfId="9951" builtinId="8" hidden="1"/>
    <cellStyle name="Hipervínculo" xfId="1527" builtinId="8" hidden="1"/>
    <cellStyle name="Hipervínculo" xfId="3369" builtinId="8" hidden="1"/>
    <cellStyle name="Hipervínculo" xfId="2753" builtinId="8" hidden="1"/>
    <cellStyle name="Hipervínculo" xfId="2995" builtinId="8" hidden="1"/>
    <cellStyle name="Hipervínculo" xfId="819" builtinId="8" hidden="1"/>
    <cellStyle name="Hipervínculo" xfId="1157" builtinId="8" hidden="1"/>
    <cellStyle name="Hipervínculo" xfId="4731" builtinId="8" hidden="1"/>
    <cellStyle name="Hipervínculo" xfId="6809" builtinId="8" hidden="1"/>
    <cellStyle name="Hipervínculo" xfId="8379" builtinId="8" hidden="1"/>
    <cellStyle name="Hipervínculo" xfId="6129" builtinId="8" hidden="1"/>
    <cellStyle name="Hipervínculo" xfId="4819" builtinId="8" hidden="1"/>
    <cellStyle name="Hipervínculo" xfId="3431" builtinId="8" hidden="1"/>
    <cellStyle name="Hipervínculo" xfId="5769" builtinId="8" hidden="1"/>
    <cellStyle name="Hipervínculo" xfId="9827" builtinId="8" hidden="1"/>
    <cellStyle name="Hipervínculo" xfId="1815" builtinId="8" hidden="1"/>
    <cellStyle name="Hipervínculo" xfId="417" builtinId="8" hidden="1"/>
    <cellStyle name="Hipervínculo" xfId="10595" builtinId="8" hidden="1"/>
    <cellStyle name="Hipervínculo" xfId="7985" builtinId="8" hidden="1"/>
    <cellStyle name="Hipervínculo" xfId="1871" builtinId="8" hidden="1"/>
    <cellStyle name="Hipervínculo" xfId="5141" builtinId="8" hidden="1"/>
    <cellStyle name="Hipervínculo" xfId="10003" builtinId="8" hidden="1"/>
    <cellStyle name="Hipervínculo" xfId="8473" builtinId="8" hidden="1"/>
    <cellStyle name="Hipervínculo" xfId="6871" builtinId="8" hidden="1"/>
    <cellStyle name="Hipervínculo" xfId="5155" builtinId="8" hidden="1"/>
    <cellStyle name="Hipervínculo" xfId="2651" builtinId="8" hidden="1"/>
    <cellStyle name="Hipervínculo" xfId="7655" builtinId="8" hidden="1"/>
    <cellStyle name="Hipervínculo" xfId="9609" builtinId="8" hidden="1"/>
    <cellStyle name="Hipervínculo" xfId="6107" builtinId="8" hidden="1"/>
    <cellStyle name="Hipervínculo" xfId="1339" builtinId="8" hidden="1"/>
    <cellStyle name="Hipervínculo" xfId="3437" builtinId="8" hidden="1"/>
    <cellStyle name="Hipervínculo" xfId="9519" builtinId="8" hidden="1"/>
    <cellStyle name="Hipervínculo" xfId="8029" builtinId="8" hidden="1"/>
    <cellStyle name="Hipervínculo" xfId="9701" builtinId="8" hidden="1"/>
    <cellStyle name="Hipervínculo" xfId="9401" builtinId="8" hidden="1"/>
    <cellStyle name="Hipervínculo" xfId="6045" builtinId="8" hidden="1"/>
    <cellStyle name="Hipervínculo" xfId="3483" builtinId="8" hidden="1"/>
    <cellStyle name="Hipervínculo" xfId="7133" builtinId="8" hidden="1"/>
    <cellStyle name="Hipervínculo" xfId="8903" builtinId="8" hidden="1"/>
    <cellStyle name="Hipervínculo" xfId="9391" builtinId="8" hidden="1"/>
    <cellStyle name="Hipervínculo" xfId="1279" builtinId="8" hidden="1"/>
    <cellStyle name="Hipervínculo" xfId="2831" builtinId="8" hidden="1"/>
    <cellStyle name="Hipervínculo" xfId="3651" builtinId="8" hidden="1"/>
    <cellStyle name="Hipervínculo" xfId="2301" builtinId="8" hidden="1"/>
    <cellStyle name="Hipervínculo" xfId="427" builtinId="8" hidden="1"/>
    <cellStyle name="Hipervínculo" xfId="6357" builtinId="8" hidden="1"/>
    <cellStyle name="Hipervínculo" xfId="7613" builtinId="8" hidden="1"/>
    <cellStyle name="Hipervínculo" xfId="9903" builtinId="8" hidden="1"/>
    <cellStyle name="Hipervínculo" xfId="197" builtinId="8" hidden="1"/>
    <cellStyle name="Hipervínculo" xfId="8417" builtinId="8" hidden="1"/>
    <cellStyle name="Hipervínculo" xfId="7315" builtinId="8" hidden="1"/>
    <cellStyle name="Hipervínculo" xfId="8101" builtinId="8" hidden="1"/>
    <cellStyle name="Hipervínculo" xfId="7065" builtinId="8" hidden="1"/>
    <cellStyle name="Hipervínculo" xfId="7937" builtinId="8" hidden="1"/>
    <cellStyle name="Hipervínculo" xfId="10721" builtinId="8" hidden="1"/>
    <cellStyle name="Hipervínculo" xfId="4775" builtinId="8" hidden="1"/>
    <cellStyle name="Hipervínculo" xfId="2927" builtinId="8" hidden="1"/>
    <cellStyle name="Hipervínculo" xfId="5099" builtinId="8" hidden="1"/>
    <cellStyle name="Hipervínculo" xfId="10773" builtinId="8" hidden="1"/>
    <cellStyle name="Hipervínculo" xfId="6921" builtinId="8" hidden="1"/>
    <cellStyle name="Hipervínculo" xfId="179" builtinId="8" hidden="1"/>
    <cellStyle name="Hipervínculo" xfId="4121" builtinId="8" hidden="1"/>
    <cellStyle name="Hipervínculo" xfId="929" builtinId="8" hidden="1"/>
    <cellStyle name="Hipervínculo" xfId="6673" builtinId="8" hidden="1"/>
    <cellStyle name="Hipervínculo" xfId="9891" builtinId="8" hidden="1"/>
    <cellStyle name="Hipervínculo" xfId="5909" builtinId="8" hidden="1"/>
    <cellStyle name="Hipervínculo" xfId="9299" builtinId="8" hidden="1"/>
    <cellStyle name="Hipervínculo" xfId="3867" builtinId="8" hidden="1"/>
    <cellStyle name="Hipervínculo" xfId="7949" builtinId="8" hidden="1"/>
    <cellStyle name="Hipervínculo" xfId="4457" builtinId="8" hidden="1"/>
    <cellStyle name="Hipervínculo" xfId="2867" builtinId="8" hidden="1"/>
    <cellStyle name="Hipervínculo" xfId="10295" builtinId="8" hidden="1"/>
    <cellStyle name="Hipervínculo" xfId="6261" builtinId="8" hidden="1"/>
    <cellStyle name="Hipervínculo" xfId="7959" builtinId="8" hidden="1"/>
    <cellStyle name="Hipervínculo" xfId="3799" builtinId="8" hidden="1"/>
    <cellStyle name="Hipervínculo" xfId="11043" builtinId="8" hidden="1"/>
    <cellStyle name="Hipervínculo" xfId="10253" builtinId="8" hidden="1"/>
    <cellStyle name="Hipervínculo" xfId="57" builtinId="8" hidden="1"/>
    <cellStyle name="Hipervínculo" xfId="1077" builtinId="8" hidden="1"/>
    <cellStyle name="Hipervínculo" xfId="5829" builtinId="8" hidden="1"/>
    <cellStyle name="Hipervínculo" xfId="6303" builtinId="8" hidden="1"/>
    <cellStyle name="Hipervínculo" xfId="11051" builtinId="8" hidden="1"/>
    <cellStyle name="Hipervínculo" xfId="1291" builtinId="8" hidden="1"/>
    <cellStyle name="Hipervínculo" xfId="843" builtinId="8" hidden="1"/>
    <cellStyle name="Hipervínculo" xfId="10583" builtinId="8" hidden="1"/>
    <cellStyle name="Hipervínculo" xfId="9697" builtinId="8" hidden="1"/>
    <cellStyle name="Hipervínculo" xfId="23" builtinId="8" hidden="1"/>
    <cellStyle name="Hipervínculo" xfId="747" builtinId="8" hidden="1"/>
    <cellStyle name="Hipervínculo" xfId="10437" builtinId="8" hidden="1"/>
    <cellStyle name="Hipervínculo" xfId="5519" builtinId="8" hidden="1"/>
    <cellStyle name="Hipervínculo" xfId="129" builtinId="8" hidden="1"/>
    <cellStyle name="Hipervínculo" xfId="7445" builtinId="8" hidden="1"/>
    <cellStyle name="Hipervínculo" xfId="9595" builtinId="8" hidden="1"/>
    <cellStyle name="Hipervínculo" xfId="9723" builtinId="8" hidden="1"/>
    <cellStyle name="Hipervínculo" xfId="981" builtinId="8" hidden="1"/>
    <cellStyle name="Hipervínculo" xfId="7291" builtinId="8" hidden="1"/>
    <cellStyle name="Hipervínculo" xfId="7277" builtinId="8" hidden="1"/>
    <cellStyle name="Hipervínculo" xfId="6349" builtinId="8" hidden="1"/>
    <cellStyle name="Hipervínculo" xfId="385" builtinId="8" hidden="1"/>
    <cellStyle name="Hipervínculo" xfId="10997" builtinId="8" hidden="1"/>
    <cellStyle name="Hipervínculo" xfId="10993" builtinId="8" hidden="1"/>
    <cellStyle name="Hipervínculo" xfId="1561" builtinId="8" hidden="1"/>
    <cellStyle name="Hipervínculo" xfId="8213" builtinId="8" hidden="1"/>
    <cellStyle name="Hipervínculo" xfId="10769" builtinId="8" hidden="1"/>
    <cellStyle name="Hipervínculo" xfId="8169" builtinId="8" hidden="1"/>
    <cellStyle name="Hipervínculo" xfId="4495" builtinId="8" hidden="1"/>
    <cellStyle name="Hipervínculo" xfId="7181" builtinId="8" hidden="1"/>
    <cellStyle name="Hipervínculo" xfId="4735" builtinId="8" hidden="1"/>
    <cellStyle name="Hipervínculo" xfId="4345" builtinId="8" hidden="1"/>
    <cellStyle name="Hipervínculo" xfId="3737" builtinId="8" hidden="1"/>
    <cellStyle name="Hipervínculo" xfId="511" builtinId="8" hidden="1"/>
    <cellStyle name="Hipervínculo" xfId="3439" builtinId="8" hidden="1"/>
    <cellStyle name="Hipervínculo" xfId="4587" builtinId="8" hidden="1"/>
    <cellStyle name="Hipervínculo" xfId="9073" builtinId="8" hidden="1"/>
    <cellStyle name="Hipervínculo" xfId="1353" builtinId="8" hidden="1"/>
    <cellStyle name="Hipervínculo" xfId="5359" builtinId="8" hidden="1"/>
    <cellStyle name="Hipervínculo" xfId="6813" builtinId="8" hidden="1"/>
    <cellStyle name="Hipervínculo" xfId="465" builtinId="8" hidden="1"/>
    <cellStyle name="Hipervínculo" xfId="9291" builtinId="8" hidden="1"/>
    <cellStyle name="Hipervínculo" xfId="7347" builtinId="8" hidden="1"/>
    <cellStyle name="Hipervínculo" xfId="9277" builtinId="8" hidden="1"/>
    <cellStyle name="Hipervínculo" xfId="10529" builtinId="8" hidden="1"/>
    <cellStyle name="Hipervínculo" xfId="5339" builtinId="8" hidden="1"/>
    <cellStyle name="Hipervínculo" xfId="2877" builtinId="8" hidden="1"/>
    <cellStyle name="Hipervínculo" xfId="8509" builtinId="8" hidden="1"/>
    <cellStyle name="Hipervínculo" xfId="2537" builtinId="8" hidden="1"/>
    <cellStyle name="Hipervínculo" xfId="4285" builtinId="8" hidden="1"/>
    <cellStyle name="Hipervínculo" xfId="10991" builtinId="8" hidden="1"/>
    <cellStyle name="Hipervínculo" xfId="1213" builtinId="8" hidden="1"/>
    <cellStyle name="Hipervínculo" xfId="5249" builtinId="8" hidden="1"/>
    <cellStyle name="Hipervínculo" xfId="3891" builtinId="8" hidden="1"/>
    <cellStyle name="Hipervínculo" xfId="8481" builtinId="8" hidden="1"/>
    <cellStyle name="Hipervínculo" xfId="5367" builtinId="8" hidden="1"/>
    <cellStyle name="Hipervínculo" xfId="3847" builtinId="8" hidden="1"/>
    <cellStyle name="Hipervínculo" xfId="1803" builtinId="8" hidden="1"/>
    <cellStyle name="Hipervínculo" xfId="10615" builtinId="8" hidden="1"/>
    <cellStyle name="Hipervínculo" xfId="7731" builtinId="8" hidden="1"/>
    <cellStyle name="Hipervínculo" xfId="761" builtinId="8" hidden="1"/>
    <cellStyle name="Hipervínculo" xfId="4143" builtinId="8" hidden="1"/>
    <cellStyle name="Hipervínculo" xfId="7221" builtinId="8" hidden="1"/>
    <cellStyle name="Hipervínculo" xfId="7029" builtinId="8" hidden="1"/>
    <cellStyle name="Hipervínculo" xfId="1237" builtinId="8" hidden="1"/>
    <cellStyle name="Hipervínculo" xfId="4483" builtinId="8" hidden="1"/>
    <cellStyle name="Hipervínculo" xfId="157" builtinId="8" hidden="1"/>
    <cellStyle name="Hipervínculo" xfId="755" builtinId="8" hidden="1"/>
    <cellStyle name="Hipervínculo" xfId="7197" builtinId="8" hidden="1"/>
    <cellStyle name="Hipervínculo" xfId="5287" builtinId="8" hidden="1"/>
    <cellStyle name="Hipervínculo" xfId="1277" builtinId="8" hidden="1"/>
    <cellStyle name="Hipervínculo" xfId="8807" builtinId="8" hidden="1"/>
    <cellStyle name="Hipervínculo" xfId="817" builtinId="8" hidden="1"/>
    <cellStyle name="Hipervínculo" xfId="7879" builtinId="8" hidden="1"/>
    <cellStyle name="Hipervínculo" xfId="1417" builtinId="8" hidden="1"/>
    <cellStyle name="Hipervínculo" xfId="2837" builtinId="8" hidden="1"/>
    <cellStyle name="Hipervínculo" xfId="2559" builtinId="8" hidden="1"/>
    <cellStyle name="Hipervínculo" xfId="8533" builtinId="8" hidden="1"/>
    <cellStyle name="Hipervínculo" xfId="3107" builtinId="8" hidden="1"/>
    <cellStyle name="Hipervínculo" xfId="9535" builtinId="8" hidden="1"/>
    <cellStyle name="Hipervínculo" xfId="10613" builtinId="8" hidden="1"/>
    <cellStyle name="Hipervínculo" xfId="7667" builtinId="8" hidden="1"/>
    <cellStyle name="Hipervínculo" xfId="1477" builtinId="8" hidden="1"/>
    <cellStyle name="Hipervínculo" xfId="9625" builtinId="8" hidden="1"/>
    <cellStyle name="Hipervínculo" xfId="3695" builtinId="8" hidden="1"/>
    <cellStyle name="Hipervínculo" xfId="7415" builtinId="8" hidden="1"/>
    <cellStyle name="Hipervínculo" xfId="871" builtinId="8" hidden="1"/>
    <cellStyle name="Hipervínculo" xfId="983" builtinId="8" hidden="1"/>
    <cellStyle name="Hipervínculo" xfId="6775" builtinId="8" hidden="1"/>
    <cellStyle name="Hipervínculo" xfId="4171" builtinId="8" hidden="1"/>
    <cellStyle name="Hipervínculo" xfId="9255" builtinId="8" hidden="1"/>
    <cellStyle name="Hipervínculo" xfId="4837" builtinId="8" hidden="1"/>
    <cellStyle name="Hipervínculo" xfId="4939" builtinId="8" hidden="1"/>
    <cellStyle name="Hipervínculo" xfId="3109" builtinId="8" hidden="1"/>
    <cellStyle name="Hipervínculo" xfId="4593" builtinId="8" hidden="1"/>
    <cellStyle name="Hipervínculo" xfId="8119" builtinId="8" hidden="1"/>
    <cellStyle name="Hipervínculo" xfId="1219" builtinId="8" hidden="1"/>
    <cellStyle name="Hipervínculo" xfId="5613" builtinId="8" hidden="1"/>
    <cellStyle name="Hipervínculo" xfId="4203" builtinId="8" hidden="1"/>
    <cellStyle name="Hipervínculo" xfId="163" builtinId="8" hidden="1"/>
    <cellStyle name="Hipervínculo" xfId="2591" builtinId="8" hidden="1"/>
    <cellStyle name="Hipervínculo" xfId="9135" builtinId="8" hidden="1"/>
    <cellStyle name="Hipervínculo" xfId="3833" builtinId="8" hidden="1"/>
    <cellStyle name="Hipervínculo" xfId="3743" builtinId="8" hidden="1"/>
    <cellStyle name="Hipervínculo" xfId="7705" builtinId="8" hidden="1"/>
    <cellStyle name="Hipervínculo" xfId="1841" builtinId="8" hidden="1"/>
    <cellStyle name="Hipervínculo" xfId="10183" builtinId="8" hidden="1"/>
    <cellStyle name="Hipervínculo" xfId="4021" builtinId="8" hidden="1"/>
    <cellStyle name="Hipervínculo" xfId="2419" builtinId="8" hidden="1"/>
    <cellStyle name="Hipervínculo" xfId="4123" builtinId="8" hidden="1"/>
    <cellStyle name="Hipervínculo" xfId="6163" builtinId="8" hidden="1"/>
    <cellStyle name="Hipervínculo" xfId="4675" builtinId="8" hidden="1"/>
    <cellStyle name="Hipervínculo" xfId="8961" builtinId="8" hidden="1"/>
    <cellStyle name="Hipervínculo" xfId="9957" builtinId="8" hidden="1"/>
    <cellStyle name="Hipervínculo" xfId="895" builtinId="8" hidden="1"/>
    <cellStyle name="Hipervínculo" xfId="6117" builtinId="8" hidden="1"/>
    <cellStyle name="Hipervínculo" xfId="883" builtinId="8" hidden="1"/>
    <cellStyle name="Hipervínculo" xfId="5361" builtinId="8" hidden="1"/>
    <cellStyle name="Hipervínculo" xfId="8049" builtinId="8" hidden="1"/>
    <cellStyle name="Hipervínculo" xfId="11067" builtinId="8" hidden="1"/>
    <cellStyle name="Hipervínculo" xfId="6737" builtinId="8" hidden="1"/>
    <cellStyle name="Hipervínculo" xfId="10071" builtinId="8" hidden="1"/>
    <cellStyle name="Hipervínculo" xfId="2097" builtinId="8" hidden="1"/>
    <cellStyle name="Hipervínculo" xfId="6073" builtinId="8" hidden="1"/>
    <cellStyle name="Hipervínculo" xfId="4617" builtinId="8" hidden="1"/>
    <cellStyle name="Hipervínculo" xfId="5019" builtinId="8" hidden="1"/>
    <cellStyle name="Hipervínculo" xfId="9319" builtinId="8" hidden="1"/>
    <cellStyle name="Hipervínculo" xfId="683" builtinId="8" hidden="1"/>
    <cellStyle name="Hipervínculo" xfId="7899" builtinId="8" hidden="1"/>
    <cellStyle name="Hipervínculo" xfId="2759" builtinId="8" hidden="1"/>
    <cellStyle name="Hipervínculo" xfId="9943" builtinId="8" hidden="1"/>
    <cellStyle name="Hipervínculo" xfId="1119" builtinId="8" hidden="1"/>
    <cellStyle name="Hipervínculo" xfId="6579" builtinId="8" hidden="1"/>
    <cellStyle name="Hipervínculo" xfId="1971" builtinId="8" hidden="1"/>
    <cellStyle name="Hipervínculo" xfId="10767" builtinId="8" hidden="1"/>
    <cellStyle name="Hipervínculo" xfId="3999" builtinId="8" hidden="1"/>
    <cellStyle name="Hipervínculo" xfId="4455" builtinId="8" hidden="1"/>
    <cellStyle name="Hipervínculo" xfId="4081" builtinId="8" hidden="1"/>
    <cellStyle name="Hipervínculo" xfId="3903" builtinId="8" hidden="1"/>
    <cellStyle name="Hipervínculo" xfId="4555" builtinId="8" hidden="1"/>
    <cellStyle name="Hipervínculo" xfId="4335" builtinId="8" hidden="1"/>
    <cellStyle name="Hipervínculo" xfId="6895" builtinId="8" hidden="1"/>
    <cellStyle name="Hipervínculo" xfId="3343" builtinId="8" hidden="1"/>
    <cellStyle name="Hipervínculo" xfId="7629" builtinId="8" hidden="1"/>
    <cellStyle name="Hipervínculo" xfId="1961" builtinId="8" hidden="1"/>
    <cellStyle name="Hipervínculo" xfId="7717" builtinId="8" hidden="1"/>
    <cellStyle name="Hipervínculo" xfId="2689" builtinId="8" hidden="1"/>
    <cellStyle name="Hipervínculo" xfId="3443" builtinId="8" hidden="1"/>
    <cellStyle name="Hipervínculo" xfId="3895" builtinId="8" hidden="1"/>
    <cellStyle name="Hipervínculo" xfId="1275" builtinId="8" hidden="1"/>
    <cellStyle name="Hipervínculo" xfId="8945" builtinId="8" hidden="1"/>
    <cellStyle name="Hipervínculo" xfId="1653" builtinId="8" hidden="1"/>
    <cellStyle name="Hipervínculo" xfId="7269" builtinId="8" hidden="1"/>
    <cellStyle name="Hipervínculo" xfId="4331" builtinId="8" hidden="1"/>
    <cellStyle name="Hipervínculo" xfId="6879" builtinId="8" hidden="1"/>
    <cellStyle name="Hipervínculo" xfId="7715" builtinId="8" hidden="1"/>
    <cellStyle name="Hipervínculo" xfId="3379" builtinId="8" hidden="1"/>
    <cellStyle name="Hipervínculo" xfId="1987" builtinId="8" hidden="1"/>
    <cellStyle name="Hipervínculo" xfId="4051" builtinId="8" hidden="1"/>
    <cellStyle name="Hipervínculo" xfId="9703" builtinId="8" hidden="1"/>
    <cellStyle name="Hipervínculo" xfId="8861" builtinId="8" hidden="1"/>
    <cellStyle name="Hipervínculo" xfId="6103" builtinId="8" hidden="1"/>
    <cellStyle name="Hipervínculo" xfId="5149" builtinId="8" hidden="1"/>
    <cellStyle name="Hipervínculo" xfId="2105" builtinId="8" hidden="1"/>
    <cellStyle name="Hipervínculo" xfId="5595" builtinId="8" hidden="1"/>
    <cellStyle name="Hipervínculo" xfId="825" builtinId="8" hidden="1"/>
    <cellStyle name="Hipervínculo" xfId="5405" builtinId="8" hidden="1"/>
    <cellStyle name="Hipervínculo" xfId="10013" builtinId="8" hidden="1"/>
    <cellStyle name="Hipervínculo" xfId="6029" builtinId="8" hidden="1"/>
    <cellStyle name="Hipervínculo" xfId="7531" builtinId="8" hidden="1"/>
    <cellStyle name="Hipervínculo" xfId="2061" builtinId="8" hidden="1"/>
    <cellStyle name="Hipervínculo" xfId="11023" builtinId="8" hidden="1"/>
    <cellStyle name="Hipervínculo" xfId="4049" builtinId="8" hidden="1"/>
    <cellStyle name="Hipervínculo" xfId="10271" builtinId="8" hidden="1"/>
    <cellStyle name="Hipervínculo" xfId="8673" builtinId="8" hidden="1"/>
    <cellStyle name="Hipervínculo" xfId="8135" builtinId="8" hidden="1"/>
    <cellStyle name="Hipervínculo" xfId="6479" builtinId="8" hidden="1"/>
    <cellStyle name="Hipervínculo" xfId="10509" builtinId="8" hidden="1"/>
    <cellStyle name="Hipervínculo" xfId="6087" builtinId="8" hidden="1"/>
    <cellStyle name="Hipervínculo" xfId="10909" builtinId="8" hidden="1"/>
    <cellStyle name="Hipervínculo" xfId="9803" builtinId="8" hidden="1"/>
    <cellStyle name="Hipervínculo" xfId="4777" builtinId="8" hidden="1"/>
    <cellStyle name="Hipervínculo" xfId="2329" builtinId="8" hidden="1"/>
    <cellStyle name="Hipervínculo" xfId="8661" builtinId="8" hidden="1"/>
    <cellStyle name="Hipervínculo" xfId="5931" builtinId="8" hidden="1"/>
    <cellStyle name="Hipervínculo" xfId="8193" builtinId="8" hidden="1"/>
    <cellStyle name="Hipervínculo" xfId="415" builtinId="8" hidden="1"/>
    <cellStyle name="Hipervínculo" xfId="9085" builtinId="8" hidden="1"/>
    <cellStyle name="Hipervínculo" xfId="7673" builtinId="8" hidden="1"/>
    <cellStyle name="Hipervínculo" xfId="1449" builtinId="8" hidden="1"/>
    <cellStyle name="Hipervínculo" xfId="1343" builtinId="8" hidden="1"/>
    <cellStyle name="Hipervínculo" xfId="9851" builtinId="8" hidden="1"/>
    <cellStyle name="Hipervínculo" xfId="4741" builtinId="8" hidden="1"/>
    <cellStyle name="Hipervínculo" xfId="7927" builtinId="8" hidden="1"/>
    <cellStyle name="Hipervínculo" xfId="367" builtinId="8" hidden="1"/>
    <cellStyle name="Hipervínculo" xfId="2829" builtinId="8" hidden="1"/>
    <cellStyle name="Hipervínculo" xfId="6381" builtinId="8" hidden="1"/>
    <cellStyle name="Hipervínculo" xfId="4003" builtinId="8" hidden="1"/>
    <cellStyle name="Hipervínculo" xfId="4565" builtinId="8" hidden="1"/>
    <cellStyle name="Hipervínculo" xfId="8171" builtinId="8" hidden="1"/>
    <cellStyle name="Hipervínculo" xfId="7999" builtinId="8" hidden="1"/>
    <cellStyle name="Hipervínculo" xfId="10749" builtinId="8" hidden="1"/>
    <cellStyle name="Hipervínculo" xfId="4861" builtinId="8" hidden="1"/>
    <cellStyle name="Hipervínculo" xfId="7211" builtinId="8" hidden="1"/>
    <cellStyle name="Hipervínculo" xfId="2063" builtinId="8" hidden="1"/>
    <cellStyle name="Hipervínculo" xfId="3779" builtinId="8" hidden="1"/>
    <cellStyle name="Hipervínculo" xfId="5885" builtinId="8" hidden="1"/>
    <cellStyle name="Hipervínculo" xfId="10265" builtinId="8" hidden="1"/>
    <cellStyle name="Hipervínculo" xfId="2321" builtinId="8" hidden="1"/>
    <cellStyle name="Hipervínculo" xfId="1821" builtinId="8" hidden="1"/>
    <cellStyle name="Hipervínculo" xfId="269" builtinId="8" hidden="1"/>
    <cellStyle name="Hipervínculo" xfId="9587" builtinId="8" hidden="1"/>
    <cellStyle name="Hipervínculo" xfId="6079" builtinId="8" hidden="1"/>
    <cellStyle name="Hipervínculo" xfId="4327" builtinId="8" hidden="1"/>
    <cellStyle name="Hipervínculo" xfId="8451" builtinId="8" hidden="1"/>
    <cellStyle name="Hipervínculo" xfId="7901" builtinId="8" hidden="1"/>
    <cellStyle name="Hipervínculo" xfId="5731" builtinId="8" hidden="1"/>
    <cellStyle name="Hipervínculo" xfId="6691" builtinId="8" hidden="1"/>
    <cellStyle name="Hipervínculo" xfId="8359" builtinId="8" hidden="1"/>
    <cellStyle name="Hipervínculo" xfId="9075" builtinId="8" hidden="1"/>
    <cellStyle name="Hipervínculo" xfId="4313" builtinId="8" hidden="1"/>
    <cellStyle name="Hipervínculo" xfId="10855" builtinId="8" hidden="1"/>
    <cellStyle name="Hipervínculo" xfId="7653" builtinId="8" hidden="1"/>
    <cellStyle name="Hipervínculo" xfId="5135" builtinId="8" hidden="1"/>
    <cellStyle name="Hipervínculo" xfId="4651" builtinId="8" hidden="1"/>
    <cellStyle name="Hipervínculo" xfId="9361" builtinId="8" hidden="1"/>
    <cellStyle name="Hipervínculo" xfId="9287" builtinId="8" hidden="1"/>
    <cellStyle name="Hipervínculo" xfId="7009" builtinId="8" hidden="1"/>
    <cellStyle name="Hipervínculo" xfId="5947" builtinId="8" hidden="1"/>
    <cellStyle name="Hipervínculo" xfId="4235" builtinId="8" hidden="1"/>
    <cellStyle name="Hipervínculo" xfId="6413" builtinId="8" hidden="1"/>
    <cellStyle name="Hipervínculo" xfId="7957" builtinId="8" hidden="1"/>
    <cellStyle name="Hipervínculo" xfId="9331" builtinId="8" hidden="1"/>
    <cellStyle name="Hipervínculo" xfId="5133" builtinId="8" hidden="1"/>
    <cellStyle name="Hipervínculo" xfId="2339" builtinId="8" hidden="1"/>
    <cellStyle name="Hipervínculo" xfId="3449" builtinId="8" hidden="1"/>
    <cellStyle name="Hipervínculo" xfId="3197" builtinId="8" hidden="1"/>
    <cellStyle name="Hipervínculo" xfId="5001" builtinId="8" hidden="1"/>
    <cellStyle name="Hipervínculo" xfId="8391" builtinId="8" hidden="1"/>
    <cellStyle name="Hipervínculo" xfId="7517" builtinId="8" hidden="1"/>
    <cellStyle name="Hipervínculo" xfId="7215" builtinId="8" hidden="1"/>
    <cellStyle name="Hipervínculo" xfId="8411" builtinId="8" hidden="1"/>
    <cellStyle name="Hipervínculo" xfId="7101" builtinId="8" hidden="1"/>
    <cellStyle name="Hipervínculo" xfId="10891" builtinId="8" hidden="1"/>
    <cellStyle name="Hipervínculo" xfId="7125" builtinId="8" hidden="1"/>
    <cellStyle name="Hipervínculo" xfId="10737" builtinId="8" hidden="1"/>
    <cellStyle name="Hipervínculo" xfId="1315" builtinId="8" hidden="1"/>
    <cellStyle name="Hipervínculo" xfId="517" builtinId="8" hidden="1"/>
    <cellStyle name="Hipervínculo" xfId="185" builtinId="8" hidden="1"/>
    <cellStyle name="Hipervínculo" xfId="7275" builtinId="8" hidden="1"/>
    <cellStyle name="Hipervínculo" xfId="1379" builtinId="8" hidden="1"/>
    <cellStyle name="Hipervínculo" xfId="2169" builtinId="8" hidden="1"/>
    <cellStyle name="Hipervínculo" xfId="6975" builtinId="8" hidden="1"/>
    <cellStyle name="Hipervínculo" xfId="8599" builtinId="8" hidden="1"/>
    <cellStyle name="Hipervínculo" xfId="3123" builtinId="8" hidden="1"/>
    <cellStyle name="Hipervínculo" xfId="5207" builtinId="8" hidden="1"/>
    <cellStyle name="Hipervínculo" xfId="11075" builtinId="8" hidden="1"/>
    <cellStyle name="Hipervínculo" xfId="2065" builtinId="8" hidden="1"/>
    <cellStyle name="Hipervínculo" xfId="10589" builtinId="8" hidden="1"/>
    <cellStyle name="Hipervínculo" xfId="95" builtinId="8" hidden="1"/>
    <cellStyle name="Hipervínculo" xfId="3165" builtinId="8" hidden="1"/>
    <cellStyle name="Hipervínculo" xfId="4993" builtinId="8" hidden="1"/>
    <cellStyle name="Hipervínculo" xfId="4173" builtinId="8" hidden="1"/>
    <cellStyle name="Hipervínculo" xfId="8059" builtinId="8" hidden="1"/>
    <cellStyle name="Hipervínculo" xfId="2409" builtinId="8" hidden="1"/>
    <cellStyle name="Hipervínculo" xfId="8279" builtinId="8" hidden="1"/>
    <cellStyle name="Hipervínculo" xfId="7093" builtinId="8" hidden="1"/>
    <cellStyle name="Hipervínculo" xfId="3925" builtinId="8" hidden="1"/>
    <cellStyle name="Hipervínculo" xfId="10967" builtinId="8" hidden="1"/>
    <cellStyle name="Hipervínculo" xfId="949" builtinId="8" hidden="1"/>
    <cellStyle name="Hipervínculo" xfId="399" builtinId="8" hidden="1"/>
    <cellStyle name="Hipervínculo" xfId="7407" builtinId="8" hidden="1"/>
    <cellStyle name="Hipervínculo" xfId="8871" builtinId="8" hidden="1"/>
    <cellStyle name="Hipervínculo" xfId="3127" builtinId="8" hidden="1"/>
    <cellStyle name="Hipervínculo" xfId="9429" builtinId="8" hidden="1"/>
    <cellStyle name="Hipervínculo" xfId="4629" builtinId="8" hidden="1"/>
    <cellStyle name="Hipervínculo" xfId="4267" builtinId="8" hidden="1"/>
    <cellStyle name="Hipervínculo" xfId="8567" builtinId="8" hidden="1"/>
    <cellStyle name="Hipervínculo" xfId="5065" builtinId="8" hidden="1"/>
    <cellStyle name="Hipervínculo" xfId="9623" builtinId="8" hidden="1"/>
    <cellStyle name="Hipervínculo" xfId="135" builtinId="8" hidden="1"/>
    <cellStyle name="Hipervínculo" xfId="117" builtinId="8" hidden="1"/>
    <cellStyle name="Hipervínculo" xfId="3049" builtinId="8" hidden="1"/>
    <cellStyle name="Hipervínculo" xfId="7163" builtinId="8" hidden="1"/>
    <cellStyle name="Hipervínculo" xfId="7489" builtinId="8" hidden="1"/>
    <cellStyle name="Hipervínculo" xfId="8685" builtinId="8" hidden="1"/>
    <cellStyle name="Hipervínculo" xfId="9567" builtinId="8" hidden="1"/>
    <cellStyle name="Hipervínculo" xfId="4395" builtinId="8" hidden="1"/>
    <cellStyle name="Hipervínculo" xfId="2769" builtinId="8" hidden="1"/>
    <cellStyle name="Hipervínculo" xfId="7521" builtinId="8" hidden="1"/>
    <cellStyle name="Hipervínculo" xfId="8381" builtinId="8" hidden="1"/>
    <cellStyle name="Hipervínculo" xfId="1651" builtinId="8" hidden="1"/>
    <cellStyle name="Hipervínculo" xfId="3589" builtinId="8" hidden="1"/>
    <cellStyle name="Hipervínculo" xfId="8949" builtinId="8" hidden="1"/>
    <cellStyle name="Hipervínculo" xfId="10969" builtinId="8" hidden="1"/>
    <cellStyle name="Hipervínculo" xfId="991" builtinId="8" hidden="1"/>
    <cellStyle name="Hipervínculo" xfId="5043" builtinId="8" hidden="1"/>
    <cellStyle name="Hipervínculo" xfId="4055" builtinId="8" hidden="1"/>
    <cellStyle name="Hipervínculo" xfId="9907" builtinId="8" hidden="1"/>
    <cellStyle name="Hipervínculo" xfId="2337" builtinId="8" hidden="1"/>
    <cellStyle name="Hipervínculo" xfId="4781" builtinId="8" hidden="1"/>
    <cellStyle name="Hipervínculo" xfId="8137" builtinId="8" hidden="1"/>
    <cellStyle name="Hipervínculo" xfId="7427" builtinId="8" hidden="1"/>
    <cellStyle name="Hipervínculo" xfId="4779" builtinId="8" hidden="1"/>
    <cellStyle name="Hipervínculo" xfId="6595" builtinId="8" hidden="1"/>
    <cellStyle name="Hipervínculo" xfId="4605" builtinId="8" hidden="1"/>
    <cellStyle name="Hipervínculo" xfId="8639" builtinId="8" hidden="1"/>
    <cellStyle name="Hipervínculo" xfId="10925" builtinId="8" hidden="1"/>
    <cellStyle name="Hipervínculo" xfId="9583" builtinId="8" hidden="1"/>
    <cellStyle name="Hipervínculo" xfId="1799" builtinId="8" hidden="1"/>
    <cellStyle name="Hipervínculo" xfId="9185" builtinId="8" hidden="1"/>
    <cellStyle name="Hipervínculo" xfId="9913" builtinId="8" hidden="1"/>
    <cellStyle name="Hipervínculo" xfId="2921" builtinId="8" hidden="1"/>
    <cellStyle name="Hipervínculo" xfId="10083" builtinId="8" hidden="1"/>
    <cellStyle name="Hipervínculo" xfId="6883" builtinId="8" hidden="1"/>
    <cellStyle name="Hipervínculo" xfId="8299" builtinId="8" hidden="1"/>
    <cellStyle name="Hipervínculo" xfId="8061" builtinId="8" hidden="1"/>
    <cellStyle name="Hipervínculo" xfId="10541" builtinId="8" hidden="1"/>
    <cellStyle name="Hipervínculo" xfId="10059" builtinId="8" hidden="1"/>
    <cellStyle name="Hipervínculo" xfId="7847" builtinId="8" hidden="1"/>
    <cellStyle name="Hipervínculo" xfId="7537" builtinId="8" hidden="1"/>
    <cellStyle name="Hipervínculo" xfId="8581" builtinId="8" hidden="1"/>
    <cellStyle name="Hipervínculo" xfId="1679" builtinId="8" hidden="1"/>
    <cellStyle name="Hipervínculo" xfId="7593" builtinId="8" hidden="1"/>
    <cellStyle name="Hipervínculo" xfId="2909" builtinId="8" hidden="1"/>
    <cellStyle name="Hipervínculo" xfId="9547" builtinId="8" hidden="1"/>
    <cellStyle name="Hipervínculo" xfId="4375" builtinId="8" hidden="1"/>
    <cellStyle name="Hipervínculo" xfId="2131" builtinId="8" hidden="1"/>
    <cellStyle name="Hipervínculo" xfId="5355" builtinId="8" hidden="1"/>
    <cellStyle name="Hipervínculo" xfId="1475" builtinId="8" hidden="1"/>
    <cellStyle name="Hipervínculo" xfId="3881" builtinId="8" hidden="1"/>
    <cellStyle name="Hipervínculo" xfId="4301" builtinId="8" hidden="1"/>
    <cellStyle name="Hipervínculo" xfId="5111" builtinId="8" hidden="1"/>
    <cellStyle name="Hipervínculo" xfId="1455" builtinId="8" hidden="1"/>
    <cellStyle name="Hipervínculo" xfId="4439" builtinId="8" hidden="1"/>
    <cellStyle name="Hipervínculo" xfId="951" builtinId="8" hidden="1"/>
    <cellStyle name="Hipervínculo" xfId="6685" builtinId="8" hidden="1"/>
    <cellStyle name="Hipervínculo" xfId="10871" builtinId="8" hidden="1"/>
    <cellStyle name="Hipervínculo" xfId="9071" builtinId="8" hidden="1"/>
    <cellStyle name="Hipervínculo" xfId="651" builtinId="8" hidden="1"/>
    <cellStyle name="Hipervínculo" xfId="3315" builtinId="8" hidden="1"/>
    <cellStyle name="Hipervínculo" xfId="8969" builtinId="8" hidden="1"/>
    <cellStyle name="Hipervínculo" xfId="5667" builtinId="8" hidden="1"/>
    <cellStyle name="Hipervínculo" xfId="4339" builtinId="8" hidden="1"/>
    <cellStyle name="Hipervínculo" xfId="867" builtinId="8" hidden="1"/>
    <cellStyle name="Hipervínculo" xfId="6431" builtinId="8" hidden="1"/>
    <cellStyle name="Hipervínculo" xfId="4103" builtinId="8" hidden="1"/>
    <cellStyle name="Hipervínculo" xfId="921" builtinId="8" hidden="1"/>
    <cellStyle name="Hipervínculo" xfId="3993" builtinId="8" hidden="1"/>
    <cellStyle name="Hipervínculo" xfId="3363" builtinId="8" hidden="1"/>
    <cellStyle name="Hipervínculo" xfId="6675" builtinId="8" hidden="1"/>
    <cellStyle name="Hipervínculo" xfId="8803" builtinId="8" hidden="1"/>
    <cellStyle name="Hipervínculo" xfId="11073" builtinId="8" hidden="1"/>
    <cellStyle name="Hipervínculo" xfId="6443" builtinId="8" hidden="1"/>
    <cellStyle name="Hipervínculo" xfId="5533" builtinId="8" hidden="1"/>
    <cellStyle name="Hipervínculo" xfId="4097" builtinId="8" hidden="1"/>
    <cellStyle name="Hipervínculo" xfId="4291" builtinId="8" hidden="1"/>
    <cellStyle name="Hipervínculo" xfId="5745" builtinId="8" hidden="1"/>
    <cellStyle name="Hipervínculo" xfId="7453" builtinId="8" hidden="1"/>
    <cellStyle name="Hipervínculo" xfId="6217" builtinId="8" hidden="1"/>
    <cellStyle name="Hipervínculo" xfId="6467" builtinId="8" hidden="1"/>
    <cellStyle name="Hipervínculo" xfId="4045" builtinId="8" hidden="1"/>
    <cellStyle name="Hipervínculo" xfId="9967" builtinId="8" hidden="1"/>
    <cellStyle name="Hipervínculo" xfId="6561" builtinId="8" hidden="1"/>
    <cellStyle name="Hipervínculo" xfId="1229" builtinId="8" hidden="1"/>
    <cellStyle name="Hipervínculo" xfId="1267" builtinId="8" hidden="1"/>
    <cellStyle name="Hipervínculo" xfId="1433" builtinId="8" hidden="1"/>
    <cellStyle name="Hipervínculo" xfId="5873" builtinId="8" hidden="1"/>
    <cellStyle name="Hipervínculo" xfId="3137" builtinId="8" hidden="1"/>
    <cellStyle name="Hipervínculo" xfId="3669" builtinId="8" hidden="1"/>
    <cellStyle name="Hipervínculo" xfId="8783" builtinId="8" hidden="1"/>
    <cellStyle name="Hipervínculo" xfId="975" builtinId="8" hidden="1"/>
    <cellStyle name="Hipervínculo" xfId="313" builtinId="8" hidden="1"/>
    <cellStyle name="Hipervínculo" xfId="3953" builtinId="8" hidden="1"/>
    <cellStyle name="Hipervínculo" xfId="8885" builtinId="8" hidden="1"/>
    <cellStyle name="Hipervínculo" xfId="10799" builtinId="8" hidden="1"/>
    <cellStyle name="Hipervínculo" xfId="5597" builtinId="8" hidden="1"/>
    <cellStyle name="Hipervínculo" xfId="5831" builtinId="8" hidden="1"/>
    <cellStyle name="Hipervínculo" xfId="227" builtinId="8" hidden="1"/>
    <cellStyle name="Hipervínculo" xfId="6701" builtinId="8" hidden="1"/>
    <cellStyle name="Hipervínculo" xfId="7267" builtinId="8" hidden="1"/>
    <cellStyle name="Hipervínculo" xfId="6241" builtinId="8" hidden="1"/>
    <cellStyle name="Hipervínculo" xfId="6969" builtinId="8" hidden="1"/>
    <cellStyle name="Hipervínculo" xfId="7931" builtinId="8" hidden="1"/>
    <cellStyle name="Hipervínculo" xfId="2415" builtinId="8" hidden="1"/>
    <cellStyle name="Hipervínculo" xfId="1059" builtinId="8" hidden="1"/>
    <cellStyle name="Hipervínculo" xfId="1371" builtinId="8" hidden="1"/>
    <cellStyle name="Hipervínculo" xfId="9867" builtinId="8" hidden="1"/>
    <cellStyle name="Hipervínculo" xfId="6019" builtinId="8" hidden="1"/>
    <cellStyle name="Hipervínculo" xfId="5601" builtinId="8" hidden="1"/>
    <cellStyle name="Hipervínculo" xfId="1791" builtinId="8" hidden="1"/>
    <cellStyle name="Hipervínculo" xfId="2285" builtinId="8" hidden="1"/>
    <cellStyle name="Hipervínculo" xfId="759" builtinId="8" hidden="1"/>
    <cellStyle name="Hipervínculo" xfId="3983" builtinId="8" hidden="1"/>
    <cellStyle name="Hipervínculo" xfId="4137" builtinId="8" hidden="1"/>
    <cellStyle name="Hipervínculo" xfId="3177" builtinId="8" hidden="1"/>
    <cellStyle name="Hipervínculo" xfId="8007" builtinId="8" hidden="1"/>
    <cellStyle name="Hipervínculo" xfId="10905" builtinId="8" hidden="1"/>
    <cellStyle name="Hipervínculo" xfId="6051" builtinId="8" hidden="1"/>
    <cellStyle name="Hipervínculo" xfId="10115" builtinId="8" hidden="1"/>
    <cellStyle name="Hipervínculo" xfId="2647" builtinId="8" hidden="1"/>
    <cellStyle name="Hipervínculo" xfId="7201" builtinId="8" hidden="1"/>
    <cellStyle name="Hipervínculo" xfId="5215" builtinId="8" hidden="1"/>
    <cellStyle name="Hipervínculo" xfId="9497" builtinId="8" hidden="1"/>
    <cellStyle name="Hipervínculo" xfId="215" builtinId="8" hidden="1"/>
    <cellStyle name="Hipervínculo" xfId="8427" builtinId="8" hidden="1"/>
    <cellStyle name="Hipervínculo" xfId="5347" builtinId="8" hidden="1"/>
    <cellStyle name="Hipervínculo" xfId="3723" builtinId="8" hidden="1"/>
    <cellStyle name="Hipervínculo" xfId="5203" builtinId="8" hidden="1"/>
    <cellStyle name="Hipervínculo" xfId="10841" builtinId="8" hidden="1"/>
    <cellStyle name="Hipervínculo" xfId="9261" builtinId="8" hidden="1"/>
    <cellStyle name="Hipervínculo" xfId="3739" builtinId="8" hidden="1"/>
    <cellStyle name="Hipervínculo" xfId="85" builtinId="8" hidden="1"/>
    <cellStyle name="Hipervínculo" xfId="9105" builtinId="8" hidden="1"/>
    <cellStyle name="Hipervínculo" xfId="4029" builtinId="8" hidden="1"/>
    <cellStyle name="Hipervínculo" xfId="5905" builtinId="8" hidden="1"/>
    <cellStyle name="Hipervínculo" xfId="5153" builtinId="8" hidden="1"/>
    <cellStyle name="Hipervínculo" xfId="8551" builtinId="8" hidden="1"/>
    <cellStyle name="Hipervínculo" xfId="5981" builtinId="8" hidden="1"/>
    <cellStyle name="Hipervínculo" xfId="187" builtinId="8" hidden="1"/>
    <cellStyle name="Hipervínculo" xfId="7619" builtinId="8" hidden="1"/>
    <cellStyle name="Hipervínculo" xfId="5147" builtinId="8" hidden="1"/>
    <cellStyle name="Hipervínculo" xfId="6267" builtinId="8" hidden="1"/>
    <cellStyle name="Hipervínculo" xfId="1909" builtinId="8" hidden="1"/>
    <cellStyle name="Hipervínculo" xfId="8915" builtinId="8" hidden="1"/>
    <cellStyle name="Hipervínculo" xfId="7577" builtinId="8" hidden="1"/>
    <cellStyle name="Hipervínculo" xfId="935" builtinId="8" hidden="1"/>
    <cellStyle name="Hipervínculo" xfId="10567" builtinId="8" hidden="1"/>
    <cellStyle name="Hipervínculo" xfId="8319" builtinId="8" hidden="1"/>
    <cellStyle name="Hipervínculo" xfId="8579" builtinId="8" hidden="1"/>
    <cellStyle name="Hipervínculo" xfId="631" builtinId="8" hidden="1"/>
    <cellStyle name="Hipervínculo" xfId="1017" builtinId="8" hidden="1"/>
    <cellStyle name="Hipervínculo" xfId="8357" builtinId="8" hidden="1"/>
    <cellStyle name="Hipervínculo" xfId="4885" builtinId="8" hidden="1"/>
    <cellStyle name="Hipervínculo" xfId="7139" builtinId="8" hidden="1"/>
    <cellStyle name="Hipervínculo" xfId="6943" builtinId="8" hidden="1"/>
    <cellStyle name="Hipervínculo" xfId="9773" builtinId="8" hidden="1"/>
    <cellStyle name="Hipervínculo" xfId="8697" builtinId="8" hidden="1"/>
    <cellStyle name="Hipervínculo" xfId="7631" builtinId="8" hidden="1"/>
    <cellStyle name="Hipervínculo" xfId="10319" builtinId="8" hidden="1"/>
    <cellStyle name="Hipervínculo" xfId="3115" builtinId="8" hidden="1"/>
    <cellStyle name="Hipervínculo" xfId="1539" builtinId="8" hidden="1"/>
    <cellStyle name="Hipervínculo" xfId="2821" builtinId="8" hidden="1"/>
    <cellStyle name="Hipervínculo" xfId="1677" builtinId="8" hidden="1"/>
    <cellStyle name="Hipervínculo" xfId="4965" builtinId="8" hidden="1"/>
    <cellStyle name="Hipervínculo" xfId="2363" builtinId="8" hidden="1"/>
    <cellStyle name="Hipervínculo" xfId="10691" builtinId="8" hidden="1"/>
    <cellStyle name="Hipervínculo" xfId="10217" builtinId="8" hidden="1"/>
    <cellStyle name="Hipervínculo" xfId="3209" builtinId="8" hidden="1"/>
    <cellStyle name="Hipervínculo" xfId="1453" builtinId="8" hidden="1"/>
    <cellStyle name="Hipervínculo" xfId="8913" builtinId="8" hidden="1"/>
    <cellStyle name="Hipervínculo" xfId="3331" builtinId="8" hidden="1"/>
    <cellStyle name="Hipervínculo" xfId="131" builtinId="8" hidden="1"/>
    <cellStyle name="Hipervínculo" xfId="6223" builtinId="8" hidden="1"/>
    <cellStyle name="Hipervínculo" xfId="9171" builtinId="8" hidden="1"/>
    <cellStyle name="Hipervínculo" xfId="3033" builtinId="8" hidden="1"/>
    <cellStyle name="Hipervínculo" xfId="9657" builtinId="8" hidden="1"/>
    <cellStyle name="Hipervínculo" xfId="6385" builtinId="8" hidden="1"/>
    <cellStyle name="Hipervínculo" xfId="10311" builtinId="8" hidden="1"/>
    <cellStyle name="Hipervínculo" xfId="2059" builtinId="8" hidden="1"/>
    <cellStyle name="Hipervínculo" xfId="6951" builtinId="8" hidden="1"/>
    <cellStyle name="Hipervínculo" xfId="5587" builtinId="8" hidden="1"/>
    <cellStyle name="Hipervínculo" xfId="2793" builtinId="8" hidden="1"/>
    <cellStyle name="Hipervínculo" xfId="1013" builtinId="8" hidden="1"/>
    <cellStyle name="Hipervínculo" xfId="5459" builtinId="8" hidden="1"/>
    <cellStyle name="Hipervínculo" xfId="9193" builtinId="8" hidden="1"/>
    <cellStyle name="Hipervínculo" xfId="275" builtinId="8" hidden="1"/>
    <cellStyle name="Hipervínculo" xfId="4373" builtinId="8" hidden="1"/>
    <cellStyle name="Hipervínculo" xfId="9995" builtinId="8" hidden="1"/>
    <cellStyle name="Hipervínculo" xfId="3659" builtinId="8" hidden="1"/>
    <cellStyle name="Hipervínculo" xfId="4907" builtinId="8" hidden="1"/>
    <cellStyle name="Hipervínculo" xfId="2751" builtinId="8" hidden="1"/>
    <cellStyle name="Hipervínculo" xfId="1181" builtinId="8" hidden="1"/>
    <cellStyle name="Hipervínculo" xfId="3567" builtinId="8" hidden="1"/>
    <cellStyle name="Hipervínculo" xfId="4631" builtinId="8" hidden="1"/>
    <cellStyle name="Hipervínculo" xfId="10401" builtinId="8" hidden="1"/>
    <cellStyle name="Hipervínculo" xfId="8365" builtinId="8" hidden="1"/>
    <cellStyle name="Hipervínculo" xfId="2629" builtinId="8" hidden="1"/>
    <cellStyle name="Hipervínculo" xfId="6493" builtinId="8" hidden="1"/>
    <cellStyle name="Hipervínculo" xfId="7743" builtinId="8" hidden="1"/>
    <cellStyle name="Hipervínculo" xfId="6125" builtinId="8" hidden="1"/>
    <cellStyle name="Hipervínculo" xfId="2091" builtinId="8" hidden="1"/>
    <cellStyle name="Hipervínculo" xfId="10343" builtinId="8" hidden="1"/>
    <cellStyle name="Hipervínculo" xfId="657" builtinId="8" hidden="1"/>
    <cellStyle name="Hipervínculo" xfId="801" builtinId="8" hidden="1"/>
    <cellStyle name="Hipervínculo" xfId="5291" builtinId="8" hidden="1"/>
    <cellStyle name="Hipervínculo" xfId="6637" builtinId="8" hidden="1"/>
    <cellStyle name="Hipervínculo" xfId="9241" builtinId="8" hidden="1"/>
    <cellStyle name="Hipervínculo" xfId="8191" builtinId="8" hidden="1"/>
    <cellStyle name="Hipervínculo" xfId="307" builtinId="8" hidden="1"/>
    <cellStyle name="Hipervínculo" xfId="3593" builtinId="8" hidden="1"/>
    <cellStyle name="Hipervínculo" xfId="9751" builtinId="8" hidden="1"/>
    <cellStyle name="Hipervínculo" xfId="9181" builtinId="8" hidden="1"/>
    <cellStyle name="Hipervínculo" xfId="1113" builtinId="8" hidden="1"/>
    <cellStyle name="Hipervínculo" xfId="7253" builtinId="8" hidden="1"/>
    <cellStyle name="Hipervínculo" xfId="4835" builtinId="8" hidden="1"/>
    <cellStyle name="Hipervínculo" xfId="6845" builtinId="8" hidden="1"/>
    <cellStyle name="Hipervínculo" xfId="4689" builtinId="8" hidden="1"/>
    <cellStyle name="Hipervínculo" xfId="2309" builtinId="8" hidden="1"/>
    <cellStyle name="Hipervínculo" xfId="10449" builtinId="8" hidden="1"/>
    <cellStyle name="Hipervínculo" xfId="8873" builtinId="8" hidden="1"/>
    <cellStyle name="Hipervínculo" xfId="3937" builtinId="8" hidden="1"/>
    <cellStyle name="Hipervínculo" xfId="2977" builtinId="8" hidden="1"/>
    <cellStyle name="Hipervínculo" xfId="2807" builtinId="8" hidden="1"/>
    <cellStyle name="Hipervínculo" xfId="4961" builtinId="8" hidden="1"/>
    <cellStyle name="Hipervínculo" xfId="1043" builtinId="8" hidden="1"/>
    <cellStyle name="Hipervínculo" xfId="9713" builtinId="8" hidden="1"/>
    <cellStyle name="Hipervínculo" xfId="5145" builtinId="8" hidden="1"/>
    <cellStyle name="Hipervínculo" xfId="6557" builtinId="8" hidden="1"/>
    <cellStyle name="Hipervínculo" xfId="5483" builtinId="8" hidden="1"/>
    <cellStyle name="Hipervínculo" xfId="10935" builtinId="8" hidden="1"/>
    <cellStyle name="Hipervínculo" xfId="9649" builtinId="8" hidden="1"/>
    <cellStyle name="Hipervínculo" xfId="3741" builtinId="8" hidden="1"/>
    <cellStyle name="Hipervínculo" xfId="4133" builtinId="8" hidden="1"/>
    <cellStyle name="Hipervínculo" xfId="4469" builtinId="8" hidden="1"/>
    <cellStyle name="Hipervínculo" xfId="7873" builtinId="8" hidden="1"/>
    <cellStyle name="Hipervínculo" xfId="9283" builtinId="8" hidden="1"/>
    <cellStyle name="Hipervínculo" xfId="10497" builtinId="8" hidden="1"/>
    <cellStyle name="Hipervínculo" xfId="9747" builtinId="8" hidden="1"/>
    <cellStyle name="Hipervínculo" xfId="3717" builtinId="8" hidden="1"/>
    <cellStyle name="Hipervínculo" xfId="6459" builtinId="8" hidden="1"/>
    <cellStyle name="Hipervínculo" xfId="9619" builtinId="8" hidden="1"/>
    <cellStyle name="Hipervínculo" xfId="2121" builtinId="8" hidden="1"/>
    <cellStyle name="Hipervínculo" xfId="8243" builtinId="8" hidden="1"/>
    <cellStyle name="Hipervínculo" xfId="9039" builtinId="8" hidden="1"/>
    <cellStyle name="Hipervínculo" xfId="4785" builtinId="8" hidden="1"/>
    <cellStyle name="Hipervínculo" xfId="9665" builtinId="8" hidden="1"/>
    <cellStyle name="Hipervínculo" xfId="1031" builtinId="8" hidden="1"/>
    <cellStyle name="Hipervínculo" xfId="6767" builtinId="8" hidden="1"/>
    <cellStyle name="Hipervínculo" xfId="10899" builtinId="8" hidden="1"/>
    <cellStyle name="Hipervínculo" xfId="4545" builtinId="8" hidden="1"/>
    <cellStyle name="Hipervínculo" xfId="8941" builtinId="8" hidden="1"/>
    <cellStyle name="Hipervínculo" xfId="9119" builtinId="8" hidden="1"/>
    <cellStyle name="Hipervínculo" xfId="6025" builtinId="8" hidden="1"/>
    <cellStyle name="Hipervínculo" xfId="7283" builtinId="8" hidden="1"/>
    <cellStyle name="Hipervínculo" xfId="5967" builtinId="8" hidden="1"/>
    <cellStyle name="Hipervínculo" xfId="7179" builtinId="8" hidden="1"/>
    <cellStyle name="Hipervínculo" xfId="5441" builtinId="8" hidden="1"/>
    <cellStyle name="Hipervínculo" xfId="713" builtinId="8" hidden="1"/>
    <cellStyle name="Hipervínculo" xfId="6647" builtinId="8" hidden="1"/>
    <cellStyle name="Hipervínculo" xfId="6101" builtinId="8" hidden="1"/>
    <cellStyle name="Hipervínculo" xfId="9735" builtinId="8" hidden="1"/>
    <cellStyle name="Hipervínculo" xfId="3883" builtinId="8" hidden="1"/>
    <cellStyle name="Hipervínculo" xfId="9" builtinId="8" hidden="1"/>
    <cellStyle name="Hipervínculo" xfId="8203" builtinId="8" hidden="1"/>
    <cellStyle name="Hipervínculo" xfId="8729" builtinId="8" hidden="1"/>
    <cellStyle name="Hipervínculo" xfId="5661" builtinId="8" hidden="1"/>
    <cellStyle name="Hipervínculo" xfId="3297" builtinId="8" hidden="1"/>
    <cellStyle name="Hipervínculo" xfId="6455" builtinId="8" hidden="1"/>
    <cellStyle name="Hipervínculo" xfId="4679" builtinId="8" hidden="1"/>
    <cellStyle name="Hipervínculo" xfId="9371" builtinId="8" hidden="1"/>
    <cellStyle name="Hipervínculo" xfId="10061" builtinId="8" hidden="1"/>
    <cellStyle name="Hipervínculo" xfId="2189" builtinId="8" hidden="1"/>
    <cellStyle name="Hipervínculo" xfId="2627" builtinId="8" hidden="1"/>
    <cellStyle name="Hipervínculo" xfId="2905" builtinId="8" hidden="1"/>
    <cellStyle name="Hipervínculo" xfId="10831" builtinId="8" hidden="1"/>
    <cellStyle name="Hipervínculo" xfId="3071" builtinId="8" hidden="1"/>
    <cellStyle name="Hipervínculo" xfId="6345" builtinId="8" hidden="1"/>
    <cellStyle name="Hipervínculo" xfId="4275" builtinId="8" hidden="1"/>
    <cellStyle name="Hipervínculo" xfId="821" builtinId="8" hidden="1"/>
    <cellStyle name="Hipervínculo" xfId="10467" builtinId="8" hidden="1"/>
    <cellStyle name="Hipervínculo" xfId="7183" builtinId="8" hidden="1"/>
    <cellStyle name="Hipervínculo" xfId="6309" builtinId="8" hidden="1"/>
    <cellStyle name="Hipervínculo" xfId="5851" builtinId="8" hidden="1"/>
    <cellStyle name="Hipervínculo" xfId="2333" builtinId="8" hidden="1"/>
    <cellStyle name="Hipervínculo" xfId="10975" builtinId="8" hidden="1"/>
    <cellStyle name="Hipervínculo" xfId="3655" builtinId="8" hidden="1"/>
    <cellStyle name="Hipervínculo" xfId="10597" builtinId="8" hidden="1"/>
    <cellStyle name="Hipervínculo" xfId="7321" builtinId="8" hidden="1"/>
    <cellStyle name="Hipervínculo" xfId="2357" builtinId="8" hidden="1"/>
    <cellStyle name="Hipervínculo" xfId="10779" builtinId="8" hidden="1"/>
    <cellStyle name="Hipervínculo" xfId="5945" builtinId="8" hidden="1"/>
    <cellStyle name="Hipervínculo" xfId="7969" builtinId="8" hidden="1"/>
    <cellStyle name="Hipervínculo" xfId="5189" builtinId="8" hidden="1"/>
    <cellStyle name="Hipervínculo" xfId="5015" builtinId="8" hidden="1"/>
    <cellStyle name="Hipervínculo" xfId="9905" builtinId="8" hidden="1"/>
    <cellStyle name="Hipervínculo" xfId="717" builtinId="8" hidden="1"/>
    <cellStyle name="Hipervínculo" xfId="5855" builtinId="8" hidden="1"/>
    <cellStyle name="Hipervínculo" xfId="177" builtinId="8" hidden="1"/>
    <cellStyle name="Hipervínculo" xfId="5137" builtinId="8" hidden="1"/>
    <cellStyle name="Hipervínculo" xfId="7045" builtinId="8" hidden="1"/>
    <cellStyle name="Hipervínculo" xfId="10355" builtinId="8" hidden="1"/>
    <cellStyle name="Hipervínculo" xfId="4239" builtinId="8" hidden="1"/>
    <cellStyle name="Hipervínculo" xfId="4825" builtinId="8" hidden="1"/>
    <cellStyle name="Hipervínculo" xfId="1217" builtinId="8" hidden="1"/>
    <cellStyle name="Hipervínculo" xfId="6791" builtinId="8" hidden="1"/>
    <cellStyle name="Hipervínculo" xfId="1611" builtinId="8" hidden="1"/>
    <cellStyle name="Hipervínculo" xfId="4069" builtinId="8" hidden="1"/>
    <cellStyle name="Hipervínculo" xfId="8179" builtinId="8" hidden="1"/>
    <cellStyle name="Hipervínculo" xfId="2595" builtinId="8" hidden="1"/>
    <cellStyle name="Hipervínculo" xfId="7841" builtinId="8" hidden="1"/>
    <cellStyle name="Hipervínculo" xfId="7993" builtinId="8" hidden="1"/>
    <cellStyle name="Hipervínculo" xfId="3545" builtinId="8" hidden="1"/>
    <cellStyle name="Hipervínculo" xfId="6747" builtinId="8" hidden="1"/>
    <cellStyle name="Hipervínculo" xfId="10715" builtinId="8" hidden="1"/>
    <cellStyle name="Hipervínculo" xfId="769" builtinId="8" hidden="1"/>
    <cellStyle name="Hipervínculo" xfId="6643" builtinId="8" hidden="1"/>
    <cellStyle name="Hipervínculo" xfId="9199" builtinId="8" hidden="1"/>
    <cellStyle name="Hipervínculo" xfId="8895" builtinId="8" hidden="1"/>
    <cellStyle name="Hipervínculo" xfId="6821" builtinId="8" hidden="1"/>
    <cellStyle name="Hipervínculo" xfId="3027" builtinId="8" hidden="1"/>
    <cellStyle name="Hipervínculo" xfId="10743" builtinId="8" hidden="1"/>
    <cellStyle name="Hipervínculo" xfId="2771" builtinId="8" hidden="1"/>
    <cellStyle name="Hipervínculo" xfId="4537" builtinId="8" hidden="1"/>
    <cellStyle name="Hipervínculo" xfId="9631" builtinId="8" hidden="1"/>
    <cellStyle name="Hipervínculo" xfId="1595" builtinId="8" hidden="1"/>
    <cellStyle name="Hipervínculo" xfId="10195" builtinId="8" hidden="1"/>
    <cellStyle name="Hipervínculo" xfId="7113" builtinId="8" hidden="1"/>
    <cellStyle name="Hipervínculo" xfId="4557" builtinId="8" hidden="1"/>
    <cellStyle name="Hipervínculo" xfId="1179" builtinId="8" hidden="1"/>
    <cellStyle name="Hipervínculo" xfId="5223" builtinId="8" hidden="1"/>
    <cellStyle name="Hipervínculo" xfId="153" builtinId="8" hidden="1"/>
    <cellStyle name="Hipervínculo" xfId="8675" builtinId="8" hidden="1"/>
    <cellStyle name="Hipervínculo" xfId="1985" builtinId="8" hidden="1"/>
    <cellStyle name="Hipervínculo" xfId="123" builtinId="8" hidden="1"/>
    <cellStyle name="Hipervínculo" xfId="3793" builtinId="8" hidden="1"/>
    <cellStyle name="Hipervínculo" xfId="6695" builtinId="8" hidden="1"/>
    <cellStyle name="Hipervínculo" xfId="5349" builtinId="8" hidden="1"/>
    <cellStyle name="Hipervínculo" xfId="6683" builtinId="8" hidden="1"/>
    <cellStyle name="Hipervínculo" xfId="9475" builtinId="8" hidden="1"/>
    <cellStyle name="Hipervínculo" xfId="3887" builtinId="8" hidden="1"/>
    <cellStyle name="Hipervínculo" xfId="2479" builtinId="8" hidden="1"/>
    <cellStyle name="Hipervínculo" xfId="555" builtinId="8" hidden="1"/>
    <cellStyle name="Hipervínculo" xfId="1517" builtinId="8" hidden="1"/>
    <cellStyle name="Hipervínculo" xfId="10065" builtinId="8" hidden="1"/>
    <cellStyle name="Hipervínculo" xfId="5263" builtinId="8" hidden="1"/>
    <cellStyle name="Hipervínculo" xfId="3963" builtinId="8" hidden="1"/>
    <cellStyle name="Hipervínculo" xfId="3047" builtinId="8" hidden="1"/>
    <cellStyle name="Hipervínculo" xfId="3207" builtinId="8" hidden="1"/>
    <cellStyle name="Hipervínculo" xfId="6815" builtinId="8" hidden="1"/>
    <cellStyle name="Hipervínculo" xfId="9035" builtinId="8" hidden="1"/>
    <cellStyle name="Hipervínculo" xfId="5625" builtinId="8" hidden="1"/>
    <cellStyle name="Hipervínculo" xfId="4259" builtinId="8" hidden="1"/>
    <cellStyle name="Hipervínculo" xfId="6311" builtinId="8" hidden="1"/>
    <cellStyle name="Hipervínculo" xfId="733" builtinId="8" hidden="1"/>
    <cellStyle name="Hipervínculo" xfId="2607" builtinId="8" hidden="1"/>
    <cellStyle name="Hipervínculo" xfId="4831" builtinId="8" hidden="1"/>
    <cellStyle name="Hipervínculo" xfId="8167" builtinId="8" hidden="1"/>
    <cellStyle name="Hipervínculo" xfId="9259" builtinId="8" hidden="1"/>
    <cellStyle name="Hipervínculo" xfId="6807" builtinId="8" hidden="1"/>
    <cellStyle name="Hipervínculo" xfId="3307" builtinId="8" hidden="1"/>
    <cellStyle name="Hipervínculo" xfId="3355" builtinId="8" hidden="1"/>
    <cellStyle name="Hipervínculo" xfId="1415" builtinId="8" hidden="1"/>
    <cellStyle name="Hipervínculo" xfId="2491" builtinId="8" hidden="1"/>
    <cellStyle name="Hipervínculo" xfId="8459" builtinId="8" hidden="1"/>
    <cellStyle name="Hipervínculo" xfId="5121" builtinId="8" hidden="1"/>
    <cellStyle name="Hipervínculo" xfId="1061" builtinId="8" hidden="1"/>
    <cellStyle name="Hipervínculo" xfId="10315" builtinId="8" hidden="1"/>
    <cellStyle name="Hipervínculo" xfId="1297" builtinId="8" hidden="1"/>
    <cellStyle name="Hipervínculo" xfId="2617" builtinId="8" hidden="1"/>
    <cellStyle name="Hipervínculo" xfId="1011" builtinId="8" hidden="1"/>
    <cellStyle name="Hipervínculo" xfId="3479" builtinId="8" hidden="1"/>
    <cellStyle name="Hipervínculo" xfId="10985" builtinId="8" hidden="1"/>
    <cellStyle name="Hipervínculo" xfId="5165" builtinId="8" hidden="1"/>
    <cellStyle name="Hipervínculo" xfId="7505" builtinId="8" hidden="1"/>
    <cellStyle name="Hipervínculo" xfId="6165" builtinId="8" hidden="1"/>
    <cellStyle name="Hipervínculo" xfId="889" builtinId="8" hidden="1"/>
    <cellStyle name="Hipervínculo" xfId="4223" builtinId="8" hidden="1"/>
    <cellStyle name="Hipervínculo" xfId="3733" builtinId="8" hidden="1"/>
    <cellStyle name="Hipervínculo" xfId="8555" builtinId="8" hidden="1"/>
    <cellStyle name="Hipervínculo" xfId="4603" builtinId="8" hidden="1"/>
    <cellStyle name="Hipervínculo" xfId="577" builtinId="8" hidden="1"/>
    <cellStyle name="Hipervínculo" xfId="10775" builtinId="8" hidden="1"/>
    <cellStyle name="Hipervínculo" xfId="8043" builtinId="8" hidden="1"/>
    <cellStyle name="Hipervínculo" xfId="2773" builtinId="8" hidden="1"/>
    <cellStyle name="Hipervínculo" xfId="4093" builtinId="8" hidden="1"/>
    <cellStyle name="Hipervínculo" xfId="5127" builtinId="8" hidden="1"/>
    <cellStyle name="Hipervínculo" xfId="3171" builtinId="8" hidden="1"/>
    <cellStyle name="Hipervínculo" xfId="621" builtinId="8" hidden="1"/>
    <cellStyle name="Hipervínculo" xfId="1829" builtinId="8" hidden="1"/>
    <cellStyle name="Hipervínculo" xfId="8723" builtinId="8" hidden="1"/>
    <cellStyle name="Hipervínculo" xfId="65" builtinId="8" hidden="1"/>
    <cellStyle name="Hipervínculo" xfId="3675" builtinId="8" hidden="1"/>
    <cellStyle name="Hipervínculo" xfId="6835" builtinId="8" hidden="1"/>
    <cellStyle name="Hipervínculo" xfId="7385" builtinId="8" hidden="1"/>
    <cellStyle name="Hipervínculo" xfId="2717" builtinId="8" hidden="1"/>
    <cellStyle name="Hipervínculo" xfId="3627" builtinId="8" hidden="1"/>
    <cellStyle name="Hipervínculo" xfId="3417" builtinId="8" hidden="1"/>
    <cellStyle name="Hipervínculo" xfId="3527" builtinId="8" hidden="1"/>
    <cellStyle name="Hipervínculo" xfId="11059" builtinId="8" hidden="1"/>
    <cellStyle name="Hipervínculo" xfId="9327" builtinId="8" hidden="1"/>
    <cellStyle name="Hipervínculo" xfId="8663" builtinId="8" hidden="1"/>
    <cellStyle name="Hipervínculo" xfId="3931" builtinId="8" hidden="1"/>
    <cellStyle name="Hipervínculo" xfId="3715" builtinId="8" hidden="1"/>
    <cellStyle name="Hipervínculo" xfId="11071" builtinId="8" hidden="1"/>
    <cellStyle name="Hipervínculo" xfId="9541" builtinId="8" hidden="1"/>
    <cellStyle name="Hipervínculo" xfId="673" builtinId="8" hidden="1"/>
    <cellStyle name="Hipervínculo" xfId="637" builtinId="8" hidden="1"/>
    <cellStyle name="Hipervínculo" xfId="10713" builtinId="8" hidden="1"/>
    <cellStyle name="Hipervínculo" xfId="5303" builtinId="8" hidden="1"/>
    <cellStyle name="Hipervínculo" xfId="5243" builtinId="8" hidden="1"/>
    <cellStyle name="Hipervínculo" xfId="8349" builtinId="8" hidden="1"/>
    <cellStyle name="Hipervínculo" xfId="8263" builtinId="8" hidden="1"/>
    <cellStyle name="Hipervínculo" xfId="8489" builtinId="8" hidden="1"/>
    <cellStyle name="Hipervínculo" xfId="2697" builtinId="8" hidden="1"/>
    <cellStyle name="Hipervínculo" xfId="2151" builtinId="8" hidden="1"/>
    <cellStyle name="Hipervínculo" xfId="6861" builtinId="8" hidden="1"/>
    <cellStyle name="Hipervínculo" xfId="10977" builtinId="8" hidden="1"/>
    <cellStyle name="Hipervínculo" xfId="1171" builtinId="8" hidden="1"/>
    <cellStyle name="Hipervínculo" xfId="3375" builtinId="8" hidden="1"/>
    <cellStyle name="Hipervínculo" xfId="383" builtinId="8" hidden="1"/>
    <cellStyle name="Hipervínculo" xfId="3873" builtinId="8" hidden="1"/>
    <cellStyle name="Hipervínculo" xfId="9479" builtinId="8" hidden="1"/>
    <cellStyle name="Hipervínculo" xfId="10255" builtinId="8" hidden="1"/>
    <cellStyle name="Hipervínculo" xfId="5005" builtinId="8" hidden="1"/>
    <cellStyle name="Hipervínculo" xfId="2215" builtinId="8" hidden="1"/>
    <cellStyle name="Hipervínculo" xfId="9781" builtinId="8" hidden="1"/>
    <cellStyle name="Hipervínculo" xfId="10335" builtinId="8" hidden="1"/>
    <cellStyle name="Hipervínculo" xfId="1159" builtinId="8" hidden="1"/>
    <cellStyle name="Hipervínculo" xfId="2115" builtinId="8" hidden="1"/>
    <cellStyle name="Hipervínculo" xfId="9133" builtinId="8" hidden="1"/>
    <cellStyle name="Hipervínculo" xfId="8237" builtinId="8" hidden="1"/>
    <cellStyle name="Hipervínculo" xfId="7947" builtinId="8" hidden="1"/>
    <cellStyle name="Hipervínculo" xfId="8089" builtinId="8" hidden="1"/>
    <cellStyle name="Hipervínculo" xfId="10251" builtinId="8" hidden="1"/>
    <cellStyle name="Hipervínculo" xfId="4561" builtinId="8" hidden="1"/>
    <cellStyle name="Hipervínculo" xfId="8011" builtinId="8" hidden="1"/>
    <cellStyle name="Hipervínculo" xfId="1885" builtinId="8" hidden="1"/>
    <cellStyle name="Hipervínculo" xfId="5171" builtinId="8" hidden="1"/>
    <cellStyle name="Hipervínculo" xfId="7853" builtinId="8" hidden="1"/>
    <cellStyle name="Hipervínculo" xfId="401" builtinId="8" hidden="1"/>
    <cellStyle name="Hipervínculo" xfId="8425" builtinId="8" hidden="1"/>
    <cellStyle name="Hipervínculo" xfId="837" builtinId="8" hidden="1"/>
    <cellStyle name="Hipervínculo" xfId="875" builtinId="8" hidden="1"/>
    <cellStyle name="Hipervínculo" xfId="1429" builtinId="8" hidden="1"/>
    <cellStyle name="Hipervínculo" xfId="3991" builtinId="8" hidden="1"/>
    <cellStyle name="Hipervínculo" xfId="8881" builtinId="8" hidden="1"/>
    <cellStyle name="Hipervínculo" xfId="1801" builtinId="8" hidden="1"/>
    <cellStyle name="Hipervínculo" xfId="2267" builtinId="8" hidden="1"/>
    <cellStyle name="Hipervínculo" xfId="3415" builtinId="8" hidden="1"/>
    <cellStyle name="Hipervínculo" xfId="3485" builtinId="8" hidden="1"/>
    <cellStyle name="Hipervínculo" xfId="2797" builtinId="8" hidden="1"/>
    <cellStyle name="Hipervínculo" xfId="6679" builtinId="8" hidden="1"/>
    <cellStyle name="Hipervínculo" xfId="5511" builtinId="8" hidden="1"/>
    <cellStyle name="Hipervínculo" xfId="1879" builtinId="8" hidden="1"/>
    <cellStyle name="Hipervínculo" xfId="7473" builtinId="8" hidden="1"/>
    <cellStyle name="Hipervínculo" xfId="4575" builtinId="8" hidden="1"/>
    <cellStyle name="Hipervínculo" xfId="10757" builtinId="8" hidden="1"/>
    <cellStyle name="Hipervínculo" xfId="4589" builtinId="8" hidden="1"/>
    <cellStyle name="Hipervínculo" xfId="8613" builtinId="8" hidden="1"/>
    <cellStyle name="Hipervínculo" xfId="1923" builtinId="8" hidden="1"/>
    <cellStyle name="Hipervínculo" xfId="6965" builtinId="8" hidden="1"/>
    <cellStyle name="Hipervínculo" xfId="6963" builtinId="8" hidden="1"/>
    <cellStyle name="Hipervínculo" xfId="2605" builtinId="8" hidden="1"/>
    <cellStyle name="Hipervínculo" xfId="3861" builtinId="8" hidden="1"/>
    <cellStyle name="Hipervínculo" xfId="5205" builtinId="8" hidden="1"/>
    <cellStyle name="Hipervínculo" xfId="3289" builtinId="8" hidden="1"/>
    <cellStyle name="Hipervínculo" xfId="515" builtinId="8" hidden="1"/>
    <cellStyle name="Hipervínculo" xfId="3277" builtinId="8" hidden="1"/>
    <cellStyle name="Hipervínculo" xfId="811" builtinId="8" hidden="1"/>
    <cellStyle name="Hipervínculo" xfId="8905" builtinId="8" hidden="1"/>
    <cellStyle name="Hipervínculo" xfId="965" builtinId="8" hidden="1"/>
    <cellStyle name="Hipervínculo" xfId="349" builtinId="8" hidden="1"/>
    <cellStyle name="Hipervínculo" xfId="6831" builtinId="8" hidden="1"/>
    <cellStyle name="Hipervínculo" xfId="7891" builtinId="8" hidden="1"/>
    <cellStyle name="Hipervínculo" xfId="8003" builtinId="8" hidden="1"/>
    <cellStyle name="Hipervínculo" xfId="7625" builtinId="8" hidden="1"/>
    <cellStyle name="Hipervínculo" xfId="10679" builtinId="8" hidden="1"/>
    <cellStyle name="Hipervínculo" xfId="2133" builtinId="8" hidden="1"/>
    <cellStyle name="Hipervínculo" xfId="1569" builtinId="8" hidden="1"/>
    <cellStyle name="Hipervínculo" xfId="1661" builtinId="8" hidden="1"/>
    <cellStyle name="Hipervínculo" xfId="2297" builtinId="8" hidden="1"/>
    <cellStyle name="Hipervínculo" xfId="7515" builtinId="8" hidden="1"/>
    <cellStyle name="Hipervínculo" xfId="7773" builtinId="8" hidden="1"/>
    <cellStyle name="Hipervínculo" xfId="369" builtinId="8" hidden="1"/>
    <cellStyle name="Hipervínculo" xfId="463" builtinId="8" hidden="1"/>
    <cellStyle name="Hipervínculo" xfId="3445" builtinId="8" hidden="1"/>
    <cellStyle name="Hipervínculo" xfId="7699" builtinId="8" hidden="1"/>
    <cellStyle name="Hipervínculo" xfId="2117" builtinId="8" hidden="1"/>
    <cellStyle name="Hipervínculo" xfId="6189" builtinId="8" hidden="1"/>
    <cellStyle name="Hipervínculo" xfId="669" builtinId="8" hidden="1"/>
    <cellStyle name="Hipervínculo" xfId="10635" builtinId="8" hidden="1"/>
    <cellStyle name="Hipervínculo" xfId="2885" builtinId="8" hidden="1"/>
    <cellStyle name="Hipervínculo" xfId="2185" builtinId="8" hidden="1"/>
    <cellStyle name="Hipervínculo" xfId="5823" builtinId="8" hidden="1"/>
    <cellStyle name="Hipervínculo" xfId="9531" builtinId="8" hidden="1"/>
    <cellStyle name="Hipervínculo" xfId="77" builtinId="8" hidden="1"/>
    <cellStyle name="Hipervínculo" xfId="6777" builtinId="8" hidden="1"/>
    <cellStyle name="Hipervínculo" xfId="10155" builtinId="8" hidden="1"/>
    <cellStyle name="Hipervínculo" xfId="5055" builtinId="8" hidden="1"/>
    <cellStyle name="Hipervínculo" xfId="1393" builtinId="8" hidden="1"/>
    <cellStyle name="Hipervínculo" xfId="291" builtinId="8" hidden="1"/>
    <cellStyle name="Hipervínculo" xfId="8287" builtinId="8" hidden="1"/>
    <cellStyle name="Hipervínculo" xfId="10383" builtinId="8" hidden="1"/>
    <cellStyle name="Hipervínculo" xfId="3913" builtinId="8" hidden="1"/>
    <cellStyle name="Hipervínculo" xfId="8835" builtinId="8" hidden="1"/>
    <cellStyle name="Hipervínculo" xfId="9383" builtinId="8" hidden="1"/>
    <cellStyle name="Hipervínculo" xfId="5821" builtinId="8" hidden="1"/>
    <cellStyle name="Hipervínculo" xfId="8981" builtinId="8" hidden="1"/>
    <cellStyle name="Hipervínculo" xfId="10883" builtinId="8" hidden="1"/>
    <cellStyle name="Hipervínculo" xfId="4459" builtinId="8" hidden="1"/>
    <cellStyle name="Hipervínculo" xfId="1925" builtinId="8" hidden="1"/>
    <cellStyle name="Hipervínculo" xfId="2191" builtinId="8" hidden="1"/>
    <cellStyle name="Hipervínculo" xfId="1833" builtinId="8" hidden="1"/>
    <cellStyle name="Hipervínculo" xfId="10357" builtinId="8" hidden="1"/>
    <cellStyle name="Hipervínculo" xfId="1641" builtinId="8" hidden="1"/>
    <cellStyle name="Hipervínculo" xfId="4435" builtinId="8" hidden="1"/>
    <cellStyle name="Hipervínculo" xfId="9423" builtinId="8" hidden="1"/>
    <cellStyle name="Hipervínculo" xfId="5809" builtinId="8" hidden="1"/>
    <cellStyle name="Hipervínculo" xfId="4381" builtinId="8" hidden="1"/>
    <cellStyle name="Hipervínculo" xfId="6535" builtinId="8" hidden="1"/>
    <cellStyle name="Hipervínculo" xfId="8257" builtinId="8" hidden="1"/>
    <cellStyle name="Hipervínculo" xfId="865" builtinId="8" hidden="1"/>
    <cellStyle name="Hipervínculo" xfId="9925" builtinId="8" hidden="1"/>
    <cellStyle name="Hipervínculo" xfId="3261" builtinId="8" hidden="1"/>
    <cellStyle name="Hipervínculo" xfId="7031" builtinId="8" hidden="1"/>
    <cellStyle name="Hipervínculo" xfId="4945" builtinId="8" hidden="1"/>
    <cellStyle name="Hipervínculo" xfId="1073" builtinId="8" hidden="1"/>
    <cellStyle name="Hipervínculo" xfId="693" builtinId="8" hidden="1"/>
    <cellStyle name="Hipervínculo" xfId="4065" builtinId="8" hidden="1"/>
    <cellStyle name="Hipervínculo" xfId="7127" builtinId="8" hidden="1"/>
    <cellStyle name="Hipervínculo" xfId="115" builtinId="8" hidden="1"/>
    <cellStyle name="Hipervínculo" xfId="5491" builtinId="8" hidden="1"/>
    <cellStyle name="Hipervínculo" xfId="5755" builtinId="8" hidden="1"/>
    <cellStyle name="Hipervínculo" xfId="1079" builtinId="8" hidden="1"/>
    <cellStyle name="Hipervínculo" xfId="10633" builtinId="8" hidden="1"/>
    <cellStyle name="Hipervínculo" xfId="8437" builtinId="8" hidden="1"/>
    <cellStyle name="Hipervínculo" xfId="3089" builtinId="8" hidden="1"/>
    <cellStyle name="Hipervínculo" xfId="1965" builtinId="8" hidden="1"/>
    <cellStyle name="Hipervínculo" xfId="6833" builtinId="8" hidden="1"/>
    <cellStyle name="Hipervínculo" xfId="2757" builtinId="8" hidden="1"/>
    <cellStyle name="Hipervínculo" xfId="9653" builtinId="8" hidden="1"/>
    <cellStyle name="Hipervínculo" xfId="10765" builtinId="8" hidden="1"/>
    <cellStyle name="Hipervínculo" xfId="8667" builtinId="8" hidden="1"/>
    <cellStyle name="Hipervínculo" xfId="2655" builtinId="8" hidden="1"/>
    <cellStyle name="Hipervínculo" xfId="3461" builtinId="8" hidden="1"/>
    <cellStyle name="Hipervínculo" xfId="11027" builtinId="8" hidden="1"/>
    <cellStyle name="Hipervínculo" xfId="1349" builtinId="8" hidden="1"/>
    <cellStyle name="Hipervínculo" xfId="7771" builtinId="8" hidden="1"/>
    <cellStyle name="Hipervínculo" xfId="8801" builtinId="8" hidden="1"/>
    <cellStyle name="Hipervínculo" xfId="8269" builtinId="8" hidden="1"/>
    <cellStyle name="Hipervínculo" xfId="7233" builtinId="8" hidden="1"/>
    <cellStyle name="Hipervínculo" xfId="4795" builtinId="8" hidden="1"/>
    <cellStyle name="Hipervínculo" xfId="8787" builtinId="8" hidden="1"/>
    <cellStyle name="Hipervínculo" xfId="6225" builtinId="8" hidden="1"/>
    <cellStyle name="Hipervínculo" xfId="5229" builtinId="8" hidden="1"/>
    <cellStyle name="Hipervínculo" xfId="6397" builtinId="8" hidden="1"/>
    <cellStyle name="Hipervínculo" xfId="10161" builtinId="8" hidden="1"/>
    <cellStyle name="Hipervínculo" xfId="10859" builtinId="8" hidden="1"/>
    <cellStyle name="Hipervínculo" xfId="4621" builtinId="8" hidden="1"/>
    <cellStyle name="Hipervínculo" xfId="11025" builtinId="8" hidden="1"/>
    <cellStyle name="Hipervínculo" xfId="8019" builtinId="8" hidden="1"/>
    <cellStyle name="Hipervínculo" xfId="391" builtinId="8" hidden="1"/>
    <cellStyle name="Hipervínculo" xfId="2145" builtinId="8" hidden="1"/>
    <cellStyle name="Hipervínculo" xfId="9245" builtinId="8" hidden="1"/>
    <cellStyle name="Hipervínculo" xfId="1779" builtinId="8" hidden="1"/>
    <cellStyle name="Hipervínculo" xfId="1863" builtinId="8" hidden="1"/>
    <cellStyle name="Hipervínculo" xfId="931" builtinId="8" hidden="1"/>
    <cellStyle name="Hipervínculo" xfId="4543" builtinId="8" hidden="1"/>
    <cellStyle name="Hipervínculo" xfId="6347" builtinId="8" hidden="1"/>
    <cellStyle name="Hipervínculo" xfId="4281" builtinId="8" hidden="1"/>
    <cellStyle name="Hipervínculo" xfId="101" builtinId="8" hidden="1"/>
    <cellStyle name="Hipervínculo" xfId="8837" builtinId="8" hidden="1"/>
    <cellStyle name="Hipervínculo" xfId="1891" builtinId="8" hidden="1"/>
    <cellStyle name="Hipervínculo" xfId="4129" builtinId="8" hidden="1"/>
    <cellStyle name="Hipervínculo" xfId="8245" builtinId="8" hidden="1"/>
    <cellStyle name="Hipervínculo" xfId="3495" builtinId="8" hidden="1"/>
    <cellStyle name="Hipervínculo" xfId="9763" builtinId="8" hidden="1"/>
    <cellStyle name="Hipervínculo" xfId="9681" builtinId="8" hidden="1"/>
    <cellStyle name="Hipervínculo" xfId="8005" builtinId="8" hidden="1"/>
    <cellStyle name="Hipervínculo" xfId="8189" builtinId="8" hidden="1"/>
    <cellStyle name="Hipervínculo" xfId="10389" builtinId="8" hidden="1"/>
    <cellStyle name="Hipervínculo" xfId="8647" builtinId="8" hidden="1"/>
    <cellStyle name="Hipervínculo" xfId="39" builtinId="8" hidden="1"/>
    <cellStyle name="Hipervínculo" xfId="2823" builtinId="8" hidden="1"/>
    <cellStyle name="Hipervínculo" xfId="7421" builtinId="8" hidden="1"/>
    <cellStyle name="Hipervínculo" xfId="8789" builtinId="8" hidden="1"/>
    <cellStyle name="Hipervínculo" xfId="8751" builtinId="8" hidden="1"/>
    <cellStyle name="Hipervínculo" xfId="9177" builtinId="8" hidden="1"/>
    <cellStyle name="Hipervínculo" xfId="8313" builtinId="8" hidden="1"/>
    <cellStyle name="Hipervínculo" xfId="8435" builtinId="8" hidden="1"/>
    <cellStyle name="Hipervínculo" xfId="2227" builtinId="8" hidden="1"/>
    <cellStyle name="Hipervínculo" xfId="7167" builtinId="8" hidden="1"/>
    <cellStyle name="Hipervínculo" xfId="1941" builtinId="8" hidden="1"/>
    <cellStyle name="Hipervínculo" xfId="6469" builtinId="8" hidden="1"/>
    <cellStyle name="Hipervínculo" xfId="3721" builtinId="8" hidden="1"/>
    <cellStyle name="Hipervínculo" xfId="4849" builtinId="8" hidden="1"/>
    <cellStyle name="Hipervínculo" xfId="8901" builtinId="8" hidden="1"/>
    <cellStyle name="Hipervínculo" xfId="1075" builtinId="8" hidden="1"/>
    <cellStyle name="Hipervínculo" xfId="7015" builtinId="8" hidden="1"/>
    <cellStyle name="Hipervínculo" xfId="141" builtinId="8" hidden="1"/>
    <cellStyle name="Hipervínculo" xfId="5665" builtinId="8" hidden="1"/>
    <cellStyle name="Hipervínculo" xfId="5337" builtinId="8" hidden="1"/>
    <cellStyle name="Hipervínculo" xfId="7935" builtinId="8" hidden="1"/>
    <cellStyle name="Hipervínculo" xfId="193" builtinId="8" hidden="1"/>
    <cellStyle name="Hipervínculo" xfId="4607" builtinId="8" hidden="1"/>
    <cellStyle name="Hipervínculo" xfId="8659" builtinId="8" hidden="1"/>
    <cellStyle name="Hipervínculo" xfId="7921" builtinId="8" hidden="1"/>
    <cellStyle name="Hipervínculo" xfId="9591" builtinId="8" hidden="1"/>
    <cellStyle name="Hipervínculo" xfId="9615" builtinId="8" hidden="1"/>
    <cellStyle name="Hipervínculo" xfId="1389" builtinId="8" hidden="1"/>
    <cellStyle name="Hipervínculo" xfId="6335" builtinId="8" hidden="1"/>
    <cellStyle name="Hipervínculo" xfId="5915" builtinId="8" hidden="1"/>
    <cellStyle name="Hipervínculo" xfId="2009" builtinId="8" hidden="1"/>
    <cellStyle name="Hipervínculo" xfId="7165" builtinId="8" hidden="1"/>
    <cellStyle name="Hipervínculo" xfId="5969" builtinId="8" hidden="1"/>
    <cellStyle name="Hipervínculo" xfId="8539" builtinId="8" hidden="1"/>
    <cellStyle name="Hipervínculo" xfId="10575" builtinId="8" hidden="1"/>
    <cellStyle name="Hipervínculo" xfId="2229" builtinId="8" hidden="1"/>
    <cellStyle name="Hipervínculo" xfId="9063" builtinId="8" hidden="1"/>
    <cellStyle name="Hipervínculo" xfId="1701" builtinId="8" hidden="1"/>
    <cellStyle name="Hipervínculo" xfId="3633" builtinId="8" hidden="1"/>
    <cellStyle name="Hipervínculo" xfId="3705" builtinId="8" hidden="1"/>
    <cellStyle name="Hipervínculo" xfId="4765" builtinId="8" hidden="1"/>
    <cellStyle name="Hipervínculo" xfId="567" builtinId="8" hidden="1"/>
    <cellStyle name="Hipervínculo" xfId="3129" builtinId="8" hidden="1"/>
    <cellStyle name="Hipervínculo" xfId="2727" builtinId="8" hidden="1"/>
    <cellStyle name="Hipervínculo" xfId="4811" builtinId="8" hidden="1"/>
    <cellStyle name="Hipervínculo" xfId="9767" builtinId="8" hidden="1"/>
    <cellStyle name="Hipervínculo" xfId="455" builtinId="8" hidden="1"/>
    <cellStyle name="Hipervínculo" xfId="5575" builtinId="8" hidden="1"/>
    <cellStyle name="Hipervínculo" xfId="7735" builtinId="8" hidden="1"/>
    <cellStyle name="Hipervínculo" xfId="5573" builtinId="8" hidden="1"/>
    <cellStyle name="Hipervínculo" xfId="3551" builtinId="8" hidden="1"/>
    <cellStyle name="Hipervínculo" xfId="893" builtinId="8" hidden="1"/>
    <cellStyle name="Hipervínculo" xfId="9449" builtinId="8" hidden="1"/>
    <cellStyle name="Hipervínculo" xfId="1589" builtinId="8" hidden="1"/>
    <cellStyle name="Hipervínculo" xfId="4269" builtinId="8" hidden="1"/>
    <cellStyle name="Hipervínculo" xfId="3503" builtinId="8" hidden="1"/>
    <cellStyle name="Hipervínculo" xfId="59" builtinId="8" hidden="1"/>
    <cellStyle name="Hipervínculo" xfId="4463" builtinId="8" hidden="1"/>
    <cellStyle name="Hipervínculo" xfId="6263" builtinId="8" hidden="1"/>
    <cellStyle name="Hipervínculo" xfId="323" builtinId="8" hidden="1"/>
    <cellStyle name="Hipervínculo" xfId="2269" builtinId="8" hidden="1"/>
    <cellStyle name="Hipervínculo" xfId="5927" builtinId="8" hidden="1"/>
    <cellStyle name="Hipervínculo" xfId="1617" builtinId="8" hidden="1"/>
    <cellStyle name="Hipervínculo" xfId="2303" builtinId="8" hidden="1"/>
    <cellStyle name="Hipervínculo" xfId="5643" builtinId="8" hidden="1"/>
    <cellStyle name="Hipervínculo" xfId="8037" builtinId="8" hidden="1"/>
    <cellStyle name="Hipervínculo" xfId="3645" builtinId="8" hidden="1"/>
    <cellStyle name="Hipervínculo" xfId="7057" builtinId="8" hidden="1"/>
    <cellStyle name="Hipervínculo" xfId="8259" builtinId="8" hidden="1"/>
    <cellStyle name="Hipervínculo" xfId="4089" builtinId="8" hidden="1"/>
    <cellStyle name="Hipervínculo" xfId="6369" builtinId="8" hidden="1"/>
    <cellStyle name="Hipervínculo" xfId="9533" builtinId="8" hidden="1"/>
    <cellStyle name="Hipervínculo" xfId="1601" builtinId="8" hidden="1"/>
    <cellStyle name="Hipervínculo" xfId="10517" builtinId="8" hidden="1"/>
    <cellStyle name="Hipervínculo" xfId="3713" builtinId="8" hidden="1"/>
    <cellStyle name="Hipervínculo" xfId="3031" builtinId="8" hidden="1"/>
    <cellStyle name="Hipervínculo" xfId="4969" builtinId="8" hidden="1"/>
    <cellStyle name="Hipervínculo" xfId="4527" builtinId="8" hidden="1"/>
    <cellStyle name="Hipervínculo" xfId="4691" builtinId="8" hidden="1"/>
    <cellStyle name="Hipervínculo" xfId="7895" builtinId="8" hidden="1"/>
    <cellStyle name="Hipervínculo" xfId="6709" builtinId="8" hidden="1"/>
    <cellStyle name="Hipervínculo" xfId="543" builtinId="8" hidden="1"/>
    <cellStyle name="Hipervínculo" xfId="10123" builtinId="8" hidden="1"/>
    <cellStyle name="Hipervínculo" xfId="7053" builtinId="8" hidden="1"/>
    <cellStyle name="Hipervínculo" xfId="9137" builtinId="8" hidden="1"/>
    <cellStyle name="Hipervínculo" xfId="11029" builtinId="8" hidden="1"/>
    <cellStyle name="Hipervínculo" xfId="4829" builtinId="8" hidden="1"/>
    <cellStyle name="Hipervínculo" xfId="4279" builtinId="8" hidden="1"/>
    <cellStyle name="Hipervínculo" xfId="3195" builtinId="8" hidden="1"/>
    <cellStyle name="Hipervínculo" xfId="1823" builtinId="8" hidden="1"/>
    <cellStyle name="Hipervínculo" xfId="2565" builtinId="8" hidden="1"/>
    <cellStyle name="Hipervínculo" xfId="5281" builtinId="8" hidden="1"/>
    <cellStyle name="Hipervínculo" xfId="629" builtinId="8" hidden="1"/>
    <cellStyle name="Hipervínculo" xfId="7725" builtinId="8" hidden="1"/>
    <cellStyle name="Hipervínculo" xfId="10085" builtinId="8" hidden="1"/>
    <cellStyle name="Hipervínculo" xfId="2149" builtinId="8" hidden="1"/>
    <cellStyle name="Hipervínculo" xfId="7509" builtinId="8" hidden="1"/>
    <cellStyle name="Hipervínculo" xfId="7171" builtinId="8" hidden="1"/>
    <cellStyle name="Hipervínculo" xfId="1927" builtinId="8" hidden="1"/>
    <cellStyle name="Hipervínculo" xfId="5435" builtinId="8" hidden="1"/>
    <cellStyle name="Hipervínculo" xfId="3191" builtinId="8" hidden="1"/>
    <cellStyle name="Hipervínculo" xfId="143" builtinId="8" hidden="1"/>
    <cellStyle name="Hipervínculo" xfId="9863" builtinId="8" hidden="1"/>
    <cellStyle name="Hipervínculo" xfId="9839" builtinId="8" hidden="1"/>
    <cellStyle name="Hipervínculo" xfId="6639" builtinId="8" hidden="1"/>
    <cellStyle name="Hipervínculo" xfId="5325" builtinId="8" hidden="1"/>
    <cellStyle name="Hipervínculo" xfId="5777" builtinId="8" hidden="1"/>
    <cellStyle name="Hipervínculo" xfId="2047" builtinId="8" hidden="1"/>
    <cellStyle name="Hipervínculo" xfId="10761" builtinId="8" hidden="1"/>
    <cellStyle name="Hipervínculo" xfId="937" builtinId="8" hidden="1"/>
    <cellStyle name="Hipervínculo" xfId="6393" builtinId="8" hidden="1"/>
    <cellStyle name="Hipervínculo" xfId="9699" builtinId="8" hidden="1"/>
    <cellStyle name="Hipervínculo" xfId="2613" builtinId="8" hidden="1"/>
    <cellStyle name="Hipervínculo" xfId="2707" builtinId="8" hidden="1"/>
    <cellStyle name="Hipervínculo" xfId="10341" builtinId="8" hidden="1"/>
    <cellStyle name="Hipervínculo" xfId="5497" builtinId="8" hidden="1"/>
    <cellStyle name="Hipervínculo" xfId="9817" builtinId="8" hidden="1"/>
    <cellStyle name="Hipervínculo" xfId="10465" builtinId="8" hidden="1"/>
    <cellStyle name="Hipervínculo" xfId="8933" builtinId="8" hidden="1"/>
    <cellStyle name="Hipervínculo" xfId="671" builtinId="8" hidden="1"/>
    <cellStyle name="Hipervínculo" xfId="6761" builtinId="8" hidden="1"/>
    <cellStyle name="Hipervínculo" xfId="7389" builtinId="8" hidden="1"/>
    <cellStyle name="Hipervínculo" xfId="2027" builtinId="8" hidden="1"/>
    <cellStyle name="Hipervínculo" xfId="4733" builtinId="8" hidden="1"/>
    <cellStyle name="Hipervínculo" xfId="9353" builtinId="8" hidden="1"/>
    <cellStyle name="Hipervínculo" xfId="10507" builtinId="8" hidden="1"/>
    <cellStyle name="Hipervínculo" xfId="1215" builtinId="8" hidden="1"/>
    <cellStyle name="Hipervínculo" xfId="1375" builtinId="8" hidden="1"/>
    <cellStyle name="Hipervínculo" xfId="5555" builtinId="8" hidden="1"/>
    <cellStyle name="Hipervínculo" xfId="8077" builtinId="8" hidden="1"/>
    <cellStyle name="Hipervínculo" xfId="8737" builtinId="8" hidden="1"/>
    <cellStyle name="Hipervínculo" xfId="9555" builtinId="8" hidden="1"/>
    <cellStyle name="Hipervínculo" xfId="7329" builtinId="8" hidden="1"/>
    <cellStyle name="Hipervínculo" xfId="2593" builtinId="8" hidden="1"/>
    <cellStyle name="Hipervínculo" xfId="5705" builtinId="8" hidden="1"/>
    <cellStyle name="Hipervínculo" xfId="10727" builtinId="8" hidden="1"/>
    <cellStyle name="Hipervínculo" xfId="4451" builtinId="8" hidden="1"/>
    <cellStyle name="Hipervínculo" xfId="1605" builtinId="8" hidden="1"/>
    <cellStyle name="Hipervínculo" xfId="587" builtinId="8" hidden="1"/>
    <cellStyle name="Hipervínculo" xfId="2207" builtinId="8" hidden="1"/>
    <cellStyle name="Hipervínculo" xfId="7055" builtinId="8" hidden="1"/>
    <cellStyle name="Hipervínculo" xfId="2067" builtinId="8" hidden="1"/>
    <cellStyle name="Hipervínculo" xfId="4791" builtinId="8" hidden="1"/>
    <cellStyle name="Hipervínculo" xfId="7875" builtinId="8" hidden="1"/>
    <cellStyle name="Hipervínculo" xfId="8071" builtinId="8" hidden="1"/>
    <cellStyle name="Hipervínculo" xfId="3959" builtinId="8" hidden="1"/>
    <cellStyle name="Hipervínculo" xfId="8477" builtinId="8" hidden="1"/>
    <cellStyle name="Hipervínculo" xfId="1869" builtinId="8" hidden="1"/>
    <cellStyle name="Hipervínculo" xfId="10377" builtinId="8" hidden="1"/>
    <cellStyle name="Hipervínculo" xfId="1905" builtinId="8" hidden="1"/>
    <cellStyle name="Hipervínculo" xfId="5907" builtinId="8" hidden="1"/>
    <cellStyle name="Hipervínculo" xfId="6285" builtinId="8" hidden="1"/>
    <cellStyle name="Hipervínculo" xfId="257" builtinId="8" hidden="1"/>
    <cellStyle name="Hipervínculo" xfId="9223" builtinId="8" hidden="1"/>
    <cellStyle name="Hipervínculo" xfId="6375" builtinId="8" hidden="1"/>
    <cellStyle name="Hipervínculo" xfId="1749" builtinId="8" hidden="1"/>
    <cellStyle name="Hipervínculo" xfId="107" builtinId="8" hidden="1"/>
    <cellStyle name="Hipervínculo" xfId="4035" builtinId="8" hidden="1"/>
    <cellStyle name="Hipervínculo" xfId="5317" builtinId="8" hidden="1"/>
    <cellStyle name="Hipervínculo" xfId="9041" builtinId="8" hidden="1"/>
    <cellStyle name="Hipervínculo" xfId="5021" builtinId="8" hidden="1"/>
    <cellStyle name="Hipervínculo" xfId="7643" builtinId="8" hidden="1"/>
    <cellStyle name="Hipervínculo" xfId="3907" builtinId="8" hidden="1"/>
    <cellStyle name="Hipervínculo" xfId="1263" builtinId="8" hidden="1"/>
    <cellStyle name="Hipervínculo" xfId="7223" builtinId="8" hidden="1"/>
    <cellStyle name="Hipervínculo" xfId="3105" builtinId="8" hidden="1"/>
    <cellStyle name="Hipervínculo" xfId="6371" builtinId="8" hidden="1"/>
    <cellStyle name="Hipervínculo" xfId="8747" builtinId="8" hidden="1"/>
    <cellStyle name="Hipervínculo" xfId="829" builtinId="8" hidden="1"/>
    <cellStyle name="Hipervínculo" xfId="8419" builtinId="8" hidden="1"/>
    <cellStyle name="Hipervínculo" xfId="9203" builtinId="8" hidden="1"/>
    <cellStyle name="Hipervínculo" xfId="10211" builtinId="8" hidden="1"/>
    <cellStyle name="Hipervínculo" xfId="11069" builtinId="8" hidden="1"/>
    <cellStyle name="Hipervínculo" xfId="767" builtinId="8" hidden="1"/>
    <cellStyle name="Hipervínculo" xfId="2473" builtinId="8" hidden="1"/>
    <cellStyle name="Hipervínculo" xfId="10369" builtinId="8" hidden="1"/>
    <cellStyle name="Hipervínculo" xfId="2021" builtinId="8" hidden="1"/>
    <cellStyle name="Hipervínculo" xfId="7615" builtinId="8" hidden="1"/>
    <cellStyle name="Hipervínculo" xfId="8297" builtinId="8" hidden="1"/>
    <cellStyle name="Hipervínculo" xfId="4453" builtinId="8" hidden="1"/>
    <cellStyle name="Hipervínculo" xfId="739" builtinId="8" hidden="1"/>
    <cellStyle name="Hipervínculo" xfId="625" builtinId="8" hidden="1"/>
    <cellStyle name="Hipervínculo" xfId="10477" builtinId="8" hidden="1"/>
    <cellStyle name="Hipervínculo" xfId="5535" builtinId="8" hidden="1"/>
    <cellStyle name="Hipervínculo" xfId="8583" builtinId="8" hidden="1"/>
    <cellStyle name="Hipervínculo" xfId="6653" builtinId="8" hidden="1"/>
    <cellStyle name="Hipervínculo" xfId="8899" builtinId="8" hidden="1"/>
    <cellStyle name="Hipervínculo" xfId="791" builtinId="8" hidden="1"/>
    <cellStyle name="Hipervínculo" xfId="10807" builtinId="8" hidden="1"/>
    <cellStyle name="Hipervínculo" xfId="4217" builtinId="8" hidden="1"/>
    <cellStyle name="Hipervínculo" xfId="7153" builtinId="8" hidden="1"/>
    <cellStyle name="Hipervínculo" xfId="2055" builtinId="8" hidden="1"/>
    <cellStyle name="Hipervínculo" xfId="2573" builtinId="8" hidden="1"/>
    <cellStyle name="Hipervínculo" xfId="879" builtinId="8" hidden="1"/>
    <cellStyle name="Hipervínculo" xfId="359" builtinId="8" hidden="1"/>
    <cellStyle name="Hipervínculo" xfId="653" builtinId="8" hidden="1"/>
    <cellStyle name="Hipervínculo" xfId="3061" builtinId="8" hidden="1"/>
    <cellStyle name="Hipervínculo" xfId="7945" builtinId="8" hidden="1"/>
    <cellStyle name="Hipervínculo" xfId="3181" builtinId="8" hidden="1"/>
    <cellStyle name="Hipervínculo" xfId="4983" builtinId="8" hidden="1"/>
    <cellStyle name="Hipervínculo" xfId="9443" builtinId="8" hidden="1"/>
    <cellStyle name="Hipervínculo" xfId="3661" builtinId="8" hidden="1"/>
    <cellStyle name="Hipervínculo" xfId="7493" builtinId="8" hidden="1"/>
    <cellStyle name="Hipervínculo" xfId="7811" builtinId="8" hidden="1"/>
    <cellStyle name="Hipervínculo" xfId="6625" builtinId="8" hidden="1"/>
    <cellStyle name="Hipervínculo" xfId="5965" builtinId="8" hidden="1"/>
    <cellStyle name="Hipervínculo" xfId="10537" builtinId="8" hidden="1"/>
    <cellStyle name="Hipervínculo" xfId="9785" builtinId="8" hidden="1"/>
    <cellStyle name="Hipervínculo" xfId="2221" builtinId="8" hidden="1"/>
    <cellStyle name="Hipervínculo" xfId="5277" builtinId="8" hidden="1"/>
    <cellStyle name="Hipervínculo" xfId="10591" builtinId="8" hidden="1"/>
    <cellStyle name="Hipervínculo" xfId="8033" builtinId="8" hidden="1"/>
    <cellStyle name="Hipervínculo" xfId="10287" builtinId="8" hidden="1"/>
    <cellStyle name="Hipervínculo" xfId="5279" builtinId="8" hidden="1"/>
    <cellStyle name="Hipervínculo" xfId="663" builtinId="8" hidden="1"/>
    <cellStyle name="Hipervínculo" xfId="6041" builtinId="8" hidden="1"/>
    <cellStyle name="Hipervínculo" xfId="9759" builtinId="8" hidden="1"/>
    <cellStyle name="Hipervínculo" xfId="2683" builtinId="8" hidden="1"/>
    <cellStyle name="Hipervínculo" xfId="10353" builtinId="8" hidden="1"/>
    <cellStyle name="Hipervínculo" xfId="6483" builtinId="8" hidden="1"/>
    <cellStyle name="Hipervínculo" xfId="235" builtinId="8" hidden="1"/>
    <cellStyle name="Hipervínculo" xfId="5423" builtinId="8" hidden="1"/>
    <cellStyle name="Hipervínculo" xfId="1639" builtinId="8" hidden="1"/>
    <cellStyle name="Hipervínculo" xfId="5181" builtinId="8" hidden="1"/>
    <cellStyle name="Hipervínculo" xfId="3317" builtinId="8" hidden="1"/>
    <cellStyle name="Hipervínculo" xfId="9089" builtinId="8" hidden="1"/>
    <cellStyle name="Hipervínculo" xfId="4329" builtinId="8" hidden="1"/>
    <cellStyle name="Hipervínculo" xfId="7397" builtinId="8" hidden="1"/>
    <cellStyle name="Hipervínculo" xfId="10169" builtinId="8" hidden="1"/>
    <cellStyle name="Hipervínculo" xfId="6377" builtinId="8" hidden="1"/>
    <cellStyle name="Hipervínculo" xfId="10651" builtinId="8" hidden="1"/>
    <cellStyle name="Hipervínculo" xfId="3671" builtinId="8" hidden="1"/>
    <cellStyle name="Hipervínculo" xfId="1845" builtinId="8" hidden="1"/>
    <cellStyle name="Hipervínculo" xfId="3629" builtinId="8" hidden="1"/>
    <cellStyle name="Hipervínculo" xfId="3205" builtinId="8" hidden="1"/>
    <cellStyle name="Hipervínculo" xfId="9097" builtinId="8" hidden="1"/>
    <cellStyle name="Hipervínculo" xfId="1655" builtinId="8" hidden="1"/>
    <cellStyle name="Hipervínculo" xfId="2051" builtinId="8" hidden="1"/>
    <cellStyle name="Hipervínculo" xfId="11013" builtinId="8" hidden="1"/>
    <cellStyle name="Hipervínculo" xfId="6723" builtinId="8" hidden="1"/>
    <cellStyle name="Hipervínculo" xfId="389" builtinId="8" hidden="1"/>
    <cellStyle name="Hipervínculo" xfId="6907" builtinId="8" hidden="1"/>
    <cellStyle name="Hipervínculo" xfId="8091" builtinId="8" hidden="1"/>
    <cellStyle name="Hipervínculo" xfId="6585" builtinId="8" hidden="1"/>
    <cellStyle name="Hipervínculo" xfId="4979" builtinId="8" hidden="1"/>
    <cellStyle name="Hipervínculo" xfId="10415" builtinId="8" hidden="1"/>
    <cellStyle name="Hipervínculo" xfId="9945" builtinId="8" hidden="1"/>
    <cellStyle name="Hipervínculo" xfId="3189" builtinId="8" hidden="1"/>
    <cellStyle name="Hipervínculo" xfId="1087" builtinId="8" hidden="1"/>
    <cellStyle name="Hipervínculo" xfId="8107" builtinId="8" hidden="1"/>
    <cellStyle name="Hipervínculo" xfId="7209" builtinId="8" hidden="1"/>
    <cellStyle name="Hipervínculo" xfId="241" builtinId="8" hidden="1"/>
    <cellStyle name="Hipervínculo" xfId="2213" builtinId="8" hidden="1"/>
    <cellStyle name="Hipervínculo" xfId="3893" builtinId="8" hidden="1"/>
    <cellStyle name="Hipervínculo" xfId="6947" builtinId="8" hidden="1"/>
    <cellStyle name="Hipervínculo" xfId="2967" builtinId="8" hidden="1"/>
    <cellStyle name="Hipervínculo" xfId="9551" builtinId="8" hidden="1"/>
    <cellStyle name="Hipervínculo" xfId="909" builtinId="8" hidden="1"/>
    <cellStyle name="Hipervínculo" xfId="45" builtinId="8" hidden="1"/>
    <cellStyle name="Hipervínculo" xfId="6243" builtinId="8" hidden="1"/>
    <cellStyle name="Hipervínculo" xfId="10843" builtinId="8" hidden="1"/>
    <cellStyle name="Hipervínculo" xfId="6885" builtinId="8" hidden="1"/>
    <cellStyle name="Hipervínculo" xfId="247" builtinId="8" hidden="1"/>
    <cellStyle name="Hipervínculo" xfId="2167" builtinId="8" hidden="1"/>
    <cellStyle name="Hipervínculo" xfId="10091" builtinId="8" hidden="1"/>
    <cellStyle name="Hipervínculo" xfId="1501" builtinId="8" hidden="1"/>
    <cellStyle name="Hipervínculo" xfId="4721" builtinId="8" hidden="1"/>
    <cellStyle name="Hipervínculo" xfId="5609" builtinId="8" hidden="1"/>
    <cellStyle name="Hipervínculo" xfId="3547" builtinId="8" hidden="1"/>
    <cellStyle name="Hipervínculo" xfId="3163" builtinId="8" hidden="1"/>
    <cellStyle name="Hipervínculo" xfId="2525" builtinId="8" hidden="1"/>
    <cellStyle name="Hipervínculo" xfId="493" builtinId="8" hidden="1"/>
    <cellStyle name="Hipervínculo" xfId="5177" builtinId="8" hidden="1"/>
    <cellStyle name="Hipervínculo" xfId="253" builtinId="8" hidden="1"/>
    <cellStyle name="Hipervínculo" xfId="2833" builtinId="8" hidden="1"/>
    <cellStyle name="Hipervínculo" xfId="8995" builtinId="8" hidden="1"/>
    <cellStyle name="Hipervínculo" xfId="8777" builtinId="8" hidden="1"/>
    <cellStyle name="Hipervínculo" xfId="5091" builtinId="8" hidden="1"/>
    <cellStyle name="Hipervínculo" xfId="697" builtinId="8" hidden="1"/>
    <cellStyle name="Hipervínculo" xfId="7967" builtinId="8" hidden="1"/>
    <cellStyle name="Hipervínculo" xfId="1141" builtinId="8" hidden="1"/>
    <cellStyle name="Hipervínculo" xfId="9973" builtinId="8" hidden="1"/>
    <cellStyle name="Hipervínculo" xfId="10411" builtinId="8" hidden="1"/>
    <cellStyle name="Hipervínculo" xfId="7363" builtinId="8" hidden="1"/>
    <cellStyle name="Hipervínculo" xfId="9407" builtinId="8" hidden="1"/>
    <cellStyle name="Hipervínculo" xfId="1323" builtinId="8" hidden="1"/>
    <cellStyle name="Hipervínculo" xfId="3269" builtinId="8" hidden="1"/>
    <cellStyle name="Hipervínculo" xfId="8767" builtinId="8" hidden="1"/>
    <cellStyle name="Hipervínculo" xfId="8495" builtinId="8" hidden="1"/>
    <cellStyle name="Hipervínculo" xfId="1003" builtinId="8" hidden="1"/>
    <cellStyle name="Hipervínculo" xfId="2587" builtinId="8" hidden="1"/>
    <cellStyle name="Hipervínculo" xfId="575" builtinId="8" hidden="1"/>
    <cellStyle name="Hipervínculo" xfId="4921" builtinId="8" hidden="1"/>
    <cellStyle name="Hipervínculo" xfId="8109" builtinId="8" hidden="1"/>
    <cellStyle name="Hipervínculo" xfId="9113" builtinId="8" hidden="1"/>
    <cellStyle name="Hipervínculo" xfId="8153" builtinId="8" hidden="1"/>
    <cellStyle name="Hipervínculo" xfId="407" builtinId="8" hidden="1"/>
    <cellStyle name="Hipervínculo" xfId="4915" builtinId="8" hidden="1"/>
    <cellStyle name="Hipervínculo" xfId="9233" builtinId="8" hidden="1"/>
    <cellStyle name="Hipervínculo" xfId="9771" builtinId="8" hidden="1"/>
    <cellStyle name="Hipervínculo" xfId="2155" builtinId="8" hidden="1"/>
    <cellStyle name="Hipervínculo" xfId="6447" builtinId="8" hidden="1"/>
    <cellStyle name="Hipervínculo" xfId="5663" builtinId="8" hidden="1"/>
    <cellStyle name="Hipervínculo" xfId="10655" builtinId="8" hidden="1"/>
    <cellStyle name="Hipervínculo" xfId="10281" builtinId="8" hidden="1"/>
    <cellStyle name="Hipervínculo" xfId="9589" builtinId="8" hidden="1"/>
    <cellStyle name="Hipervínculo" xfId="509" builtinId="8" hidden="1"/>
    <cellStyle name="Hipervínculo" xfId="5577" builtinId="8" hidden="1"/>
    <cellStyle name="Hipervínculo" xfId="10545" builtinId="8" hidden="1"/>
    <cellStyle name="Hipervínculo" xfId="9033" builtinId="8" hidden="1"/>
    <cellStyle name="Hipervínculo" xfId="5117" builtinId="8" hidden="1"/>
    <cellStyle name="Hipervínculo" xfId="7239" builtinId="8" hidden="1"/>
    <cellStyle name="Hipervínculo" xfId="1741" builtinId="8" hidden="1"/>
    <cellStyle name="Hipervínculo" xfId="1373" builtinId="8" hidden="1"/>
    <cellStyle name="Hipervínculo" xfId="4107" builtinId="8" hidden="1"/>
    <cellStyle name="Hipervínculo" xfId="2615" builtinId="8" hidden="1"/>
    <cellStyle name="Hipervínculo" xfId="2653" builtinId="8" hidden="1"/>
    <cellStyle name="Hipervínculo" xfId="4193" builtinId="8" hidden="1"/>
    <cellStyle name="Hipervínculo" xfId="1991" builtinId="8" hidden="1"/>
    <cellStyle name="Hipervínculo" xfId="6591" builtinId="8" hidden="1"/>
    <cellStyle name="Hipervínculo" xfId="7375" builtinId="8" hidden="1"/>
    <cellStyle name="Hipervínculo" xfId="8989" builtinId="8" hidden="1"/>
    <cellStyle name="Hipervínculo" xfId="2669" builtinId="8" hidden="1"/>
    <cellStyle name="Hipervínculo" xfId="8609" builtinId="8" hidden="1"/>
    <cellStyle name="Hipervínculo" xfId="7471" builtinId="8" hidden="1"/>
    <cellStyle name="Hipervínculo" xfId="11065" builtinId="8" hidden="1"/>
    <cellStyle name="Hipervínculo" xfId="10359" builtinId="8" hidden="1"/>
    <cellStyle name="Hipervínculo" xfId="10525" builtinId="8" hidden="1"/>
    <cellStyle name="Hipervínculo" xfId="4665" builtinId="8" hidden="1"/>
    <cellStyle name="Hipervínculo" xfId="5139" builtinId="8" hidden="1"/>
    <cellStyle name="Hipervínculo" xfId="1111" builtinId="8" hidden="1"/>
    <cellStyle name="Hipervínculo" xfId="10387" builtinId="8" hidden="1"/>
    <cellStyle name="Hipervínculo" xfId="5989" builtinId="8" hidden="1"/>
    <cellStyle name="Hipervínculo" xfId="1391" builtinId="8" hidden="1"/>
    <cellStyle name="Hipervínculo" xfId="2353" builtinId="8" hidden="1"/>
    <cellStyle name="Hipervínculo" xfId="3491" builtinId="8" hidden="1"/>
    <cellStyle name="Hipervínculo" xfId="4349" builtinId="8" hidden="1"/>
    <cellStyle name="Hipervínculo" xfId="2563" builtinId="8" hidden="1"/>
    <cellStyle name="Hipervínculo" xfId="729" builtinId="8" hidden="1"/>
    <cellStyle name="Hipervínculo" xfId="2583" builtinId="8" hidden="1"/>
    <cellStyle name="Hipervínculo" xfId="2993" builtinId="8" hidden="1"/>
    <cellStyle name="Hipervínculo" xfId="2827" builtinId="8" hidden="1"/>
    <cellStyle name="Hipervínculo" xfId="3265" builtinId="8" hidden="1"/>
    <cellStyle name="Hipervínculo" xfId="10447" builtinId="8" hidden="1"/>
    <cellStyle name="Hipervínculo" xfId="1049" builtinId="8" hidden="1"/>
    <cellStyle name="Hipervínculo" xfId="8397" builtinId="8" hidden="1"/>
    <cellStyle name="Hipervínculo" xfId="8471" builtinId="8" hidden="1"/>
    <cellStyle name="Hipervínculo" xfId="1835" builtinId="8" hidden="1"/>
    <cellStyle name="Hipervínculo" xfId="7973" builtinId="8" hidden="1"/>
    <cellStyle name="Hipervínculo" xfId="2391" builtinId="8" hidden="1"/>
    <cellStyle name="Hipervínculo" xfId="5749" builtinId="8" hidden="1"/>
    <cellStyle name="Hipervínculo" xfId="1917" builtinId="8" hidden="1"/>
    <cellStyle name="Hipervínculo" xfId="2099" builtinId="8" hidden="1"/>
    <cellStyle name="Hipervínculo" xfId="9267" builtinId="8" hidden="1"/>
    <cellStyle name="Hipervínculo" xfId="6001" builtinId="8" hidden="1"/>
    <cellStyle name="Hipervínculo" xfId="9795" builtinId="8" hidden="1"/>
    <cellStyle name="Hipervínculo" xfId="1459" builtinId="8" hidden="1"/>
    <cellStyle name="Hipervínculo" xfId="8643" builtinId="8" hidden="1"/>
    <cellStyle name="Hipervínculo" xfId="2803" builtinId="8" hidden="1"/>
    <cellStyle name="Hipervínculo" xfId="633" builtinId="8" hidden="1"/>
    <cellStyle name="Hipervínculo" xfId="7839" builtinId="8" hidden="1"/>
    <cellStyle name="Hipervínculo" xfId="4787" builtinId="8" hidden="1"/>
    <cellStyle name="Hipervínculo" xfId="5385" builtinId="8" hidden="1"/>
    <cellStyle name="Hipervínculo" xfId="51" builtinId="8" hidden="1"/>
    <cellStyle name="Hipervínculo" xfId="8761" builtinId="8" hidden="1"/>
    <cellStyle name="Hipervínculo" xfId="11037" builtinId="8" hidden="1"/>
    <cellStyle name="Hipervínculo" xfId="2217" builtinId="8" hidden="1"/>
    <cellStyle name="Hipervínculo" xfId="10999" builtinId="8" hidden="1"/>
    <cellStyle name="Hipervínculo" xfId="3167" builtinId="8" hidden="1"/>
    <cellStyle name="Hipervínculo" xfId="9963" builtinId="8" hidden="1"/>
    <cellStyle name="Hipervínculo" xfId="5959" builtinId="8" hidden="1"/>
    <cellStyle name="Hipervínculo" xfId="5787" builtinId="8" hidden="1"/>
    <cellStyle name="Hipervínculo" xfId="1121" builtinId="8" hidden="1"/>
    <cellStyle name="Hipervínculo" xfId="289" builtinId="8" hidden="1"/>
    <cellStyle name="Hipervínculo" xfId="2943" builtinId="8" hidden="1"/>
    <cellStyle name="Hipervínculo" xfId="4421" builtinId="8" hidden="1"/>
    <cellStyle name="Hipervínculo" xfId="1403" builtinId="8" hidden="1"/>
    <cellStyle name="Hipervínculo" xfId="3563" builtinId="8" hidden="1"/>
    <cellStyle name="Hipervínculo" xfId="1773" builtinId="8" hidden="1"/>
    <cellStyle name="Hipervínculo" xfId="1895" builtinId="8" hidden="1"/>
    <cellStyle name="Hipervínculo" xfId="9933" builtinId="8" hidden="1"/>
    <cellStyle name="Hipervínculo" xfId="585" builtinId="8" hidden="1"/>
    <cellStyle name="Hipervínculo" xfId="3473" builtinId="8" hidden="1"/>
    <cellStyle name="Hipervínculo" xfId="6763" builtinId="8" hidden="1"/>
    <cellStyle name="Hipervínculo" xfId="2579" builtinId="8" hidden="1"/>
    <cellStyle name="Hipervínculo" xfId="9087" builtinId="8" hidden="1"/>
    <cellStyle name="Hipervínculo" xfId="2119" builtinId="8" hidden="1"/>
    <cellStyle name="Hipervínculo" xfId="10063" builtinId="8" hidden="1"/>
    <cellStyle name="Hipervínculo" xfId="2313" builtinId="8" hidden="1"/>
    <cellStyle name="Hipervínculo" xfId="10965" builtinId="8" hidden="1"/>
    <cellStyle name="Hipervínculo" xfId="9621" builtinId="8" hidden="1"/>
    <cellStyle name="Hipervínculo" xfId="7073" builtinId="8" hidden="1"/>
    <cellStyle name="Hipervínculo" xfId="3951" builtinId="8" hidden="1"/>
    <cellStyle name="Hipervínculo" xfId="2561" builtinId="8" hidden="1"/>
    <cellStyle name="Hipervínculo" xfId="7077" builtinId="8" hidden="1"/>
    <cellStyle name="Hipervínculo" xfId="5387" builtinId="8" hidden="1"/>
    <cellStyle name="Hipervínculo" xfId="9081" builtinId="8" hidden="1"/>
    <cellStyle name="Hipervínculo" xfId="10665" builtinId="8" hidden="1"/>
    <cellStyle name="Hipervínculo" xfId="6633" builtinId="8" hidden="1"/>
    <cellStyle name="Hipervínculo" xfId="2403" builtinId="8" hidden="1"/>
    <cellStyle name="Hipervínculo" xfId="6635" builtinId="8" hidden="1"/>
    <cellStyle name="Hipervínculo" xfId="10931" builtinId="8" hidden="1"/>
    <cellStyle name="Hipervínculo" xfId="1167" builtinId="8" hidden="1"/>
    <cellStyle name="Hipervínculo" xfId="8075" builtinId="8" hidden="1"/>
    <cellStyle name="Hipervínculo" xfId="6423" builtinId="8" hidden="1"/>
    <cellStyle name="Hipervínculo" xfId="2519" builtinId="8" hidden="1"/>
    <cellStyle name="Hipervínculo" xfId="7767" builtinId="8" hidden="1"/>
    <cellStyle name="Hipervínculo" xfId="563" builtinId="8" hidden="1"/>
    <cellStyle name="Hipervínculo" xfId="10153" builtinId="8" hidden="1"/>
    <cellStyle name="Hipervínculo" xfId="1341" builtinId="8" hidden="1"/>
    <cellStyle name="Hipervínculo" xfId="1921" builtinId="8" hidden="1"/>
    <cellStyle name="Hipervínculo" xfId="49" builtinId="8" hidden="1"/>
    <cellStyle name="Hipervínculo" xfId="6539" builtinId="8" hidden="1"/>
    <cellStyle name="Hipervínculo" xfId="8637" builtinId="8" hidden="1"/>
    <cellStyle name="Hipervínculo" xfId="5123" builtinId="8" hidden="1"/>
    <cellStyle name="Hipervínculo" xfId="8815" builtinId="8" hidden="1"/>
    <cellStyle name="Hipervínculo" xfId="9139" builtinId="8" hidden="1"/>
    <cellStyle name="Hipervínculo" xfId="1795" builtinId="8" hidden="1"/>
    <cellStyle name="Hipervínculo" xfId="2937" builtinId="8" hidden="1"/>
    <cellStyle name="Hipervínculo" xfId="7033" builtinId="8" hidden="1"/>
    <cellStyle name="Hipervínculo" xfId="5591" builtinId="8" hidden="1"/>
    <cellStyle name="Hipervínculo" xfId="353" builtinId="8" hidden="1"/>
    <cellStyle name="Hipervínculo" xfId="9243" builtinId="8" hidden="1"/>
    <cellStyle name="Hipervínculo" xfId="8023" builtinId="8" hidden="1"/>
    <cellStyle name="Hipervínculo" xfId="4215" builtinId="8" hidden="1"/>
    <cellStyle name="Hipervínculo" xfId="8331" builtinId="8" hidden="1"/>
    <cellStyle name="Hipervínculo" xfId="61" builtinId="8" hidden="1"/>
    <cellStyle name="Hipervínculo" xfId="835" builtinId="8" hidden="1"/>
    <cellStyle name="Hipervínculo" xfId="8337" builtinId="8" hidden="1"/>
    <cellStyle name="Hipervínculo" xfId="9633" builtinId="8" hidden="1"/>
    <cellStyle name="Hipervínculo" xfId="479" builtinId="8" hidden="1"/>
    <cellStyle name="Hipervínculo" xfId="5353" builtinId="8" hidden="1"/>
    <cellStyle name="Hipervínculo" xfId="9117" builtinId="8" hidden="1"/>
    <cellStyle name="Hipervínculo" xfId="7855" builtinId="8" hidden="1"/>
    <cellStyle name="Hipervínculo" xfId="8055" builtinId="8" hidden="1"/>
    <cellStyle name="Hipervínculo" xfId="4277" builtinId="8" hidden="1"/>
    <cellStyle name="Hipervínculo" xfId="9505" builtinId="8" hidden="1"/>
    <cellStyle name="Hipervínculo" xfId="3827" builtinId="8" hidden="1"/>
    <cellStyle name="Hipervínculo" xfId="3869" builtinId="8" hidden="1"/>
    <cellStyle name="Hipervínculo" xfId="10523" builtinId="8" hidden="1"/>
    <cellStyle name="Hipervínculo" xfId="5101" builtinId="8" hidden="1"/>
    <cellStyle name="Hipervínculo" xfId="1001" builtinId="8" hidden="1"/>
    <cellStyle name="Hipervínculo" xfId="8305" builtinId="8" hidden="1"/>
    <cellStyle name="Hipervínculo" xfId="2939" builtinId="8" hidden="1"/>
    <cellStyle name="Hipervínculo" xfId="4341" builtinId="8" hidden="1"/>
    <cellStyle name="Hipervínculo" xfId="10717" builtinId="8" hidden="1"/>
    <cellStyle name="Hipervínculo" xfId="10273" builtinId="8" hidden="1"/>
    <cellStyle name="Hipervínculo" xfId="7703" builtinId="8" hidden="1"/>
    <cellStyle name="Hipervínculo" xfId="10087" builtinId="8" hidden="1"/>
    <cellStyle name="Hipervínculo" xfId="827" builtinId="8" hidden="1"/>
    <cellStyle name="Hipervínculo" xfId="5765" builtinId="8" hidden="1"/>
    <cellStyle name="Hipervínculo" xfId="10223" builtinId="8" hidden="1"/>
    <cellStyle name="Hipervínculo" xfId="10219" builtinId="8" hidden="1"/>
    <cellStyle name="Hipervínculo" xfId="1575" builtinId="8" hidden="1"/>
    <cellStyle name="Hipervínculo" xfId="8273" builtinId="8" hidden="1"/>
    <cellStyle name="Hipervínculo" xfId="6153" builtinId="8" hidden="1"/>
    <cellStyle name="Hipervínculo" xfId="9775" builtinId="8" hidden="1"/>
    <cellStyle name="Hipervínculo" xfId="8065" builtinId="8" hidden="1"/>
    <cellStyle name="Hipervínculo" xfId="6513" builtinId="8" hidden="1"/>
    <cellStyle name="Hipervínculo" xfId="10227" builtinId="8" hidden="1"/>
    <cellStyle name="Hipervínculo" xfId="11017" builtinId="8" hidden="1"/>
    <cellStyle name="Hipervínculo" xfId="2241" builtinId="8" hidden="1"/>
    <cellStyle name="Hipervínculo" xfId="9501" builtinId="8" hidden="1"/>
    <cellStyle name="Hipervínculo" xfId="5049" builtinId="8" hidden="1"/>
    <cellStyle name="Hipervínculo" xfId="3905" builtinId="8" hidden="1"/>
    <cellStyle name="Hipervínculo" xfId="2439" builtinId="8" hidden="1"/>
    <cellStyle name="Hipervínculo" xfId="917" builtinId="8" hidden="1"/>
    <cellStyle name="Hipervínculo" xfId="6011" builtinId="8" hidden="1"/>
    <cellStyle name="Hipervínculo" xfId="1667" builtinId="8" hidden="1"/>
    <cellStyle name="Hipervínculo" xfId="5563" builtinId="8" hidden="1"/>
    <cellStyle name="Hipervínculo" xfId="4955" builtinId="8" hidden="1"/>
    <cellStyle name="Hipervínculo" xfId="4963" builtinId="8" hidden="1"/>
    <cellStyle name="Hipervínculo" xfId="10793" builtinId="8" hidden="1"/>
    <cellStyle name="Hipervínculo" xfId="5877" builtinId="8" hidden="1"/>
    <cellStyle name="Hipervínculo" xfId="6143" builtinId="8" hidden="1"/>
    <cellStyle name="Hipervínculo" xfId="219" builtinId="8" hidden="1"/>
    <cellStyle name="Hipervínculo" xfId="1579" builtinId="8" hidden="1"/>
    <cellStyle name="Hipervínculo" xfId="8241" builtinId="8" hidden="1"/>
    <cellStyle name="Hipervínculo" xfId="4357" builtinId="8" hidden="1"/>
    <cellStyle name="Hipervínculo" xfId="6465" builtinId="8" hidden="1"/>
    <cellStyle name="Hipervínculo" xfId="7803" builtinId="8" hidden="1"/>
    <cellStyle name="Hipervínculo" xfId="37" builtinId="8" hidden="1"/>
    <cellStyle name="Hipervínculo" xfId="1881" builtinId="8" hidden="1"/>
    <cellStyle name="Hipervínculo" xfId="7823" builtinId="8" hidden="1"/>
    <cellStyle name="Hipervínculo" xfId="6827" builtinId="8" hidden="1"/>
    <cellStyle name="Hipervínculo" xfId="5761" builtinId="8" hidden="1"/>
    <cellStyle name="Hipervínculo" xfId="4225" builtinId="8" hidden="1"/>
    <cellStyle name="Hipervínculo" xfId="5081" builtinId="8" hidden="1"/>
    <cellStyle name="Hipervínculo" xfId="4859" builtinId="8" hidden="1"/>
    <cellStyle name="Hipervínculo" xfId="9983" builtinId="8" hidden="1"/>
    <cellStyle name="Hipervínculo" xfId="813" builtinId="8" hidden="1"/>
    <cellStyle name="Hipervínculo" xfId="8619" builtinId="8" hidden="1"/>
    <cellStyle name="Hipervínculo" xfId="2057" builtinId="8" hidden="1"/>
    <cellStyle name="Hipervínculo" xfId="2767" builtinId="8" hidden="1"/>
    <cellStyle name="Hipervínculo" xfId="2915" builtinId="8" hidden="1"/>
    <cellStyle name="Hipervínculo" xfId="3511" builtinId="8" hidden="1"/>
    <cellStyle name="Hipervínculo" xfId="987" builtinId="8" hidden="1"/>
    <cellStyle name="Hipervínculo" xfId="8765" builtinId="8" hidden="1"/>
    <cellStyle name="Hipervínculo" xfId="9931" builtinId="8" hidden="1"/>
    <cellStyle name="Hipervínculo" xfId="2549" builtinId="8" hidden="1"/>
    <cellStyle name="Hipervínculo" xfId="2203" builtinId="8" hidden="1"/>
    <cellStyle name="Hipervínculo" xfId="675" builtinId="8" hidden="1"/>
    <cellStyle name="Hipervínculo" xfId="2127" builtinId="8" hidden="1"/>
    <cellStyle name="Hipervínculo" xfId="8883" builtinId="8" hidden="1"/>
    <cellStyle name="Hipervínculo" xfId="4485" builtinId="8" hidden="1"/>
    <cellStyle name="Hipervínculo" xfId="10963" builtinId="8" hidden="1"/>
    <cellStyle name="Hipervínculo" xfId="445" builtinId="8" hidden="1"/>
    <cellStyle name="Hipervínculo" xfId="9489" builtinId="8" hidden="1"/>
    <cellStyle name="Hipervínculo" xfId="2153" builtinId="8" hidden="1"/>
    <cellStyle name="Hipervínculo" xfId="10229" builtinId="8" hidden="1"/>
    <cellStyle name="Hipervínculo" xfId="2503" builtinId="8" hidden="1"/>
    <cellStyle name="Hipervínculo" xfId="8449" builtinId="8" hidden="1"/>
    <cellStyle name="Hipervínculo" xfId="10621" builtinId="8" hidden="1"/>
    <cellStyle name="Hipervínculo" xfId="121" builtinId="8" hidden="1"/>
    <cellStyle name="Hipervínculo" xfId="7169" builtinId="8" hidden="1"/>
    <cellStyle name="Hipervínculo" xfId="6801" builtinId="8" hidden="1"/>
    <cellStyle name="Hipervínculo" xfId="441" builtinId="8" hidden="1"/>
    <cellStyle name="Hipervínculo" xfId="8351" builtinId="8" hidden="1"/>
    <cellStyle name="Hipervínculo" xfId="2809" builtinId="8" hidden="1"/>
    <cellStyle name="Hipervínculo" xfId="6507" builtinId="8" hidden="1"/>
    <cellStyle name="Hipervínculo" xfId="2965" builtinId="8" hidden="1"/>
    <cellStyle name="Hipervínculo" xfId="8897" builtinId="8" hidden="1"/>
    <cellStyle name="Hipervínculo" xfId="4707" builtinId="8" hidden="1"/>
    <cellStyle name="Hipervínculo" xfId="1861" builtinId="8" hidden="1"/>
    <cellStyle name="Hipervínculo" xfId="9127" builtinId="8" hidden="1"/>
    <cellStyle name="Hipervínculo" xfId="6373" builtinId="8" hidden="1"/>
    <cellStyle name="Hipervínculo" xfId="3063" builtinId="8" hidden="1"/>
    <cellStyle name="Hipervínculo" xfId="5531" builtinId="8" hidden="1"/>
    <cellStyle name="Hipervínculo" xfId="3543" builtinId="8" hidden="1"/>
    <cellStyle name="Hipervínculo" xfId="6759" builtinId="8" hidden="1"/>
    <cellStyle name="Hipervínculo" xfId="597" builtinId="8" hidden="1"/>
    <cellStyle name="Hipervínculo" xfId="6235" builtinId="8" hidden="1"/>
    <cellStyle name="Hipervínculo" xfId="6605" builtinId="8" hidden="1"/>
    <cellStyle name="Hipervínculo" xfId="5487" builtinId="8" hidden="1"/>
    <cellStyle name="Hipervínculo" xfId="5403" builtinId="8" hidden="1"/>
    <cellStyle name="Hipervínculo" xfId="8681" builtinId="8" hidden="1"/>
    <cellStyle name="Hipervínculo" xfId="8669" builtinId="8" hidden="1"/>
    <cellStyle name="Hipervínculo" xfId="6301" builtinId="8" hidden="1"/>
    <cellStyle name="Hipervínculo" xfId="8423" builtinId="8" hidden="1"/>
    <cellStyle name="Hipervínculo" xfId="9729" builtinId="8" hidden="1"/>
    <cellStyle name="Hipervínculo" xfId="6581" builtinId="8" hidden="1"/>
    <cellStyle name="Hipervínculo" xfId="9425" builtinId="8" hidden="1"/>
    <cellStyle name="Hipervínculo" xfId="1621" builtinId="8" hidden="1"/>
    <cellStyle name="Hipervínculo" xfId="1163" builtinId="8" hidden="1"/>
    <cellStyle name="Hipervínculo" xfId="8703" builtinId="8" hidden="1"/>
    <cellStyle name="Hipervínculo" xfId="9337" builtinId="8" hidden="1"/>
    <cellStyle name="Hipervínculo" xfId="2901" builtinId="8" hidden="1"/>
    <cellStyle name="Hipervínculo" xfId="2779" builtinId="8" hidden="1"/>
    <cellStyle name="Hipervínculo" xfId="1931" builtinId="8" hidden="1"/>
    <cellStyle name="Hipervínculo" xfId="10675" builtinId="8" hidden="1"/>
    <cellStyle name="Hipervínculo" xfId="3401" builtinId="8" hidden="1"/>
    <cellStyle name="Hipervínculo" xfId="53" builtinId="8" hidden="1"/>
    <cellStyle name="Hipervínculo" xfId="7095" builtinId="8" hidden="1"/>
    <cellStyle name="Hipervínculo" xfId="5059" builtinId="8" hidden="1"/>
    <cellStyle name="Hipervínculo" xfId="859" builtinId="8" hidden="1"/>
    <cellStyle name="Hipervínculo" xfId="10221" builtinId="8" hidden="1"/>
    <cellStyle name="Hipervínculo" xfId="9495" builtinId="8" hidden="1"/>
    <cellStyle name="Hipervínculo" xfId="10491" builtinId="8" hidden="1"/>
    <cellStyle name="Hipervínculo" xfId="351" builtinId="8" hidden="1"/>
    <cellStyle name="Hipervínculo" xfId="8067" builtinId="8" hidden="1"/>
    <cellStyle name="Hipervínculo" xfId="5009" builtinId="8" hidden="1"/>
    <cellStyle name="Hipervínculo" xfId="2511" builtinId="8" hidden="1"/>
    <cellStyle name="Hipervínculo" xfId="9707" builtinId="8" hidden="1"/>
    <cellStyle name="Hipervínculo" xfId="5621" builtinId="8" hidden="1"/>
    <cellStyle name="Hipervínculo" xfId="8925" builtinId="8" hidden="1"/>
    <cellStyle name="Hipervínculo" xfId="9889" builtinId="8" hidden="1"/>
    <cellStyle name="Hipervínculo" xfId="11007" builtinId="8" hidden="1"/>
    <cellStyle name="Hipervínculo" xfId="3255" builtinId="8" hidden="1"/>
    <cellStyle name="Hipervínculo" xfId="5473" builtinId="8" hidden="1"/>
    <cellStyle name="Hipervínculo" xfId="7763" builtinId="8" hidden="1"/>
    <cellStyle name="Hipervínculo" xfId="4817" builtinId="8" hidden="1"/>
    <cellStyle name="Hipervínculo" xfId="7827" builtinId="8" hidden="1"/>
    <cellStyle name="Hipervínculo" xfId="9403" builtinId="8" hidden="1"/>
    <cellStyle name="Hipervínculo" xfId="3681" builtinId="8" hidden="1"/>
    <cellStyle name="Hipervínculo" xfId="6745" builtinId="8" hidden="1"/>
    <cellStyle name="Hipervínculo" xfId="3623" builtinId="8" hidden="1"/>
    <cellStyle name="Hipervínculo" xfId="5053" builtinId="8" hidden="1"/>
    <cellStyle name="Hipervínculo" xfId="823" builtinId="8" hidden="1"/>
    <cellStyle name="Hipervínculo" xfId="10519" builtinId="8" hidden="1"/>
    <cellStyle name="Hipervínculo" xfId="1581" builtinId="8" hidden="1"/>
    <cellStyle name="Hipervínculo" xfId="5903" builtinId="8" hidden="1"/>
    <cellStyle name="Hipervínculo" xfId="1385" builtinId="8" hidden="1"/>
    <cellStyle name="Hipervínculo" xfId="1919" builtinId="8" hidden="1"/>
    <cellStyle name="Hipervínculo" xfId="6717" builtinId="8" hidden="1"/>
    <cellStyle name="Hipervínculo" xfId="2389" builtinId="8" hidden="1"/>
    <cellStyle name="Hipervínculo" xfId="2693" builtinId="8" hidden="1"/>
    <cellStyle name="Hipervínculo" xfId="4583" builtinId="8" hidden="1"/>
    <cellStyle name="Hipervínculo" xfId="2703" builtinId="8" hidden="1"/>
    <cellStyle name="Hipervínculo" xfId="9369" builtinId="8" hidden="1"/>
    <cellStyle name="Hipervínculo" xfId="5027" builtinId="8" hidden="1"/>
    <cellStyle name="Hipervínculo" xfId="7401" builtinId="8" hidden="1"/>
    <cellStyle name="Hipervínculo" xfId="735" builtinId="8" hidden="1"/>
    <cellStyle name="Hipervínculo" xfId="3691" builtinId="8" hidden="1"/>
    <cellStyle name="Hipervínculo" xfId="75" builtinId="8" hidden="1"/>
    <cellStyle name="Hipervínculo" xfId="5635" builtinId="8" hidden="1"/>
    <cellStyle name="Hipervínculo" xfId="5233" builtinId="8" hidden="1"/>
    <cellStyle name="Hipervínculo" xfId="8429" builtinId="8" hidden="1"/>
    <cellStyle name="Hipervínculo" xfId="9757" builtinId="8" hidden="1"/>
    <cellStyle name="Hipervínculo" xfId="2981" builtinId="8" hidden="1"/>
    <cellStyle name="Hipervínculo" xfId="2179" builtinId="8" hidden="1"/>
    <cellStyle name="Hipervínculo" xfId="7085" builtinId="8" hidden="1"/>
    <cellStyle name="Hipervínculo" xfId="10673" builtinId="8" hidden="1"/>
    <cellStyle name="Hipervínculo" xfId="2433" builtinId="8" hidden="1"/>
    <cellStyle name="Hipervínculo" xfId="5717" builtinId="8" hidden="1"/>
    <cellStyle name="Hipervínculo" xfId="6437" builtinId="8" hidden="1"/>
    <cellStyle name="Hipervínculo" xfId="4441" builtinId="8" hidden="1"/>
    <cellStyle name="Hipervínculo" xfId="6091" builtinId="8" hidden="1"/>
    <cellStyle name="Hipervínculo" xfId="5863" builtinId="8" hidden="1"/>
    <cellStyle name="Hipervínculo" xfId="5" builtinId="8" hidden="1"/>
    <cellStyle name="Hipervínculo" xfId="5323" builtinId="8" hidden="1"/>
    <cellStyle name="Hipervínculo" xfId="4213" builtinId="8" hidden="1"/>
    <cellStyle name="Hipervínculo" xfId="8021" builtinId="8" hidden="1"/>
    <cellStyle name="Hipervínculo" xfId="6913" builtinId="8" hidden="1"/>
    <cellStyle name="Hipervínculo" xfId="8971" builtinId="8" hidden="1"/>
    <cellStyle name="Hipervínculo" xfId="4161" builtinId="8" hidden="1"/>
    <cellStyle name="Hipervínculo" xfId="7565" builtinId="8" hidden="1"/>
    <cellStyle name="Hipervínculo" xfId="8649" builtinId="8" hidden="1"/>
    <cellStyle name="Hipervínculo" xfId="6617" builtinId="8" hidden="1"/>
    <cellStyle name="Hipervínculo" xfId="5939" builtinId="8" hidden="1"/>
    <cellStyle name="Hipervínculo" xfId="8163" builtinId="8" hidden="1"/>
    <cellStyle name="Hipervínculo" xfId="371" builtinId="8" hidden="1"/>
    <cellStyle name="Hipervínculo" xfId="3809" builtinId="8" hidden="1"/>
    <cellStyle name="Hipervínculo" xfId="1407" builtinId="8" hidden="1"/>
    <cellStyle name="Hipervínculo" xfId="5425" builtinId="8" hidden="1"/>
    <cellStyle name="Hipervínculo" xfId="8561" builtinId="8" hidden="1"/>
    <cellStyle name="Hipervínculo" xfId="5271" builtinId="8" hidden="1"/>
    <cellStyle name="Hipervínculo" xfId="5037" builtinId="8" hidden="1"/>
    <cellStyle name="Hipervínculo" xfId="3631" builtinId="8" hidden="1"/>
    <cellStyle name="Hipervínculo" xfId="3553" builtinId="8" hidden="1"/>
    <cellStyle name="Hipervínculo" xfId="7837" builtinId="8" hidden="1"/>
    <cellStyle name="Hipervínculo" xfId="9435" builtinId="8" hidden="1"/>
    <cellStyle name="Hipervínculo" xfId="10489" builtinId="8" hidden="1"/>
    <cellStyle name="Hipervínculo" xfId="10231" builtinId="8" hidden="1"/>
    <cellStyle name="Hipervínculo" xfId="4117" builtinId="8" hidden="1"/>
    <cellStyle name="Hipervínculo" xfId="1199" builtinId="8" hidden="1"/>
    <cellStyle name="Hipervínculo" xfId="2469" builtinId="8" hidden="1"/>
    <cellStyle name="Hipervínculo" xfId="4031" builtinId="8" hidden="1"/>
    <cellStyle name="Hipervínculo" xfId="457" builtinId="8" hidden="1"/>
    <cellStyle name="Hipervínculo" xfId="5151" builtinId="8" hidden="1"/>
    <cellStyle name="Hipervínculo" xfId="10165" builtinId="8" hidden="1"/>
    <cellStyle name="Hipervínculo" xfId="8447" builtinId="8" hidden="1"/>
    <cellStyle name="Hipervínculo" xfId="2521" builtinId="8" hidden="1"/>
    <cellStyle name="Hipervínculo" xfId="10279" builtinId="8" hidden="1"/>
    <cellStyle name="Hipervínculo" xfId="5841" builtinId="8" hidden="1"/>
    <cellStyle name="Hipervínculo" xfId="8847" builtinId="8" hidden="1"/>
    <cellStyle name="Hipervínculo" xfId="2271" builtinId="8" hidden="1"/>
    <cellStyle name="Hipervínculo" xfId="1585" builtinId="8" hidden="1"/>
    <cellStyle name="Hipervínculo" xfId="4147" builtinId="8" hidden="1"/>
    <cellStyle name="Hipervínculo" xfId="10889" builtinId="8" hidden="1"/>
    <cellStyle name="Hipervínculo" xfId="3575" builtinId="8" hidden="1"/>
    <cellStyle name="Hipervínculo" xfId="6693" builtinId="8" hidden="1"/>
    <cellStyle name="Hipervínculo" xfId="4975" builtinId="8" hidden="1"/>
    <cellStyle name="Hipervínculo" xfId="6903" builtinId="8" hidden="1"/>
    <cellStyle name="Hipervínculo" xfId="1843" builtinId="8" hidden="1"/>
    <cellStyle name="Hipervínculo" xfId="1305" builtinId="8" hidden="1"/>
    <cellStyle name="Hipervínculo" xfId="5219" builtinId="8" hidden="1"/>
    <cellStyle name="Hipervínculo" xfId="1903" builtinId="8" hidden="1"/>
    <cellStyle name="Hipervínculo" xfId="6955" builtinId="8" hidden="1"/>
    <cellStyle name="Hipervínculo" xfId="10261" builtinId="8" hidden="1"/>
    <cellStyle name="Hipervínculo" xfId="4935" builtinId="8" hidden="1"/>
    <cellStyle name="Hipervínculo" xfId="97" builtinId="8" hidden="1"/>
    <cellStyle name="Hipervínculo" xfId="10659" builtinId="8" hidden="1"/>
    <cellStyle name="Hipervínculo" xfId="4881" builtinId="8" hidden="1"/>
    <cellStyle name="Hipervínculo" xfId="5891" builtinId="8" hidden="1"/>
    <cellStyle name="Hipervínculo" xfId="641" builtinId="8" hidden="1"/>
    <cellStyle name="Hipervínculo" xfId="431" builtinId="8" hidden="1"/>
    <cellStyle name="Hipervínculo" xfId="6457" builtinId="8" hidden="1"/>
    <cellStyle name="Hipervínculo" xfId="5013" builtinId="8" hidden="1"/>
    <cellStyle name="Hipervínculo" xfId="9175" builtinId="8" hidden="1"/>
    <cellStyle name="Hipervínculo" xfId="4879" builtinId="8" hidden="1"/>
    <cellStyle name="Hipervínculo" xfId="7481" builtinId="8" hidden="1"/>
    <cellStyle name="Hipervínculo" xfId="9251" builtinId="8" hidden="1"/>
    <cellStyle name="Hipervínculo" xfId="1849" builtinId="8" hidden="1"/>
    <cellStyle name="Hipervínculo" xfId="1735" builtinId="8" hidden="1"/>
    <cellStyle name="Hipervínculo" xfId="93" builtinId="8" hidden="1"/>
    <cellStyle name="Hipervínculo" xfId="2209" builtinId="8" hidden="1"/>
    <cellStyle name="Hipervínculo" xfId="5773" builtinId="8" hidden="1"/>
    <cellStyle name="Hipervínculo" xfId="5805" builtinId="8" hidden="1"/>
    <cellStyle name="Hipervínculo" xfId="9725" builtinId="8" hidden="1"/>
    <cellStyle name="Hipervínculo" xfId="723" builtinId="8" hidden="1"/>
    <cellStyle name="Hipervínculo" xfId="2441" builtinId="8" hidden="1"/>
    <cellStyle name="Hipervínculo" xfId="6367" builtinId="8" hidden="1"/>
    <cellStyle name="Hipervínculo" xfId="1125" builtinId="8" hidden="1"/>
    <cellStyle name="Hipervínculo" xfId="4977" builtinId="8" hidden="1"/>
    <cellStyle name="Hipervínculo" xfId="6337" builtinId="8" hidden="1"/>
    <cellStyle name="Hipervínculo" xfId="5089" builtinId="8" hidden="1"/>
    <cellStyle name="Hipervínculo" xfId="707" builtinId="8" hidden="1"/>
    <cellStyle name="Hipervínculo" xfId="9471" builtinId="8" hidden="1"/>
    <cellStyle name="Hipervínculo" xfId="483" builtinId="8" hidden="1"/>
    <cellStyle name="Hipervínculo" xfId="8557" builtinId="8" hidden="1"/>
    <cellStyle name="Hipervínculo" xfId="5443" builtinId="8" hidden="1"/>
    <cellStyle name="Hipervínculo" xfId="3707" builtinId="8" hidden="1"/>
    <cellStyle name="Hipervínculo" xfId="11083" builtinId="8" hidden="1"/>
    <cellStyle name="Hipervínculo" xfId="10373" builtinId="8" hidden="1"/>
    <cellStyle name="Hipervínculo" xfId="8753" builtinId="8" hidden="1"/>
    <cellStyle name="Hipervínculo" xfId="3159" builtinId="8" hidden="1"/>
    <cellStyle name="Hipervínculo" xfId="9877" builtinId="8" hidden="1"/>
    <cellStyle name="Hipervínculo" xfId="7063" builtinId="8" hidden="1"/>
    <cellStyle name="Hipervínculo" xfId="2925" builtinId="8" hidden="1"/>
    <cellStyle name="Hipervínculo" xfId="10267" builtinId="8" hidden="1"/>
    <cellStyle name="Hipervínculo" xfId="309" builtinId="8" hidden="1"/>
    <cellStyle name="Hipervínculo" xfId="4491" builtinId="8" hidden="1"/>
    <cellStyle name="Hipervínculo" xfId="957" builtinId="8" hidden="1"/>
    <cellStyle name="Hipervínculo" xfId="2035" builtinId="8" hidden="1"/>
    <cellStyle name="Hipervínculo" xfId="7623" builtinId="8" hidden="1"/>
    <cellStyle name="Hipervínculo" xfId="4723" builtinId="8" hidden="1"/>
    <cellStyle name="Hipervínculo" xfId="6013" builtinId="8" hidden="1"/>
    <cellStyle name="Hipervínculo" xfId="8063" builtinId="8" hidden="1"/>
    <cellStyle name="Hipervínculo" xfId="2071" builtinId="8" hidden="1"/>
    <cellStyle name="Hipervínculo" xfId="9345" builtinId="8" hidden="1"/>
    <cellStyle name="Hipervínculo" xfId="6841" builtinId="8" hidden="1"/>
    <cellStyle name="Hipervínculo" xfId="5421" builtinId="8" hidden="1"/>
    <cellStyle name="Hipervínculo" xfId="5313" builtinId="8" hidden="1"/>
    <cellStyle name="Hipervínculo" xfId="8431" builtinId="8" hidden="1"/>
    <cellStyle name="Hipervínculo" xfId="1637" builtinId="8" hidden="1"/>
    <cellStyle name="Hipervínculo" xfId="4749" builtinId="8" hidden="1"/>
    <cellStyle name="Hipervínculo" xfId="2323" builtinId="8" hidden="1"/>
    <cellStyle name="Hipervínculo" xfId="2265" builtinId="8" hidden="1"/>
    <cellStyle name="Hipervínculo" xfId="9561" builtinId="8" hidden="1"/>
    <cellStyle name="Hipervínculo" xfId="6421" builtinId="8" hidden="1"/>
    <cellStyle name="Hipervínculo" xfId="5619" builtinId="8" hidden="1"/>
    <cellStyle name="Hipervínculo" xfId="2477" builtinId="8" hidden="1"/>
    <cellStyle name="Hipervínculo" xfId="7933" builtinId="8" hidden="1"/>
    <cellStyle name="Hipervínculo" xfId="8529" builtinId="8" hidden="1"/>
    <cellStyle name="Hipervínculo" xfId="4807" builtinId="8" hidden="1"/>
    <cellStyle name="Hipervínculo" xfId="8371" builtinId="8" hidden="1"/>
    <cellStyle name="Hipervínculo" xfId="1051" builtinId="8" hidden="1"/>
    <cellStyle name="Hipervínculo" xfId="2279" builtinId="8" hidden="1"/>
    <cellStyle name="Hipervínculo" xfId="2483" builtinId="8" hidden="1"/>
    <cellStyle name="Hipervínculo" xfId="8001" builtinId="8" hidden="1"/>
    <cellStyle name="Hipervínculo" xfId="4843" builtinId="8" hidden="1"/>
    <cellStyle name="Hipervínculo" xfId="10225" builtinId="8" hidden="1"/>
    <cellStyle name="Hipervínculo" xfId="89" builtinId="8" hidden="1"/>
    <cellStyle name="Hipervínculo" xfId="963" builtinId="8" hidden="1"/>
    <cellStyle name="Hipervínculo" xfId="1531" builtinId="8" hidden="1"/>
    <cellStyle name="Hipervínculo" xfId="273" builtinId="8" hidden="1"/>
    <cellStyle name="Hipervínculo" xfId="8585" builtinId="8" hidden="1"/>
    <cellStyle name="Hipervínculo" xfId="1613" builtinId="8" hidden="1"/>
    <cellStyle name="Hipervínculo" xfId="7783" builtinId="8" hidden="1"/>
    <cellStyle name="Hipervínculo" xfId="9825" builtinId="8" hidden="1"/>
    <cellStyle name="Hipervínculo" xfId="1235" builtinId="8" hidden="1"/>
    <cellStyle name="Hipervínculo" xfId="5383" builtinId="8" hidden="1"/>
    <cellStyle name="Hipervínculo" xfId="10421" builtinId="8" hidden="1"/>
    <cellStyle name="Hipervínculo" xfId="8603" builtinId="8" hidden="1"/>
    <cellStyle name="Hipervínculo" xfId="2941" builtinId="8" hidden="1"/>
    <cellStyle name="Hipervínculo" xfId="10677" builtinId="8" hidden="1"/>
    <cellStyle name="Hipervínculo" xfId="4771" builtinId="8" hidden="1"/>
    <cellStyle name="Hipervínculo" xfId="2277" builtinId="8" hidden="1"/>
    <cellStyle name="Hipervínculo" xfId="11015" builtinId="8" hidden="1"/>
    <cellStyle name="Hipervínculo" xfId="6919" builtinId="8" hidden="1"/>
    <cellStyle name="Hipervínculo" xfId="481" builtinId="8" hidden="1"/>
    <cellStyle name="Hipervínculo" xfId="701" builtinId="8" hidden="1"/>
    <cellStyle name="Hipervínculo" xfId="2733" builtinId="8" hidden="1"/>
    <cellStyle name="Hipervínculo" xfId="5973" builtinId="8" hidden="1"/>
    <cellStyle name="Hipervínculo" xfId="9807" builtinId="8" hidden="1"/>
    <cellStyle name="Hipervínculo" xfId="5295" builtinId="8" hidden="1"/>
    <cellStyle name="Hipervínculo" xfId="3493" builtinId="8" hidden="1"/>
    <cellStyle name="Hipervínculo" xfId="595" builtinId="8" hidden="1"/>
    <cellStyle name="Hipervínculo" xfId="6185" builtinId="8" hidden="1"/>
    <cellStyle name="Hipervínculo" xfId="7339" builtinId="8" hidden="1"/>
    <cellStyle name="Hipervínculo" xfId="569" builtinId="8" hidden="1"/>
    <cellStyle name="Hipervínculo" xfId="2243" builtinId="8" hidden="1"/>
    <cellStyle name="Hipervínculo" xfId="6933" builtinId="8" hidden="1"/>
    <cellStyle name="Hipervínculo" xfId="5857" builtinId="8" hidden="1"/>
    <cellStyle name="Hipervínculo" xfId="7561" builtinId="8" hidden="1"/>
    <cellStyle name="Hipervínculo" xfId="9021" builtinId="8" hidden="1"/>
    <cellStyle name="Hipervínculo" xfId="10333" builtinId="8" hidden="1"/>
    <cellStyle name="Hipervínculo" xfId="2085" builtinId="8" hidden="1"/>
    <cellStyle name="Hipervínculo" xfId="281" builtinId="8" hidden="1"/>
    <cellStyle name="Hipervínculo" xfId="2029" builtinId="8" hidden="1"/>
    <cellStyle name="Hipervínculo" xfId="17" builtinId="8" hidden="1"/>
    <cellStyle name="Hipervínculo" xfId="2499" builtinId="8" hidden="1"/>
    <cellStyle name="Hipervínculo" xfId="5235" builtinId="8" hidden="1"/>
    <cellStyle name="Hipervínculo" xfId="3789" builtinId="8" hidden="1"/>
    <cellStyle name="Hipervínculo" xfId="9343" builtinId="8" hidden="1"/>
    <cellStyle name="Hipervínculo" xfId="1421" builtinId="8" hidden="1"/>
    <cellStyle name="Hipervínculo" xfId="6237" builtinId="8" hidden="1"/>
    <cellStyle name="Hipervínculo" xfId="2971" builtinId="8" hidden="1"/>
    <cellStyle name="Hipervínculo" xfId="8475" builtinId="8" hidden="1"/>
    <cellStyle name="Hipervínculo" xfId="1989" builtinId="8" hidden="1"/>
    <cellStyle name="Hipervínculo" xfId="9869" builtinId="8" hidden="1"/>
    <cellStyle name="Hipervínculo" xfId="8087" builtinId="8" hidden="1"/>
    <cellStyle name="Hipervínculo" xfId="5849" builtinId="8" hidden="1"/>
    <cellStyle name="Hipervínculo" xfId="1103" builtinId="8" hidden="1"/>
    <cellStyle name="Hipervínculo" xfId="1827" builtinId="8" hidden="1"/>
    <cellStyle name="Hipervínculo" xfId="4295" builtinId="8" hidden="1"/>
    <cellStyle name="Hipervínculo" xfId="7865" builtinId="8" hidden="1"/>
    <cellStyle name="Hipervínculo" xfId="7455" builtinId="8" hidden="1"/>
    <cellStyle name="Hipervínculo" xfId="6115" builtinId="8" hidden="1"/>
    <cellStyle name="Hipervínculo" xfId="1329" builtinId="8" hidden="1"/>
    <cellStyle name="Hipervínculo" xfId="10747" builtinId="8" hidden="1"/>
    <cellStyle name="Hipervínculo" xfId="2723" builtinId="8" hidden="1"/>
    <cellStyle name="Hipervínculo" xfId="6735" builtinId="8" hidden="1"/>
    <cellStyle name="Hipervínculo" xfId="3863" builtinId="8" hidden="1"/>
    <cellStyle name="Hipervínculo" xfId="7147" builtinId="8" hidden="1"/>
    <cellStyle name="Hipervínculo" xfId="11063" builtinId="8" hidden="1"/>
    <cellStyle name="Hipervínculo" xfId="7665" builtinId="8" hidden="1"/>
    <cellStyle name="Hipervínculo" xfId="2343" builtinId="8" hidden="1"/>
    <cellStyle name="Hipervínculo" xfId="3459" builtinId="8" hidden="1"/>
    <cellStyle name="Hipervínculo" xfId="10459" builtinId="8" hidden="1"/>
    <cellStyle name="Hipervínculo" xfId="971" builtinId="8" hidden="1"/>
    <cellStyle name="Hipervínculo" xfId="6199" builtinId="8" hidden="1"/>
    <cellStyle name="Hipervínculo" xfId="591" builtinId="8" hidden="1"/>
    <cellStyle name="Hipervínculo" xfId="10917" builtinId="8" hidden="1"/>
    <cellStyle name="Hipervínculo" xfId="9693" builtinId="8" hidden="1"/>
    <cellStyle name="Hipervínculo" xfId="223" builtinId="8" hidden="1"/>
    <cellStyle name="Hipervínculo" xfId="10301" builtinId="8" hidden="1"/>
    <cellStyle name="Hipervínculo" xfId="9173" builtinId="8" hidden="1"/>
    <cellStyle name="Hipervínculo" xfId="1083" builtinId="8" hidden="1"/>
    <cellStyle name="Hipervínculo" xfId="3185" builtinId="8" hidden="1"/>
    <cellStyle name="Hipervínculo" xfId="1023" builtinId="8" hidden="1"/>
    <cellStyle name="Hipervínculo" xfId="689" builtinId="8" hidden="1"/>
    <cellStyle name="Hipervínculo" xfId="9695" builtinId="8" hidden="1"/>
    <cellStyle name="Hipervínculo" xfId="9885" builtinId="8" hidden="1"/>
    <cellStyle name="Hipervínculo" xfId="2787" builtinId="8" hidden="1"/>
    <cellStyle name="Hipervínculo" xfId="6749" builtinId="8" hidden="1"/>
    <cellStyle name="Hipervínculo" xfId="3045" builtinId="8" hidden="1"/>
    <cellStyle name="Hipervínculo" xfId="5589" builtinId="8" hidden="1"/>
    <cellStyle name="Hipervínculo" xfId="8955" builtinId="8" hidden="1"/>
    <cellStyle name="Hipervínculo" xfId="1041" builtinId="8" hidden="1"/>
    <cellStyle name="Hipervínculo" xfId="4475" builtinId="8" hidden="1"/>
    <cellStyle name="Hipervínculo" xfId="3939" builtinId="8" hidden="1"/>
    <cellStyle name="Hipervínculo" xfId="4219" builtinId="8" hidden="1"/>
    <cellStyle name="Hipervínculo" xfId="8919" builtinId="8" hidden="1"/>
    <cellStyle name="Hipervínculo" xfId="623" builtinId="8" hidden="1"/>
    <cellStyle name="Hipervínculo" xfId="3281" builtinId="8" hidden="1"/>
    <cellStyle name="Hipervínculo" xfId="10869" builtinId="8" hidden="1"/>
    <cellStyle name="Hipervínculo" xfId="5709" builtinId="8" hidden="1"/>
    <cellStyle name="Hipervínculo" xfId="8375" builtinId="8" hidden="1"/>
    <cellStyle name="Hipervínculo" xfId="6023" builtinId="8" hidden="1"/>
    <cellStyle name="Hipervínculo" xfId="1851" builtinId="8" hidden="1"/>
    <cellStyle name="Hipervínculo" xfId="221" builtinId="8" hidden="1"/>
    <cellStyle name="Hipervínculo" xfId="2913" builtinId="8" hidden="1"/>
    <cellStyle name="Hipervínculo" xfId="2451" builtinId="8" hidden="1"/>
    <cellStyle name="Hipervínculo" xfId="1401" builtinId="8" hidden="1"/>
    <cellStyle name="Hipervínculo" xfId="10299" builtinId="8" hidden="1"/>
    <cellStyle name="Hipervínculo" xfId="3059" builtinId="8" hidden="1"/>
    <cellStyle name="Hipervínculo" xfId="10629" builtinId="8" hidden="1"/>
    <cellStyle name="Hipervínculo" xfId="1689" builtinId="8" hidden="1"/>
    <cellStyle name="Hipervínculo" xfId="10885" builtinId="8" hidden="1"/>
    <cellStyle name="Hipervínculo" xfId="1309" builtinId="8" hidden="1"/>
    <cellStyle name="Hipervínculo" xfId="9295" builtinId="8" hidden="1"/>
    <cellStyle name="Hipervínculo" xfId="6697" builtinId="8" hidden="1"/>
    <cellStyle name="Hipervínculo" xfId="5475" builtinId="8" hidden="1"/>
    <cellStyle name="Hipervínculo" xfId="8155" builtinId="8" hidden="1"/>
    <cellStyle name="Hipervínculo" xfId="7527" builtinId="8" hidden="1"/>
    <cellStyle name="Hipervínculo" xfId="5537" builtinId="8" hidden="1"/>
    <cellStyle name="Hipervínculo" xfId="2141" builtinId="8" hidden="1"/>
    <cellStyle name="Hipervínculo" xfId="10453" builtinId="8" hidden="1"/>
    <cellStyle name="Hipervínculo" xfId="3299" builtinId="8" hidden="1"/>
    <cellStyle name="Hipervínculo" xfId="1397" builtinId="8" hidden="1"/>
    <cellStyle name="Hipervínculo" xfId="7669" builtinId="8" hidden="1"/>
    <cellStyle name="Hipervínculo" xfId="1599" builtinId="8" hidden="1"/>
    <cellStyle name="Hipervínculo" xfId="10853" builtinId="8" hidden="1"/>
    <cellStyle name="Hipervínculo" xfId="6573" builtinId="8" hidden="1"/>
    <cellStyle name="Hipervínculo" xfId="9349" builtinId="8" hidden="1"/>
    <cellStyle name="Hipervínculo" xfId="9663" builtinId="8" hidden="1"/>
    <cellStyle name="Hipervínculo" xfId="7005" builtinId="8" hidden="1"/>
    <cellStyle name="Hipervínculo" xfId="10849" builtinId="8" hidden="1"/>
    <cellStyle name="Hipervínculo" xfId="4919" builtinId="8" hidden="1"/>
    <cellStyle name="Hipervínculo" xfId="7013" builtinId="8" hidden="1"/>
    <cellStyle name="Hipervínculo" xfId="1703" builtinId="8" hidden="1"/>
    <cellStyle name="Hipervínculo" xfId="3203" builtinId="8" hidden="1"/>
    <cellStyle name="Hipervínculo" xfId="9419" builtinId="8" hidden="1"/>
    <cellStyle name="Hipervínculo" xfId="8285" builtinId="8" hidden="1"/>
    <cellStyle name="Hipervínculo" xfId="5605" builtinId="8" hidden="1"/>
    <cellStyle name="Hipervínculo" xfId="8031" builtinId="8" hidden="1"/>
    <cellStyle name="Hipervínculo" xfId="1143" builtinId="8" hidden="1"/>
    <cellStyle name="Hipervínculo" xfId="3611" builtinId="8" hidden="1"/>
    <cellStyle name="Hipervínculo" xfId="8559" builtinId="8" hidden="1"/>
    <cellStyle name="Hipervínculo" xfId="6257" builtinId="8" hidden="1"/>
    <cellStyle name="Hipervínculo" xfId="4695" builtinId="8" hidden="1"/>
    <cellStyle name="Hipervínculo" xfId="4039" builtinId="8" hidden="1"/>
    <cellStyle name="Hipervínculo" xfId="9675" builtinId="8" hidden="1"/>
    <cellStyle name="Hipervínculo" xfId="1029" builtinId="8" hidden="1"/>
    <cellStyle name="Hipervínculo" xfId="1473" builtinId="8" hidden="1"/>
    <cellStyle name="Hipervínculo" xfId="1963" builtinId="8" hidden="1"/>
    <cellStyle name="Hipervínculo" xfId="4175" builtinId="8" hidden="1"/>
    <cellStyle name="Hipervínculo" xfId="4725" builtinId="8" hidden="1"/>
    <cellStyle name="Hipervínculo" xfId="619" builtinId="8" hidden="1"/>
    <cellStyle name="Hipervínculo" xfId="10397" builtinId="8" hidden="1"/>
    <cellStyle name="Hipervínculo" xfId="3797" builtinId="8" hidden="1"/>
    <cellStyle name="Hipervínculo" xfId="527" builtinId="8" hidden="1"/>
    <cellStyle name="Hipervínculo" xfId="6887" builtinId="8" hidden="1"/>
    <cellStyle name="Hipervínculo" xfId="1161" builtinId="8" hidden="1"/>
    <cellStyle name="Hipervínculo" xfId="8283" builtinId="8" hidden="1"/>
    <cellStyle name="Hipervínculo" xfId="9053" builtinId="8" hidden="1"/>
    <cellStyle name="Hipervínculo" xfId="3601" builtinId="8" hidden="1"/>
    <cellStyle name="Hipervínculo" xfId="4937" builtinId="8" hidden="1"/>
    <cellStyle name="Hipervínculo" xfId="1395" builtinId="8" hidden="1"/>
    <cellStyle name="Hipervínculo" xfId="11" builtinId="8" hidden="1"/>
    <cellStyle name="Hipervínculo" xfId="6859" builtinId="8" hidden="1"/>
    <cellStyle name="Hipervínculo" xfId="5941" builtinId="8" hidden="1"/>
    <cellStyle name="Hipervínculo" xfId="8535" builtinId="8" hidden="1"/>
    <cellStyle name="Hipervínculo" xfId="1507" builtinId="8" hidden="1"/>
    <cellStyle name="Hipervínculo" xfId="8341" builtinId="8" hidden="1"/>
    <cellStyle name="Hipervínculo" xfId="4773" builtinId="8" hidden="1"/>
    <cellStyle name="Hipervínculo" xfId="1027" builtinId="8" hidden="1"/>
    <cellStyle name="Hipervínculo" xfId="9213" builtinId="8" hidden="1"/>
    <cellStyle name="Hipervínculo" xfId="10671" builtinId="8" hidden="1"/>
    <cellStyle name="Hipervínculo" xfId="4125" builtinId="8" hidden="1"/>
    <cellStyle name="Hipervínculo" xfId="10131" builtinId="8" hidden="1"/>
    <cellStyle name="Hipervínculo" xfId="1243" builtinId="8" hidden="1"/>
    <cellStyle name="Hipervínculo" xfId="5629" builtinId="8" hidden="1"/>
    <cellStyle name="Hipervínculo" xfId="343" builtinId="8" hidden="1"/>
    <cellStyle name="Hipervínculo" xfId="7563" builtinId="8" hidden="1"/>
    <cellStyle name="Hipervínculo" xfId="5797" builtinId="8" hidden="1"/>
    <cellStyle name="Hipervínculo" xfId="1577" builtinId="8" hidden="1"/>
    <cellStyle name="Hipervínculo" xfId="2873" builtinId="8" hidden="1"/>
    <cellStyle name="Hipervínculo" xfId="6877" builtinId="8" hidden="1"/>
    <cellStyle name="Hipervínculo" xfId="6669" builtinId="8" hidden="1"/>
    <cellStyle name="Hipervínculo" xfId="8725" builtinId="8" hidden="1"/>
    <cellStyle name="Hipervínculo" xfId="1615" builtinId="8" hidden="1"/>
    <cellStyle name="Hipervínculo" xfId="9679" builtinId="8" hidden="1"/>
    <cellStyle name="Hipervínculo" xfId="9977" builtinId="8" hidden="1"/>
    <cellStyle name="Hipervínculo" xfId="4087" builtinId="8" hidden="1"/>
    <cellStyle name="Hipervínculo" xfId="1383" builtinId="8" hidden="1"/>
    <cellStyle name="Hipervínculo" xfId="6613" builtinId="8" hidden="1"/>
    <cellStyle name="Hipervínculo" xfId="5217" builtinId="8" hidden="1"/>
    <cellStyle name="Hipervínculo" xfId="3077" builtinId="8" hidden="1"/>
    <cellStyle name="Hipervínculo" xfId="5377" builtinId="8" hidden="1"/>
    <cellStyle name="Hipervínculo" xfId="5917" builtinId="8" hidden="1"/>
    <cellStyle name="Hipervínculo" xfId="5801" builtinId="8" hidden="1"/>
    <cellStyle name="Hipervínculo" xfId="7595" builtinId="8" hidden="1"/>
    <cellStyle name="Hipervínculo" xfId="6319" builtinId="8" hidden="1"/>
    <cellStyle name="Hipervínculo" xfId="5073" builtinId="8" hidden="1"/>
    <cellStyle name="Hipervínculo" xfId="5209" builtinId="8" hidden="1"/>
    <cellStyle name="Hipervínculo" xfId="6917" builtinId="8" hidden="1"/>
    <cellStyle name="Hipervínculo" xfId="5273" builtinId="8" hidden="1"/>
    <cellStyle name="Hipervínculo" xfId="3229" builtinId="8" hidden="1"/>
    <cellStyle name="Hipervínculo" xfId="3995" builtinId="8" hidden="1"/>
    <cellStyle name="Hipervínculo" xfId="7413" builtinId="8" hidden="1"/>
    <cellStyle name="Hipervínculo" xfId="9935" builtinId="8" hidden="1"/>
    <cellStyle name="Hipervínculo" xfId="3981" builtinId="8" hidden="1"/>
    <cellStyle name="Hipervínculo" xfId="9189" builtinId="8" hidden="1"/>
    <cellStyle name="Hipervínculo" xfId="8937" builtinId="8" hidden="1"/>
    <cellStyle name="Hipervínculo" xfId="9645" builtinId="8" hidden="1"/>
    <cellStyle name="Hipervínculo" xfId="737" builtinId="8" hidden="1"/>
    <cellStyle name="Hipervínculo" xfId="8463" builtinId="8" hidden="1"/>
    <cellStyle name="Hipervínculo" xfId="2895" builtinId="8" hidden="1"/>
    <cellStyle name="Hipervínculo" xfId="10445" builtinId="8" hidden="1"/>
    <cellStyle name="Hipervínculo" xfId="1131" builtinId="8" hidden="1"/>
    <cellStyle name="Hipervínculo" xfId="10955" builtinId="8" hidden="1"/>
    <cellStyle name="Hipervínculo" xfId="8249" builtinId="8" hidden="1"/>
    <cellStyle name="Hipervínculo" xfId="10243" builtinId="8" hidden="1"/>
    <cellStyle name="Hipervínculo" xfId="8017" builtinId="8" hidden="1"/>
    <cellStyle name="Hipervínculo" xfId="6575" builtinId="8" hidden="1"/>
    <cellStyle name="Hipervínculo" xfId="1979" builtinId="8" hidden="1"/>
    <cellStyle name="Hipervínculo" xfId="7649" builtinId="8" hidden="1"/>
    <cellStyle name="Hipervínculo" xfId="6481" builtinId="8" hidden="1"/>
    <cellStyle name="Hipervínculo" xfId="10543" builtinId="8" hidden="1"/>
    <cellStyle name="Hipervínculo" xfId="1765" builtinId="8" hidden="1"/>
    <cellStyle name="Hipervínculo" xfId="2687" builtinId="8" hidden="1"/>
    <cellStyle name="Hipervínculo" xfId="10815" builtinId="8" hidden="1"/>
    <cellStyle name="Hipervínculo" xfId="2805" builtinId="8" hidden="1"/>
    <cellStyle name="Hipervínculo" xfId="6719" builtinId="8" hidden="1"/>
    <cellStyle name="Hipervínculo" xfId="6429" builtinId="8" hidden="1"/>
    <cellStyle name="Hipervínculo" xfId="5523" builtinId="8" hidden="1"/>
    <cellStyle name="Hipervínculo" xfId="1625" builtinId="8" hidden="1"/>
    <cellStyle name="Hipervínculo" xfId="5467" builtinId="8" hidden="1"/>
    <cellStyle name="Hipervínculo" xfId="4305" builtinId="8" hidden="1"/>
    <cellStyle name="Hipervínculo" xfId="8687" builtinId="8" hidden="1"/>
    <cellStyle name="Hipervínculo" xfId="1567" builtinId="8" hidden="1"/>
    <cellStyle name="Hipervínculo" xfId="10895" builtinId="8" hidden="1"/>
    <cellStyle name="Hipervínculo" xfId="8605" builtinId="8" hidden="1"/>
    <cellStyle name="Hipervínculo" xfId="6109" builtinId="8" hidden="1"/>
    <cellStyle name="Hipervínculo" xfId="10579" builtinId="8" hidden="1"/>
    <cellStyle name="Hipervínculo" xfId="1541" builtinId="8" hidden="1"/>
    <cellStyle name="Hipervínculo" xfId="10023" builtinId="8" hidden="1"/>
    <cellStyle name="Hipervínculo" xfId="1471" builtinId="8" hidden="1"/>
    <cellStyle name="Hipervínculo" xfId="9151" builtinId="8" hidden="1"/>
    <cellStyle name="Hipervínculo" xfId="9493" builtinId="8" hidden="1"/>
    <cellStyle name="Hipervínculo" xfId="3617" builtinId="8" hidden="1"/>
    <cellStyle name="Hipervínculo" xfId="3139" builtinId="8" hidden="1"/>
    <cellStyle name="Hipervínculo" xfId="99" builtinId="8" hidden="1"/>
    <cellStyle name="Hipervínculo" xfId="3767" builtinId="8" hidden="1"/>
    <cellStyle name="Hipervínculo" xfId="4989" builtinId="8" hidden="1"/>
    <cellStyle name="Hipervínculo" xfId="2251" builtinId="8" hidden="1"/>
    <cellStyle name="Hipervínculo" xfId="8545" builtinId="8" hidden="1"/>
    <cellStyle name="Hipervínculo" xfId="1155" builtinId="8" hidden="1"/>
    <cellStyle name="Hipervínculo" xfId="8987" builtinId="8" hidden="1"/>
    <cellStyle name="Hipervínculo" xfId="9121" builtinId="8" hidden="1"/>
    <cellStyle name="Hipervínculo" xfId="4681" builtinId="8" hidden="1"/>
    <cellStyle name="Hipervínculo" xfId="4307" builtinId="8" hidden="1"/>
    <cellStyle name="Hipervínculo" xfId="3735" builtinId="8" hidden="1"/>
    <cellStyle name="Hipervínculo" xfId="3635" builtinId="8" hidden="1"/>
    <cellStyle name="Hipervínculo" xfId="5699" builtinId="8" hidden="1"/>
    <cellStyle name="Hipervínculo" xfId="3621" builtinId="8" hidden="1"/>
    <cellStyle name="Hipervínculo" xfId="5079" builtinId="8" hidden="1"/>
    <cellStyle name="Hipervínculo" xfId="1623" builtinId="8" hidden="1"/>
    <cellStyle name="Hipervínculo" xfId="2671" builtinId="8" hidden="1"/>
    <cellStyle name="Hipervínculo" xfId="3405" builtinId="8" hidden="1"/>
    <cellStyle name="Hipervínculo" xfId="9581" builtinId="8" hidden="1"/>
    <cellStyle name="Hipervínculo" xfId="6033" builtinId="8" hidden="1"/>
    <cellStyle name="Hipervínculo" xfId="2039" builtinId="8" hidden="1"/>
    <cellStyle name="Hipervínculo" xfId="1249" builtinId="8" hidden="1"/>
    <cellStyle name="Hipervínculo" xfId="10911" builtinId="8" hidden="1"/>
    <cellStyle name="Hipervínculo" xfId="7323" builtinId="8" hidden="1"/>
    <cellStyle name="Hipervínculo" xfId="1257" builtinId="8" hidden="1"/>
    <cellStyle name="Hipervínculo" xfId="4809" builtinId="8" hidden="1"/>
    <cellStyle name="Hipervínculo" xfId="8355" builtinId="8" hidden="1"/>
    <cellStyle name="Hipervínculo" xfId="8485" builtinId="8" hidden="1"/>
    <cellStyle name="Hipervínculo" xfId="1301" builtinId="8" hidden="1"/>
    <cellStyle name="Hipervínculo" xfId="3429" builtinId="8" hidden="1"/>
    <cellStyle name="Hipervínculo" xfId="10995" builtinId="8" hidden="1"/>
    <cellStyle name="Hipervínculo" xfId="8857" builtinId="8" hidden="1"/>
    <cellStyle name="Hipervínculo" xfId="9049" builtinId="8" hidden="1"/>
    <cellStyle name="Hipervínculo" xfId="6287" builtinId="8" hidden="1"/>
    <cellStyle name="Hipervínculo" xfId="321" builtinId="8" hidden="1"/>
    <cellStyle name="Hipervínculo" xfId="5299" builtinId="8" hidden="1"/>
    <cellStyle name="Hipervínculo" xfId="9923" builtinId="8" hidden="1"/>
    <cellStyle name="Hipervínculo" xfId="7449" builtinId="8" hidden="1"/>
    <cellStyle name="Hipervínculo" xfId="277" builtinId="8" hidden="1"/>
    <cellStyle name="Hipervínculo" xfId="4363" builtinId="8" hidden="1"/>
    <cellStyle name="Hipervínculo" xfId="863" builtinId="8" hidden="1"/>
    <cellStyle name="Hipervínculo" xfId="6113" builtinId="8" hidden="1"/>
    <cellStyle name="Hipervínculo" xfId="8265" builtinId="8" hidden="1"/>
    <cellStyle name="Hipervínculo" xfId="2675" builtinId="8" hidden="1"/>
    <cellStyle name="Hipervínculo" xfId="5677" builtinId="8" hidden="1"/>
    <cellStyle name="Hipervínculo" xfId="2897" builtinId="8" hidden="1"/>
    <cellStyle name="Hipervínculo" xfId="5525" builtinId="8" hidden="1"/>
    <cellStyle name="Hipervínculo" xfId="6053" builtinId="8" hidden="1"/>
    <cellStyle name="Hipervínculo" xfId="1901" builtinId="8" hidden="1"/>
    <cellStyle name="Hipervínculo" xfId="5763" builtinId="8" hidden="1"/>
    <cellStyle name="Hipervínculo" xfId="6559" builtinId="8" hidden="1"/>
    <cellStyle name="Hipervínculo" xfId="4973" builtinId="8" hidden="1"/>
    <cellStyle name="Hipervínculo" xfId="3731" builtinId="8" hidden="1"/>
    <cellStyle name="Hipervínculo" xfId="1853" builtinId="8" hidden="1"/>
    <cellStyle name="Hipervínculo" xfId="381" builtinId="8" hidden="1"/>
    <cellStyle name="Hipervínculo" xfId="6057" builtinId="8" hidden="1"/>
    <cellStyle name="Hipervínculo" xfId="8079" builtinId="8" hidden="1"/>
    <cellStyle name="Hipervínculo" xfId="6665" builtinId="8" hidden="1"/>
    <cellStyle name="Hipervínculo" xfId="3345" builtinId="8" hidden="1"/>
    <cellStyle name="Hipervínculo" xfId="2685" builtinId="8" hidden="1"/>
    <cellStyle name="Hipervínculo" xfId="8231" builtinId="8" hidden="1"/>
    <cellStyle name="Hipervínculo" xfId="611" builtinId="8" hidden="1"/>
    <cellStyle name="Hipervínculo" xfId="7255" builtinId="8" hidden="1"/>
    <cellStyle name="Hipervínculo" xfId="10647" builtinId="8" hidden="1"/>
    <cellStyle name="Hipervínculo" xfId="10423" builtinId="8" hidden="1"/>
    <cellStyle name="Hipervínculo visitado" xfId="9120" builtinId="9" hidden="1"/>
    <cellStyle name="Hipervínculo visitado" xfId="8292" builtinId="9" hidden="1"/>
    <cellStyle name="Hipervínculo visitado" xfId="4260" builtinId="9" hidden="1"/>
    <cellStyle name="Hipervínculo visitado" xfId="3298" builtinId="9" hidden="1"/>
    <cellStyle name="Hipervínculo visitado" xfId="8890" builtinId="9" hidden="1"/>
    <cellStyle name="Hipervínculo visitado" xfId="6990" builtinId="9" hidden="1"/>
    <cellStyle name="Hipervínculo visitado" xfId="8308" builtinId="9" hidden="1"/>
    <cellStyle name="Hipervínculo visitado" xfId="1828" builtinId="9" hidden="1"/>
    <cellStyle name="Hipervínculo visitado" xfId="5430" builtinId="9" hidden="1"/>
    <cellStyle name="Hipervínculo visitado" xfId="1112" builtinId="9" hidden="1"/>
    <cellStyle name="Hipervínculo visitado" xfId="9596" builtinId="9" hidden="1"/>
    <cellStyle name="Hipervínculo visitado" xfId="4518" builtinId="9" hidden="1"/>
    <cellStyle name="Hipervínculo visitado" xfId="550" builtinId="9" hidden="1"/>
    <cellStyle name="Hipervínculo visitado" xfId="8940" builtinId="9" hidden="1"/>
    <cellStyle name="Hipervínculo visitado" xfId="7808" builtinId="9" hidden="1"/>
    <cellStyle name="Hipervínculo visitado" xfId="4226" builtinId="9" hidden="1"/>
    <cellStyle name="Hipervínculo visitado" xfId="3590" builtinId="9" hidden="1"/>
    <cellStyle name="Hipervínculo visitado" xfId="9174" builtinId="9" hidden="1"/>
    <cellStyle name="Hipervínculo visitado" xfId="576" builtinId="9" hidden="1"/>
    <cellStyle name="Hipervínculo visitado" xfId="5630" builtinId="9" hidden="1"/>
    <cellStyle name="Hipervínculo visitado" xfId="8078" builtinId="9" hidden="1"/>
    <cellStyle name="Hipervínculo visitado" xfId="10312" builtinId="9" hidden="1"/>
    <cellStyle name="Hipervínculo visitado" xfId="5632" builtinId="9" hidden="1"/>
    <cellStyle name="Hipervínculo visitado" xfId="8210" builtinId="9" hidden="1"/>
    <cellStyle name="Hipervínculo visitado" xfId="10992" builtinId="9" hidden="1"/>
    <cellStyle name="Hipervínculo visitado" xfId="452" builtinId="9" hidden="1"/>
    <cellStyle name="Hipervínculo visitado" xfId="3464" builtinId="9" hidden="1"/>
    <cellStyle name="Hipervínculo visitado" xfId="5748" builtinId="9" hidden="1"/>
    <cellStyle name="Hipervínculo visitado" xfId="4884" builtinId="9" hidden="1"/>
    <cellStyle name="Hipervínculo visitado" xfId="10648" builtinId="9" hidden="1"/>
    <cellStyle name="Hipervínculo visitado" xfId="8232" builtinId="9" hidden="1"/>
    <cellStyle name="Hipervínculo visitado" xfId="2894" builtinId="9" hidden="1"/>
    <cellStyle name="Hipervínculo visitado" xfId="5268" builtinId="9" hidden="1"/>
    <cellStyle name="Hipervínculo visitado" xfId="9254" builtinId="9" hidden="1"/>
    <cellStyle name="Hipervínculo visitado" xfId="8152" builtinId="9" hidden="1"/>
    <cellStyle name="Hipervínculo visitado" xfId="5652" builtinId="9" hidden="1"/>
    <cellStyle name="Hipervínculo visitado" xfId="2118" builtinId="9" hidden="1"/>
    <cellStyle name="Hipervínculo visitado" xfId="8784" builtinId="9" hidden="1"/>
    <cellStyle name="Hipervínculo visitado" xfId="6840" builtinId="9" hidden="1"/>
    <cellStyle name="Hipervínculo visitado" xfId="10994" builtinId="9" hidden="1"/>
    <cellStyle name="Hipervínculo visitado" xfId="4980" builtinId="9" hidden="1"/>
    <cellStyle name="Hipervínculo visitado" xfId="3902" builtinId="9" hidden="1"/>
    <cellStyle name="Hipervínculo visitado" xfId="5972" builtinId="9" hidden="1"/>
    <cellStyle name="Hipervínculo visitado" xfId="5106" builtinId="9" hidden="1"/>
    <cellStyle name="Hipervínculo visitado" xfId="1288" builtinId="9" hidden="1"/>
    <cellStyle name="Hipervínculo visitado" xfId="10736" builtinId="9" hidden="1"/>
    <cellStyle name="Hipervínculo visitado" xfId="248" builtinId="9" hidden="1"/>
    <cellStyle name="Hipervínculo visitado" xfId="990" builtinId="9" hidden="1"/>
    <cellStyle name="Hipervínculo visitado" xfId="7786" builtinId="9" hidden="1"/>
    <cellStyle name="Hipervínculo visitado" xfId="894" builtinId="9" hidden="1"/>
    <cellStyle name="Hipervínculo visitado" xfId="5134" builtinId="9" hidden="1"/>
    <cellStyle name="Hipervínculo visitado" xfId="10338" builtinId="9" hidden="1"/>
    <cellStyle name="Hipervínculo visitado" xfId="7020" builtinId="9" hidden="1"/>
    <cellStyle name="Hipervínculo visitado" xfId="4184" builtinId="9" hidden="1"/>
    <cellStyle name="Hipervínculo visitado" xfId="5324" builtinId="9" hidden="1"/>
    <cellStyle name="Hipervínculo visitado" xfId="7946" builtinId="9" hidden="1"/>
    <cellStyle name="Hipervínculo visitado" xfId="9760" builtinId="9" hidden="1"/>
    <cellStyle name="Hipervínculo visitado" xfId="356" builtinId="9" hidden="1"/>
    <cellStyle name="Hipervínculo visitado" xfId="6772" builtinId="9" hidden="1"/>
    <cellStyle name="Hipervínculo visitado" xfId="2128" builtinId="9" hidden="1"/>
    <cellStyle name="Hipervínculo visitado" xfId="5142" builtinId="9" hidden="1"/>
    <cellStyle name="Hipervínculo visitado" xfId="8024" builtinId="9" hidden="1"/>
    <cellStyle name="Hipervínculo visitado" xfId="6268" builtinId="9" hidden="1"/>
    <cellStyle name="Hipervínculo visitado" xfId="138" builtinId="9" hidden="1"/>
    <cellStyle name="Hipervínculo visitado" xfId="6516" builtinId="9" hidden="1"/>
    <cellStyle name="Hipervínculo visitado" xfId="4548" builtinId="9" hidden="1"/>
    <cellStyle name="Hipervínculo visitado" xfId="1278" builtinId="9" hidden="1"/>
    <cellStyle name="Hipervínculo visitado" xfId="2070" builtinId="9" hidden="1"/>
    <cellStyle name="Hipervínculo visitado" xfId="6730" builtinId="9" hidden="1"/>
    <cellStyle name="Hipervínculo visitado" xfId="1424" builtinId="9" hidden="1"/>
    <cellStyle name="Hipervínculo visitado" xfId="6710" builtinId="9" hidden="1"/>
    <cellStyle name="Hipervínculo visitado" xfId="9430" builtinId="9" hidden="1"/>
    <cellStyle name="Hipervínculo visitado" xfId="7840" builtinId="9" hidden="1"/>
    <cellStyle name="Hipervínculo visitado" xfId="6936" builtinId="9" hidden="1"/>
    <cellStyle name="Hipervínculo visitado" xfId="10052" builtinId="9" hidden="1"/>
    <cellStyle name="Hipervínculo visitado" xfId="1894" builtinId="9" hidden="1"/>
    <cellStyle name="Hipervínculo visitado" xfId="862" builtinId="9" hidden="1"/>
    <cellStyle name="Hipervínculo visitado" xfId="7852" builtinId="9" hidden="1"/>
    <cellStyle name="Hipervínculo visitado" xfId="7486" builtinId="9" hidden="1"/>
    <cellStyle name="Hipervínculo visitado" xfId="3974" builtinId="9" hidden="1"/>
    <cellStyle name="Hipervínculo visitado" xfId="1116" builtinId="9" hidden="1"/>
    <cellStyle name="Hipervínculo visitado" xfId="3166" builtinId="9" hidden="1"/>
    <cellStyle name="Hipervínculo visitado" xfId="4422" builtinId="9" hidden="1"/>
    <cellStyle name="Hipervínculo visitado" xfId="4988" builtinId="9" hidden="1"/>
    <cellStyle name="Hipervínculo visitado" xfId="9422" builtinId="9" hidden="1"/>
    <cellStyle name="Hipervínculo visitado" xfId="54" builtinId="9" hidden="1"/>
    <cellStyle name="Hipervínculo visitado" xfId="5936" builtinId="9" hidden="1"/>
    <cellStyle name="Hipervínculo visitado" xfId="10244" builtinId="9" hidden="1"/>
    <cellStyle name="Hipervínculo visitado" xfId="9018" builtinId="9" hidden="1"/>
    <cellStyle name="Hipervínculo visitado" xfId="7016" builtinId="9" hidden="1"/>
    <cellStyle name="Hipervínculo visitado" xfId="1330" builtinId="9" hidden="1"/>
    <cellStyle name="Hipervínculo visitado" xfId="1944" builtinId="9" hidden="1"/>
    <cellStyle name="Hipervínculo visitado" xfId="4702" builtinId="9" hidden="1"/>
    <cellStyle name="Hipervínculo visitado" xfId="6918" builtinId="9" hidden="1"/>
    <cellStyle name="Hipervínculo visitado" xfId="2220" builtinId="9" hidden="1"/>
    <cellStyle name="Hipervínculo visitado" xfId="5460" builtinId="9" hidden="1"/>
    <cellStyle name="Hipervínculo visitado" xfId="9740" builtinId="9" hidden="1"/>
    <cellStyle name="Hipervínculo visitado" xfId="2652" builtinId="9" hidden="1"/>
    <cellStyle name="Hipervínculo visitado" xfId="9762" builtinId="9" hidden="1"/>
    <cellStyle name="Hipervínculo visitado" xfId="1050" builtinId="9" hidden="1"/>
    <cellStyle name="Hipervínculo visitado" xfId="6196" builtinId="9" hidden="1"/>
    <cellStyle name="Hipervínculo visitado" xfId="4700" builtinId="9" hidden="1"/>
    <cellStyle name="Hipervínculo visitado" xfId="2314" builtinId="9" hidden="1"/>
    <cellStyle name="Hipervínculo visitado" xfId="9814" builtinId="9" hidden="1"/>
    <cellStyle name="Hipervínculo visitado" xfId="8416" builtinId="9" hidden="1"/>
    <cellStyle name="Hipervínculo visitado" xfId="3440" builtinId="9" hidden="1"/>
    <cellStyle name="Hipervínculo visitado" xfId="3322" builtinId="9" hidden="1"/>
    <cellStyle name="Hipervínculo visitado" xfId="1518" builtinId="9" hidden="1"/>
    <cellStyle name="Hipervínculo visitado" xfId="718" builtinId="9" hidden="1"/>
    <cellStyle name="Hipervínculo visitado" xfId="8412" builtinId="9" hidden="1"/>
    <cellStyle name="Hipervínculo visitado" xfId="2386" builtinId="9" hidden="1"/>
    <cellStyle name="Hipervínculo visitado" xfId="3492" builtinId="9" hidden="1"/>
    <cellStyle name="Hipervínculo visitado" xfId="4944" builtinId="9" hidden="1"/>
    <cellStyle name="Hipervínculo visitado" xfId="8002" builtinId="9" hidden="1"/>
    <cellStyle name="Hipervínculo visitado" xfId="3736" builtinId="9" hidden="1"/>
    <cellStyle name="Hipervínculo visitado" xfId="9266" builtinId="9" hidden="1"/>
    <cellStyle name="Hipervínculo visitado" xfId="6280" builtinId="9" hidden="1"/>
    <cellStyle name="Hipervínculo visitado" xfId="7200" builtinId="9" hidden="1"/>
    <cellStyle name="Hipervínculo visitado" xfId="8432" builtinId="9" hidden="1"/>
    <cellStyle name="Hipervínculo visitado" xfId="10468" builtinId="9" hidden="1"/>
    <cellStyle name="Hipervínculo visitado" xfId="5628" builtinId="9" hidden="1"/>
    <cellStyle name="Hipervínculo visitado" xfId="8970" builtinId="9" hidden="1"/>
    <cellStyle name="Hipervínculo visitado" xfId="2632" builtinId="9" hidden="1"/>
    <cellStyle name="Hipervínculo visitado" xfId="8818" builtinId="9" hidden="1"/>
    <cellStyle name="Hipervínculo visitado" xfId="5980" builtinId="9" hidden="1"/>
    <cellStyle name="Hipervínculo visitado" xfId="5538" builtinId="9" hidden="1"/>
    <cellStyle name="Hipervínculo visitado" xfId="8562" builtinId="9" hidden="1"/>
    <cellStyle name="Hipervínculo visitado" xfId="4640" builtinId="9" hidden="1"/>
    <cellStyle name="Hipervínculo visitado" xfId="2132" builtinId="9" hidden="1"/>
    <cellStyle name="Hipervínculo visitado" xfId="5260" builtinId="9" hidden="1"/>
    <cellStyle name="Hipervínculo visitado" xfId="2798" builtinId="9" hidden="1"/>
    <cellStyle name="Hipervínculo visitado" xfId="3232" builtinId="9" hidden="1"/>
    <cellStyle name="Hipervínculo visitado" xfId="2956" builtinId="9" hidden="1"/>
    <cellStyle name="Hipervínculo visitado" xfId="7346" builtinId="9" hidden="1"/>
    <cellStyle name="Hipervínculo visitado" xfId="5678" builtinId="9" hidden="1"/>
    <cellStyle name="Hipervínculo visitado" xfId="3898" builtinId="9" hidden="1"/>
    <cellStyle name="Hipervínculo visitado" xfId="9058" builtinId="9" hidden="1"/>
    <cellStyle name="Hipervínculo visitado" xfId="556" builtinId="9" hidden="1"/>
    <cellStyle name="Hipervínculo visitado" xfId="358" builtinId="9" hidden="1"/>
    <cellStyle name="Hipervínculo visitado" xfId="522" builtinId="9" hidden="1"/>
    <cellStyle name="Hipervínculo visitado" xfId="8090" builtinId="9" hidden="1"/>
    <cellStyle name="Hipervínculo visitado" xfId="6972" builtinId="9" hidden="1"/>
    <cellStyle name="Hipervínculo visitado" xfId="6062" builtinId="9" hidden="1"/>
    <cellStyle name="Hipervínculo visitado" xfId="7550" builtinId="9" hidden="1"/>
    <cellStyle name="Hipervínculo visitado" xfId="11052" builtinId="9" hidden="1"/>
    <cellStyle name="Hipervínculo visitado" xfId="8864" builtinId="9" hidden="1"/>
    <cellStyle name="Hipervínculo visitado" xfId="1524" builtinId="9" hidden="1"/>
    <cellStyle name="Hipervínculo visitado" xfId="778" builtinId="9" hidden="1"/>
    <cellStyle name="Hipervínculo visitado" xfId="1936" builtinId="9" hidden="1"/>
    <cellStyle name="Hipervínculo visitado" xfId="10366" builtinId="9" hidden="1"/>
    <cellStyle name="Hipervínculo visitado" xfId="3364" builtinId="9" hidden="1"/>
    <cellStyle name="Hipervínculo visitado" xfId="598" builtinId="9" hidden="1"/>
    <cellStyle name="Hipervínculo visitado" xfId="6892" builtinId="9" hidden="1"/>
    <cellStyle name="Hipervínculo visitado" xfId="2496" builtinId="9" hidden="1"/>
    <cellStyle name="Hipervínculo visitado" xfId="3890" builtinId="9" hidden="1"/>
    <cellStyle name="Hipervínculo visitado" xfId="790" builtinId="9" hidden="1"/>
    <cellStyle name="Hipervínculo visitado" xfId="4304" builtinId="9" hidden="1"/>
    <cellStyle name="Hipervínculo visitado" xfId="5028" builtinId="9" hidden="1"/>
    <cellStyle name="Hipervínculo visitado" xfId="6720" builtinId="9" hidden="1"/>
    <cellStyle name="Hipervínculo visitado" xfId="7914" builtinId="9" hidden="1"/>
    <cellStyle name="Hipervínculo visitado" xfId="1972" builtinId="9" hidden="1"/>
    <cellStyle name="Hipervínculo visitado" xfId="3808" builtinId="9" hidden="1"/>
    <cellStyle name="Hipervínculo visitado" xfId="586" builtinId="9" hidden="1"/>
    <cellStyle name="Hipervínculo visitado" xfId="1418" builtinId="9" hidden="1"/>
    <cellStyle name="Hipervínculo visitado" xfId="600" builtinId="9" hidden="1"/>
    <cellStyle name="Hipervínculo visitado" xfId="9916" builtinId="9" hidden="1"/>
    <cellStyle name="Hipervínculo visitado" xfId="5706" builtinId="9" hidden="1"/>
    <cellStyle name="Hipervínculo visitado" xfId="10328" builtinId="9" hidden="1"/>
    <cellStyle name="Hipervínculo visitado" xfId="2254" builtinId="9" hidden="1"/>
    <cellStyle name="Hipervínculo visitado" xfId="7748" builtinId="9" hidden="1"/>
    <cellStyle name="Hipervínculo visitado" xfId="8968" builtinId="9" hidden="1"/>
    <cellStyle name="Hipervínculo visitado" xfId="5534" builtinId="9" hidden="1"/>
    <cellStyle name="Hipervínculo visitado" xfId="8130" builtinId="9" hidden="1"/>
    <cellStyle name="Hipervínculo visitado" xfId="7050" builtinId="9" hidden="1"/>
    <cellStyle name="Hipervínculo visitado" xfId="6468" builtinId="9" hidden="1"/>
    <cellStyle name="Hipervínculo visitado" xfId="6046" builtinId="9" hidden="1"/>
    <cellStyle name="Hipervínculo visitado" xfId="1200" builtinId="9" hidden="1"/>
    <cellStyle name="Hipervínculo visitado" xfId="558" builtinId="9" hidden="1"/>
    <cellStyle name="Hipervínculo visitado" xfId="2942" builtinId="9" hidden="1"/>
    <cellStyle name="Hipervínculo visitado" xfId="7546" builtinId="9" hidden="1"/>
    <cellStyle name="Hipervínculo visitado" xfId="10498" builtinId="9" hidden="1"/>
    <cellStyle name="Hipervínculo visitado" xfId="8600" builtinId="9" hidden="1"/>
    <cellStyle name="Hipervínculo visitado" xfId="9154" builtinId="9" hidden="1"/>
    <cellStyle name="Hipervínculo visitado" xfId="4710" builtinId="9" hidden="1"/>
    <cellStyle name="Hipervínculo visitado" xfId="8224" builtinId="9" hidden="1"/>
    <cellStyle name="Hipervínculo visitado" xfId="1358" builtinId="9" hidden="1"/>
    <cellStyle name="Hipervínculo visitado" xfId="7992" builtinId="9" hidden="1"/>
    <cellStyle name="Hipervínculo visitado" xfId="1172" builtinId="9" hidden="1"/>
    <cellStyle name="Hipervínculo visitado" xfId="2160" builtinId="9" hidden="1"/>
    <cellStyle name="Hipervínculo visitado" xfId="2350" builtinId="9" hidden="1"/>
    <cellStyle name="Hipervínculo visitado" xfId="3058" builtinId="9" hidden="1"/>
    <cellStyle name="Hipervínculo visitado" xfId="4462" builtinId="9" hidden="1"/>
    <cellStyle name="Hipervínculo visitado" xfId="4590" builtinId="9" hidden="1"/>
    <cellStyle name="Hipervínculo visitado" xfId="3100" builtinId="9" hidden="1"/>
    <cellStyle name="Hipervínculo visitado" xfId="9306" builtinId="9" hidden="1"/>
    <cellStyle name="Hipervínculo visitado" xfId="136" builtinId="9" hidden="1"/>
    <cellStyle name="Hipervínculo visitado" xfId="1426" builtinId="9" hidden="1"/>
    <cellStyle name="Hipervínculo visitado" xfId="820" builtinId="9" hidden="1"/>
    <cellStyle name="Hipervínculo visitado" xfId="8268" builtinId="9" hidden="1"/>
    <cellStyle name="Hipervínculo visitado" xfId="4632" builtinId="9" hidden="1"/>
    <cellStyle name="Hipervínculo visitado" xfId="4544" builtinId="9" hidden="1"/>
    <cellStyle name="Hipervínculo visitado" xfId="9946" builtinId="9" hidden="1"/>
    <cellStyle name="Hipervínculo visitado" xfId="2830" builtinId="9" hidden="1"/>
    <cellStyle name="Hipervínculo visitado" xfId="3628" builtinId="9" hidden="1"/>
    <cellStyle name="Hipervínculo visitado" xfId="2846" builtinId="9" hidden="1"/>
    <cellStyle name="Hipervínculo visitado" xfId="1752" builtinId="9" hidden="1"/>
    <cellStyle name="Hipervínculo visitado" xfId="2078" builtinId="9" hidden="1"/>
    <cellStyle name="Hipervínculo visitado" xfId="4064" builtinId="9" hidden="1"/>
    <cellStyle name="Hipervínculo visitado" xfId="5640" builtinId="9" hidden="1"/>
    <cellStyle name="Hipervínculo visitado" xfId="7866" builtinId="9" hidden="1"/>
    <cellStyle name="Hipervínculo visitado" xfId="10294" builtinId="9" hidden="1"/>
    <cellStyle name="Hipervínculo visitado" xfId="4024" builtinId="9" hidden="1"/>
    <cellStyle name="Hipervínculo visitado" xfId="1034" builtinId="9" hidden="1"/>
    <cellStyle name="Hipervínculo visitado" xfId="2762" builtinId="9" hidden="1"/>
    <cellStyle name="Hipervínculo visitado" xfId="10284" builtinId="9" hidden="1"/>
    <cellStyle name="Hipervínculo visitado" xfId="582" builtinId="9" hidden="1"/>
    <cellStyle name="Hipervínculo visitado" xfId="7734" builtinId="9" hidden="1"/>
    <cellStyle name="Hipervínculo visitado" xfId="160" builtinId="9" hidden="1"/>
    <cellStyle name="Hipervínculo visitado" xfId="9232" builtinId="9" hidden="1"/>
    <cellStyle name="Hipervínculo visitado" xfId="10770" builtinId="9" hidden="1"/>
    <cellStyle name="Hipervínculo visitado" xfId="2284" builtinId="9" hidden="1"/>
    <cellStyle name="Hipervínculo visitado" xfId="7238" builtinId="9" hidden="1"/>
    <cellStyle name="Hipervínculo visitado" xfId="11012" builtinId="9" hidden="1"/>
    <cellStyle name="Hipervínculo visitado" xfId="7160" builtinId="9" hidden="1"/>
    <cellStyle name="Hipervínculo visitado" xfId="6510" builtinId="9" hidden="1"/>
    <cellStyle name="Hipervínculo visitado" xfId="9588" builtinId="9" hidden="1"/>
    <cellStyle name="Hipervínculo visitado" xfId="8664" builtinId="9" hidden="1"/>
    <cellStyle name="Hipervínculo visitado" xfId="372" builtinId="9" hidden="1"/>
    <cellStyle name="Hipervínculo visitado" xfId="5784" builtinId="9" hidden="1"/>
    <cellStyle name="Hipervínculo visitado" xfId="5014" builtinId="9" hidden="1"/>
    <cellStyle name="Hipervínculo visitado" xfId="4660" builtinId="9" hidden="1"/>
    <cellStyle name="Hipervínculo visitado" xfId="1342" builtinId="9" hidden="1"/>
    <cellStyle name="Hipervínculo visitado" xfId="3672" builtinId="9" hidden="1"/>
    <cellStyle name="Hipervínculo visitado" xfId="3722" builtinId="9" hidden="1"/>
    <cellStyle name="Hipervínculo visitado" xfId="4738" builtinId="9" hidden="1"/>
    <cellStyle name="Hipervínculo visitado" xfId="5908" builtinId="9" hidden="1"/>
    <cellStyle name="Hipervínculo visitado" xfId="5432" builtinId="9" hidden="1"/>
    <cellStyle name="Hipervínculo visitado" xfId="7858" builtinId="9" hidden="1"/>
    <cellStyle name="Hipervínculo visitado" xfId="4340" builtinId="9" hidden="1"/>
    <cellStyle name="Hipervínculo visitado" xfId="7720" builtinId="9" hidden="1"/>
    <cellStyle name="Hipervínculo visitado" xfId="1526" builtinId="9" hidden="1"/>
    <cellStyle name="Hipervínculo visitado" xfId="4784" builtinId="9" hidden="1"/>
    <cellStyle name="Hipervínculo visitado" xfId="6458" builtinId="9" hidden="1"/>
    <cellStyle name="Hipervínculo visitado" xfId="622" builtinId="9" hidden="1"/>
    <cellStyle name="Hipervínculo visitado" xfId="226" builtinId="9" hidden="1"/>
    <cellStyle name="Hipervínculo visitado" xfId="616" builtinId="9" hidden="1"/>
    <cellStyle name="Hipervínculo visitado" xfId="11072" builtinId="9" hidden="1"/>
    <cellStyle name="Hipervínculo visitado" xfId="5738" builtinId="9" hidden="1"/>
    <cellStyle name="Hipervínculo visitado" xfId="10194" builtinId="9" hidden="1"/>
    <cellStyle name="Hipervínculo visitado" xfId="6688" builtinId="9" hidden="1"/>
    <cellStyle name="Hipervínculo visitado" xfId="5526" builtinId="9" hidden="1"/>
    <cellStyle name="Hipervínculo visitado" xfId="9384" builtinId="9" hidden="1"/>
    <cellStyle name="Hipervínculo visitado" xfId="3544" builtinId="9" hidden="1"/>
    <cellStyle name="Hipervínculo visitado" xfId="3650" builtinId="9" hidden="1"/>
    <cellStyle name="Hipervínculo visitado" xfId="10998" builtinId="9" hidden="1"/>
    <cellStyle name="Hipervínculo visitado" xfId="6940" builtinId="9" hidden="1"/>
    <cellStyle name="Hipervínculo visitado" xfId="9530" builtinId="9" hidden="1"/>
    <cellStyle name="Hipervínculo visitado" xfId="10136" builtinId="9" hidden="1"/>
    <cellStyle name="Hipervínculo visitado" xfId="1994" builtinId="9" hidden="1"/>
    <cellStyle name="Hipervínculo visitado" xfId="5280" builtinId="9" hidden="1"/>
    <cellStyle name="Hipervínculo visitado" xfId="7870" builtinId="9" hidden="1"/>
    <cellStyle name="Hipervínculo visitado" xfId="9518" builtinId="9" hidden="1"/>
    <cellStyle name="Hipervínculo visitado" xfId="10396" builtinId="9" hidden="1"/>
    <cellStyle name="Hipervínculo visitado" xfId="1212" builtinId="9" hidden="1"/>
    <cellStyle name="Hipervínculo visitado" xfId="996" builtinId="9" hidden="1"/>
    <cellStyle name="Hipervínculo visitado" xfId="6654" builtinId="9" hidden="1"/>
    <cellStyle name="Hipervínculo visitado" xfId="4728" builtinId="9" hidden="1"/>
    <cellStyle name="Hipervínculo visitado" xfId="2092" builtinId="9" hidden="1"/>
    <cellStyle name="Hipervínculo visitado" xfId="3402" builtinId="9" hidden="1"/>
    <cellStyle name="Hipervínculo visitado" xfId="46" builtinId="9" hidden="1"/>
    <cellStyle name="Hipervínculo visitado" xfId="848" builtinId="9" hidden="1"/>
    <cellStyle name="Hipervínculo visitado" xfId="9046" builtinId="9" hidden="1"/>
    <cellStyle name="Hipervínculo visitado" xfId="810" builtinId="9" hidden="1"/>
    <cellStyle name="Hipervínculo visitado" xfId="2394" builtinId="9" hidden="1"/>
    <cellStyle name="Hipervínculo visitado" xfId="9620" builtinId="9" hidden="1"/>
    <cellStyle name="Hipervínculo visitado" xfId="9066" builtinId="9" hidden="1"/>
    <cellStyle name="Hipervínculo visitado" xfId="9676" builtinId="9" hidden="1"/>
    <cellStyle name="Hipervínculo visitado" xfId="10846" builtinId="9" hidden="1"/>
    <cellStyle name="Hipervínculo visitado" xfId="6494" builtinId="9" hidden="1"/>
    <cellStyle name="Hipervínculo visitado" xfId="10724" builtinId="9" hidden="1"/>
    <cellStyle name="Hipervínculo visitado" xfId="1600" builtinId="9" hidden="1"/>
    <cellStyle name="Hipervínculo visitado" xfId="1476" builtinId="9" hidden="1"/>
    <cellStyle name="Hipervínculo visitado" xfId="8642" builtinId="9" hidden="1"/>
    <cellStyle name="Hipervínculo visitado" xfId="66" builtinId="9" hidden="1"/>
    <cellStyle name="Hipervínculo visitado" xfId="3234" builtinId="9" hidden="1"/>
    <cellStyle name="Hipervínculo visitado" xfId="10546" builtinId="9" hidden="1"/>
    <cellStyle name="Hipervínculo visitado" xfId="3804" builtinId="9" hidden="1"/>
    <cellStyle name="Hipervínculo visitado" xfId="9896" builtinId="9" hidden="1"/>
    <cellStyle name="Hipervínculo visitado" xfId="8716" builtinId="9" hidden="1"/>
    <cellStyle name="Hipervínculo visitado" xfId="8162" builtinId="9" hidden="1"/>
    <cellStyle name="Hipervínculo visitado" xfId="6492" builtinId="9" hidden="1"/>
    <cellStyle name="Hipervínculo visitado" xfId="8180" builtinId="9" hidden="1"/>
    <cellStyle name="Hipervínculo visitado" xfId="2570" builtinId="9" hidden="1"/>
    <cellStyle name="Hipervínculo visitado" xfId="294" builtinId="9" hidden="1"/>
    <cellStyle name="Hipervínculo visitado" xfId="6048" builtinId="9" hidden="1"/>
    <cellStyle name="Hipervínculo visitado" xfId="7076" builtinId="9" hidden="1"/>
    <cellStyle name="Hipervínculo visitado" xfId="6332" builtinId="9" hidden="1"/>
    <cellStyle name="Hipervínculo visitado" xfId="3760" builtinId="9" hidden="1"/>
    <cellStyle name="Hipervínculo visitado" xfId="7876" builtinId="9" hidden="1"/>
    <cellStyle name="Hipervínculo visitado" xfId="8980" builtinId="9" hidden="1"/>
    <cellStyle name="Hipervínculo visitado" xfId="7626" builtinId="9" hidden="1"/>
    <cellStyle name="Hipervínculo visitado" xfId="8920" builtinId="9" hidden="1"/>
    <cellStyle name="Hipervínculo visitado" xfId="9698" builtinId="9" hidden="1"/>
    <cellStyle name="Hipervínculo visitado" xfId="8140" builtinId="9" hidden="1"/>
    <cellStyle name="Hipervínculo visitado" xfId="2790" builtinId="9" hidden="1"/>
    <cellStyle name="Hipervínculo visitado" xfId="6648" builtinId="9" hidden="1"/>
    <cellStyle name="Hipervínculo visitado" xfId="10004" builtinId="9" hidden="1"/>
    <cellStyle name="Hipervínculo visitado" xfId="2456" builtinId="9" hidden="1"/>
    <cellStyle name="Hipervínculo visitado" xfId="5132" builtinId="9" hidden="1"/>
    <cellStyle name="Hipervínculo visitado" xfId="6596" builtinId="9" hidden="1"/>
    <cellStyle name="Hipervínculo visitado" xfId="10672" builtinId="9" hidden="1"/>
    <cellStyle name="Hipervínculo visitado" xfId="6068" builtinId="9" hidden="1"/>
    <cellStyle name="Hipervínculo visitado" xfId="5484" builtinId="9" hidden="1"/>
    <cellStyle name="Hipervínculo visitado" xfId="6660" builtinId="9" hidden="1"/>
    <cellStyle name="Hipervínculo visitado" xfId="6954" builtinId="9" hidden="1"/>
    <cellStyle name="Hipervínculo visitado" xfId="3700" builtinId="9" hidden="1"/>
    <cellStyle name="Hipervínculo visitado" xfId="7636" builtinId="9" hidden="1"/>
    <cellStyle name="Hipervínculo visitado" xfId="7276" builtinId="9" hidden="1"/>
    <cellStyle name="Hipervínculo visitado" xfId="1250" builtinId="9" hidden="1"/>
    <cellStyle name="Hipervínculo visitado" xfId="1690" builtinId="9" hidden="1"/>
    <cellStyle name="Hipervínculo visitado" xfId="1240" builtinId="9" hidden="1"/>
    <cellStyle name="Hipervínculo visitado" xfId="698" builtinId="9" hidden="1"/>
    <cellStyle name="Hipervínculo visitado" xfId="8672" builtinId="9" hidden="1"/>
    <cellStyle name="Hipervínculo visitado" xfId="4776" builtinId="9" hidden="1"/>
    <cellStyle name="Hipervínculo visitado" xfId="1036" builtinId="9" hidden="1"/>
    <cellStyle name="Hipervínculo visitado" xfId="10774" builtinId="9" hidden="1"/>
    <cellStyle name="Hipervínculo visitado" xfId="1314" builtinId="9" hidden="1"/>
    <cellStyle name="Hipervínculo visitado" xfId="5138" builtinId="9" hidden="1"/>
    <cellStyle name="Hipervínculo visitado" xfId="6980" builtinId="9" hidden="1"/>
    <cellStyle name="Hipervínculo visitado" xfId="8732" builtinId="9" hidden="1"/>
    <cellStyle name="Hipervínculo visitado" xfId="7874" builtinId="9" hidden="1"/>
    <cellStyle name="Hipervínculo visitado" xfId="6324" builtinId="9" hidden="1"/>
    <cellStyle name="Hipervínculo visitado" xfId="1808" builtinId="9" hidden="1"/>
    <cellStyle name="Hipervínculo visitado" xfId="9656" builtinId="9" hidden="1"/>
    <cellStyle name="Hipervínculo visitado" xfId="900" builtinId="9" hidden="1"/>
    <cellStyle name="Hipervínculo visitado" xfId="9122" builtinId="9" hidden="1"/>
    <cellStyle name="Hipervínculo visitado" xfId="9952" builtinId="9" hidden="1"/>
    <cellStyle name="Hipervínculo visitado" xfId="6534" builtinId="9" hidden="1"/>
    <cellStyle name="Hipervínculo visitado" xfId="10914" builtinId="9" hidden="1"/>
    <cellStyle name="Hipervínculo visitado" xfId="9498" builtinId="9" hidden="1"/>
    <cellStyle name="Hipervínculo visitado" xfId="10192" builtinId="9" hidden="1"/>
    <cellStyle name="Hipervínculo visitado" xfId="3458" builtinId="9" hidden="1"/>
    <cellStyle name="Hipervínculo visitado" xfId="3732" builtinId="9" hidden="1"/>
    <cellStyle name="Hipervínculo visitado" xfId="1336" builtinId="9" hidden="1"/>
    <cellStyle name="Hipervínculo visitado" xfId="822" builtinId="9" hidden="1"/>
    <cellStyle name="Hipervínculo visitado" xfId="10952" builtinId="9" hidden="1"/>
    <cellStyle name="Hipervínculo visitado" xfId="7440" builtinId="9" hidden="1"/>
    <cellStyle name="Hipervínculo visitado" xfId="4978" builtinId="9" hidden="1"/>
    <cellStyle name="Hipervínculo visitado" xfId="8572" builtinId="9" hidden="1"/>
    <cellStyle name="Hipervínculo visitado" xfId="8626" builtinId="9" hidden="1"/>
    <cellStyle name="Hipervínculo visitado" xfId="3646" builtinId="9" hidden="1"/>
    <cellStyle name="Hipervínculo visitado" xfId="8034" builtinId="9" hidden="1"/>
    <cellStyle name="Hipervínculo visitado" xfId="10484" builtinId="9" hidden="1"/>
    <cellStyle name="Hipervínculo visitado" xfId="1568" builtinId="9" hidden="1"/>
    <cellStyle name="Hipervínculo visitado" xfId="9594" builtinId="9" hidden="1"/>
    <cellStyle name="Hipervínculo visitado" xfId="4922" builtinId="9" hidden="1"/>
    <cellStyle name="Hipervínculo visitado" xfId="6960" builtinId="9" hidden="1"/>
    <cellStyle name="Hipervínculo visitado" xfId="7578" builtinId="9" hidden="1"/>
    <cellStyle name="Hipervínculo visitado" xfId="8948" builtinId="9" hidden="1"/>
    <cellStyle name="Hipervínculo visitado" xfId="746" builtinId="9" hidden="1"/>
    <cellStyle name="Hipervínculo visitado" xfId="2476" builtinId="9" hidden="1"/>
    <cellStyle name="Hipervínculo visitado" xfId="10340" builtinId="9" hidden="1"/>
    <cellStyle name="Hipervínculo visitado" xfId="3342" builtinId="9" hidden="1"/>
    <cellStyle name="Hipervínculo visitado" xfId="9630" builtinId="9" hidden="1"/>
    <cellStyle name="Hipervínculo visitado" xfId="6260" builtinId="9" hidden="1"/>
    <cellStyle name="Hipervínculo visitado" xfId="10800" builtinId="9" hidden="1"/>
    <cellStyle name="Hipervínculo visitado" xfId="2170" builtinId="9" hidden="1"/>
    <cellStyle name="Hipervínculo visitado" xfId="9928" builtinId="9" hidden="1"/>
    <cellStyle name="Hipervínculo visitado" xfId="1122" builtinId="9" hidden="1"/>
    <cellStyle name="Hipervínculo visitado" xfId="10622" builtinId="9" hidden="1"/>
    <cellStyle name="Hipervínculo visitado" xfId="6386" builtinId="9" hidden="1"/>
    <cellStyle name="Hipervínculo visitado" xfId="5592" builtinId="9" hidden="1"/>
    <cellStyle name="Hipervínculo visitado" xfId="6214" builtinId="9" hidden="1"/>
    <cellStyle name="Hipervínculo visitado" xfId="6028" builtinId="9" hidden="1"/>
    <cellStyle name="Hipervínculo visitado" xfId="10692" builtinId="9" hidden="1"/>
    <cellStyle name="Hipervínculo visitado" xfId="3940" builtinId="9" hidden="1"/>
    <cellStyle name="Hipervínculo visitado" xfId="3522" builtinId="9" hidden="1"/>
    <cellStyle name="Hipervínculo visitado" xfId="5410" builtinId="9" hidden="1"/>
    <cellStyle name="Hipervínculo visitado" xfId="2448" builtinId="9" hidden="1"/>
    <cellStyle name="Hipervínculo visitado" xfId="6096" builtinId="9" hidden="1"/>
    <cellStyle name="Hipervínculo visitado" xfId="4898" builtinId="9" hidden="1"/>
    <cellStyle name="Hipervínculo visitado" xfId="6422" builtinId="9" hidden="1"/>
    <cellStyle name="Hipervínculo visitado" xfId="9356" builtinId="9" hidden="1"/>
    <cellStyle name="Hipervínculo visitado" xfId="514" builtinId="9" hidden="1"/>
    <cellStyle name="Hipervínculo visitado" xfId="1462" builtinId="9" hidden="1"/>
    <cellStyle name="Hipervínculo visitado" xfId="272" builtinId="9" hidden="1"/>
    <cellStyle name="Hipervínculo visitado" xfId="8514" builtinId="9" hidden="1"/>
    <cellStyle name="Hipervínculo visitado" xfId="8958" builtinId="9" hidden="1"/>
    <cellStyle name="Hipervínculo visitado" xfId="10048" builtinId="9" hidden="1"/>
    <cellStyle name="Hipervínculo visitado" xfId="3914" builtinId="9" hidden="1"/>
    <cellStyle name="Hipervínculo visitado" xfId="5192" builtinId="9" hidden="1"/>
    <cellStyle name="Hipervínculo visitado" xfId="928" builtinId="9" hidden="1"/>
    <cellStyle name="Hipervínculo visitado" xfId="3738" builtinId="9" hidden="1"/>
    <cellStyle name="Hipervínculo visitado" xfId="1080" builtinId="9" hidden="1"/>
    <cellStyle name="Hipervínculo visitado" xfId="9322" builtinId="9" hidden="1"/>
    <cellStyle name="Hipervínculo visitado" xfId="6578" builtinId="9" hidden="1"/>
    <cellStyle name="Hipervínculo visitado" xfId="10768" builtinId="9" hidden="1"/>
    <cellStyle name="Hipervínculo visitado" xfId="2574" builtinId="9" hidden="1"/>
    <cellStyle name="Hipervínculo visitado" xfId="5140" builtinId="9" hidden="1"/>
    <cellStyle name="Hipervínculo visitado" xfId="10162" builtinId="9" hidden="1"/>
    <cellStyle name="Hipervínculo visitado" xfId="4066" builtinId="9" hidden="1"/>
    <cellStyle name="Hipervínculo visitado" xfId="9618" builtinId="9" hidden="1"/>
    <cellStyle name="Hipervínculo visitado" xfId="6438" builtinId="9" hidden="1"/>
    <cellStyle name="Hipervínculo visitado" xfId="9370" builtinId="9" hidden="1"/>
    <cellStyle name="Hipervínculo visitado" xfId="10734" builtinId="9" hidden="1"/>
    <cellStyle name="Hipervínculo visitado" xfId="1480" builtinId="9" hidden="1"/>
    <cellStyle name="Hipervínculo visitado" xfId="7330" builtinId="9" hidden="1"/>
    <cellStyle name="Hipervínculo visitado" xfId="680" builtinId="9" hidden="1"/>
    <cellStyle name="Hipervínculo visitado" xfId="8428" builtinId="9" hidden="1"/>
    <cellStyle name="Hipervínculo visitado" xfId="6226" builtinId="9" hidden="1"/>
    <cellStyle name="Hipervínculo visitado" xfId="7588" builtinId="9" hidden="1"/>
    <cellStyle name="Hipervínculo visitado" xfId="9650" builtinId="9" hidden="1"/>
    <cellStyle name="Hipervínculo visitado" xfId="6284" builtinId="9" hidden="1"/>
    <cellStyle name="Hipervínculo visitado" xfId="188" builtinId="9" hidden="1"/>
    <cellStyle name="Hipervínculo visitado" xfId="7338" builtinId="9" hidden="1"/>
    <cellStyle name="Hipervínculo visitado" xfId="10858" builtinId="9" hidden="1"/>
    <cellStyle name="Hipervínculo visitado" xfId="10252" builtinId="9" hidden="1"/>
    <cellStyle name="Hipervínculo visitado" xfId="2946" builtinId="9" hidden="1"/>
    <cellStyle name="Hipervínculo visitado" xfId="2878" builtinId="9" hidden="1"/>
    <cellStyle name="Hipervínculo visitado" xfId="9078" builtinId="9" hidden="1"/>
    <cellStyle name="Hipervínculo visitado" xfId="6004" builtinId="9" hidden="1"/>
    <cellStyle name="Hipervínculo visitado" xfId="10204" builtinId="9" hidden="1"/>
    <cellStyle name="Hipervínculo visitado" xfId="872" builtinId="9" hidden="1"/>
    <cellStyle name="Hipervínculo visitado" xfId="1176" builtinId="9" hidden="1"/>
    <cellStyle name="Hipervínculo visitado" xfId="6428" builtinId="9" hidden="1"/>
    <cellStyle name="Hipervínculo visitado" xfId="9824" builtinId="9" hidden="1"/>
    <cellStyle name="Hipervínculo visitado" xfId="6246" builtinId="9" hidden="1"/>
    <cellStyle name="Hipervínculo visitado" xfId="8008" builtinId="9" hidden="1"/>
    <cellStyle name="Hipervínculo visitado" xfId="7984" builtinId="9" hidden="1"/>
    <cellStyle name="Hipervínculo visitado" xfId="3850" builtinId="9" hidden="1"/>
    <cellStyle name="Hipervínculo visitado" xfId="1096" builtinId="9" hidden="1"/>
    <cellStyle name="Hipervínculo visitado" xfId="8522" builtinId="9" hidden="1"/>
    <cellStyle name="Hipervínculo visitado" xfId="9050" builtinId="9" hidden="1"/>
    <cellStyle name="Hipervínculo visitado" xfId="9062" builtinId="9" hidden="1"/>
    <cellStyle name="Hipervínculo visitado" xfId="1864" builtinId="9" hidden="1"/>
    <cellStyle name="Hipervínculo visitado" xfId="4324" builtinId="9" hidden="1"/>
    <cellStyle name="Hipervínculo visitado" xfId="2650" builtinId="9" hidden="1"/>
    <cellStyle name="Hipervínculo visitado" xfId="4748" builtinId="9" hidden="1"/>
    <cellStyle name="Hipervínculo visitado" xfId="8064" builtinId="9" hidden="1"/>
    <cellStyle name="Hipervínculo visitado" xfId="1654" builtinId="9" hidden="1"/>
    <cellStyle name="Hipervínculo visitado" xfId="2972" builtinId="9" hidden="1"/>
    <cellStyle name="Hipervínculo visitado" xfId="7924" builtinId="9" hidden="1"/>
    <cellStyle name="Hipervínculo visitado" xfId="9508" builtinId="9" hidden="1"/>
    <cellStyle name="Hipervínculo visitado" xfId="7822" builtinId="9" hidden="1"/>
    <cellStyle name="Hipervínculo visitado" xfId="6478" builtinId="9" hidden="1"/>
    <cellStyle name="Hipervínculo visitado" xfId="4558" builtinId="9" hidden="1"/>
    <cellStyle name="Hipervínculo visitado" xfId="9378" builtinId="9" hidden="1"/>
    <cellStyle name="Hipervínculo visitado" xfId="2858" builtinId="9" hidden="1"/>
    <cellStyle name="Hipervínculo visitado" xfId="3956" builtinId="9" hidden="1"/>
    <cellStyle name="Hipervínculo visitado" xfId="6300" builtinId="9" hidden="1"/>
    <cellStyle name="Hipervínculo visitado" xfId="10552" builtinId="9" hidden="1"/>
    <cellStyle name="Hipervínculo visitado" xfId="1640" builtinId="9" hidden="1"/>
    <cellStyle name="Hipervínculo visitado" xfId="10232" builtinId="9" hidden="1"/>
    <cellStyle name="Hipervínculo visitado" xfId="3214" builtinId="9" hidden="1"/>
    <cellStyle name="Hipervínculo visitado" xfId="9396" builtinId="9" hidden="1"/>
    <cellStyle name="Hipervínculo visitado" xfId="978" builtinId="9" hidden="1"/>
    <cellStyle name="Hipervínculo visitado" xfId="1778" builtinId="9" hidden="1"/>
    <cellStyle name="Hipervínculo visitado" xfId="9800" builtinId="9" hidden="1"/>
    <cellStyle name="Hipervínculo visitado" xfId="4214" builtinId="9" hidden="1"/>
    <cellStyle name="Hipervínculo visitado" xfId="9160" builtinId="9" hidden="1"/>
    <cellStyle name="Hipervínculo visitado" xfId="4056" builtinId="9" hidden="1"/>
    <cellStyle name="Hipervínculo visitado" xfId="5380" builtinId="9" hidden="1"/>
    <cellStyle name="Hipervínculo visitado" xfId="9112" builtinId="9" hidden="1"/>
    <cellStyle name="Hipervínculo visitado" xfId="1988" builtinId="9" hidden="1"/>
    <cellStyle name="Hipervínculo visitado" xfId="6376" builtinId="9" hidden="1"/>
    <cellStyle name="Hipervínculo visitado" xfId="5840" builtinId="9" hidden="1"/>
    <cellStyle name="Hipervínculo visitado" xfId="10610" builtinId="9" hidden="1"/>
    <cellStyle name="Hipervínculo visitado" xfId="2408" builtinId="9" hidden="1"/>
    <cellStyle name="Hipervínculo visitado" xfId="2960" builtinId="9" hidden="1"/>
    <cellStyle name="Hipervínculo visitado" xfId="8446" builtinId="9" hidden="1"/>
    <cellStyle name="Hipervínculo visitado" xfId="768" builtinId="9" hidden="1"/>
    <cellStyle name="Hipervínculo visitado" xfId="6234" builtinId="9" hidden="1"/>
    <cellStyle name="Hipervínculo visitado" xfId="4012" builtinId="9" hidden="1"/>
    <cellStyle name="Hipervínculo visitado" xfId="512" builtinId="9" hidden="1"/>
    <cellStyle name="Hipervínculo visitado" xfId="9308" builtinId="9" hidden="1"/>
    <cellStyle name="Hipervínculo visitado" xfId="8246" builtinId="9" hidden="1"/>
    <cellStyle name="Hipervínculo visitado" xfId="7590" builtinId="9" hidden="1"/>
    <cellStyle name="Hipervínculo visitado" xfId="9540" builtinId="9" hidden="1"/>
    <cellStyle name="Hipervínculo visitado" xfId="1228" builtinId="9" hidden="1"/>
    <cellStyle name="Hipervínculo visitado" xfId="9480" builtinId="9" hidden="1"/>
    <cellStyle name="Hipervínculo visitado" xfId="1076" builtinId="9" hidden="1"/>
    <cellStyle name="Hipervínculo visitado" xfId="1448" builtinId="9" hidden="1"/>
    <cellStyle name="Hipervínculo visitado" xfId="5806" builtinId="9" hidden="1"/>
    <cellStyle name="Hipervínculo visitado" xfId="2818" builtinId="9" hidden="1"/>
    <cellStyle name="Hipervínculo visitado" xfId="2522" builtinId="9" hidden="1"/>
    <cellStyle name="Hipervínculo visitado" xfId="12" builtinId="9" hidden="1"/>
    <cellStyle name="Hipervínculo visitado" xfId="6560" builtinId="9" hidden="1"/>
    <cellStyle name="Hipervínculo visitado" xfId="3224" builtinId="9" hidden="1"/>
    <cellStyle name="Hipervínculo visitado" xfId="3870" builtinId="9" hidden="1"/>
    <cellStyle name="Hipervínculo visitado" xfId="5882" builtinId="9" hidden="1"/>
    <cellStyle name="Hipervínculo visitado" xfId="8990" builtinId="9" hidden="1"/>
    <cellStyle name="Hipervínculo visitado" xfId="6040" builtinId="9" hidden="1"/>
    <cellStyle name="Hipervínculo visitado" xfId="10956" builtinId="9" hidden="1"/>
    <cellStyle name="Hipervínculo visitado" xfId="1186" builtinId="9" hidden="1"/>
    <cellStyle name="Hipervínculo visitado" xfId="8104" builtinId="9" hidden="1"/>
    <cellStyle name="Hipervínculo visitado" xfId="6042" builtinId="9" hidden="1"/>
    <cellStyle name="Hipervínculo visitado" xfId="4588" builtinId="9" hidden="1"/>
    <cellStyle name="Hipervínculo visitado" xfId="8964" builtinId="9" hidden="1"/>
    <cellStyle name="Hipervínculo visitado" xfId="3526" builtinId="9" hidden="1"/>
    <cellStyle name="Hipervínculo visitado" xfId="1622" builtinId="9" hidden="1"/>
    <cellStyle name="Hipervínculo visitado" xfId="8376" builtinId="9" hidden="1"/>
    <cellStyle name="Hipervínculo visitado" xfId="2024" builtinId="9" hidden="1"/>
    <cellStyle name="Hipervínculo visitado" xfId="2802" builtinId="9" hidden="1"/>
    <cellStyle name="Hipervínculo visitado" xfId="1792" builtinId="9" hidden="1"/>
    <cellStyle name="Hipervínculo visitado" xfId="1094" builtinId="9" hidden="1"/>
    <cellStyle name="Hipervínculo visitado" xfId="5930" builtinId="9" hidden="1"/>
    <cellStyle name="Hipervínculo visitado" xfId="10810" builtinId="9" hidden="1"/>
    <cellStyle name="Hipervínculo visitado" xfId="4604" builtinId="9" hidden="1"/>
    <cellStyle name="Hipervínculo visitado" xfId="7192" builtinId="9" hidden="1"/>
    <cellStyle name="Hipervínculo visitado" xfId="6880" builtinId="9" hidden="1"/>
    <cellStyle name="Hipervínculo visitado" xfId="2088" builtinId="9" hidden="1"/>
    <cellStyle name="Hipervínculo visitado" xfId="3490" builtinId="9" hidden="1"/>
    <cellStyle name="Hipervínculo visitado" xfId="4344" builtinId="9" hidden="1"/>
    <cellStyle name="Hipervínculo visitado" xfId="9718" builtinId="9" hidden="1"/>
    <cellStyle name="Hipervínculo visitado" xfId="9734" builtinId="9" hidden="1"/>
    <cellStyle name="Hipervínculo visitado" xfId="5894" builtinId="9" hidden="1"/>
    <cellStyle name="Hipervínculo visitado" xfId="2010" builtinId="9" hidden="1"/>
    <cellStyle name="Hipervínculo visitado" xfId="1066" builtinId="9" hidden="1"/>
    <cellStyle name="Hipervínculo visitado" xfId="10228" builtinId="9" hidden="1"/>
    <cellStyle name="Hipervínculo visitado" xfId="3462" builtinId="9" hidden="1"/>
    <cellStyle name="Hipervínculo visitado" xfId="7002" builtinId="9" hidden="1"/>
    <cellStyle name="Hipervínculo visitado" xfId="4188" builtinId="9" hidden="1"/>
    <cellStyle name="Hipervínculo visitado" xfId="2660" builtinId="9" hidden="1"/>
    <cellStyle name="Hipervínculo visitado" xfId="9584" builtinId="9" hidden="1"/>
    <cellStyle name="Hipervínculo visitado" xfId="6238" builtinId="9" hidden="1"/>
    <cellStyle name="Hipervínculo visitado" xfId="8696" builtinId="9" hidden="1"/>
    <cellStyle name="Hipervínculo visitado" xfId="10530" builtinId="9" hidden="1"/>
    <cellStyle name="Hipervínculo visitado" xfId="6706" builtinId="9" hidden="1"/>
    <cellStyle name="Hipervínculo visitado" xfId="5446" builtinId="9" hidden="1"/>
    <cellStyle name="Hipervínculo visitado" xfId="9674" builtinId="9" hidden="1"/>
    <cellStyle name="Hipervínculo visitado" xfId="4782" builtinId="9" hidden="1"/>
    <cellStyle name="Hipervínculo visitado" xfId="9128" builtinId="9" hidden="1"/>
    <cellStyle name="Hipervínculo visitado" xfId="6788" builtinId="9" hidden="1"/>
    <cellStyle name="Hipervínculo visitado" xfId="2966" builtinId="9" hidden="1"/>
    <cellStyle name="Hipervínculo visitado" xfId="7686" builtinId="9" hidden="1"/>
    <cellStyle name="Hipervínculo visitado" xfId="9534" builtinId="9" hidden="1"/>
    <cellStyle name="Hipervínculo visitado" xfId="9268" builtinId="9" hidden="1"/>
    <cellStyle name="Hipervínculo visitado" xfId="1924" builtinId="9" hidden="1"/>
    <cellStyle name="Hipervínculo visitado" xfId="6144" builtinId="9" hidden="1"/>
    <cellStyle name="Hipervínculo visitado" xfId="5214" builtinId="9" hidden="1"/>
    <cellStyle name="Hipervínculo visitado" xfId="3812" builtinId="9" hidden="1"/>
    <cellStyle name="Hipervínculo visitado" xfId="8652" builtinId="9" hidden="1"/>
    <cellStyle name="Hipervínculo visitado" xfId="10096" builtinId="9" hidden="1"/>
    <cellStyle name="Hipervínculo visitado" xfId="5314" builtinId="9" hidden="1"/>
    <cellStyle name="Hipervínculo visitado" xfId="1532" builtinId="9" hidden="1"/>
    <cellStyle name="Hipervínculo visitado" xfId="1338" builtinId="9" hidden="1"/>
    <cellStyle name="Hipervínculo visitado" xfId="4994" builtinId="9" hidden="1"/>
    <cellStyle name="Hipervínculo visitado" xfId="416" builtinId="9" hidden="1"/>
    <cellStyle name="Hipervínculo visitado" xfId="10478" builtinId="9" hidden="1"/>
    <cellStyle name="Hipervínculo visitado" xfId="9522" builtinId="9" hidden="1"/>
    <cellStyle name="Hipervínculo visitado" xfId="10032" builtinId="9" hidden="1"/>
    <cellStyle name="Hipervínculo visitado" xfId="830" builtinId="9" hidden="1"/>
    <cellStyle name="Hipervínculo visitado" xfId="4704" builtinId="9" hidden="1"/>
    <cellStyle name="Hipervínculo visitado" xfId="8478" builtinId="9" hidden="1"/>
    <cellStyle name="Hipervínculo visitado" xfId="6378" builtinId="9" hidden="1"/>
    <cellStyle name="Hipervínculo visitado" xfId="656" builtinId="9" hidden="1"/>
    <cellStyle name="Hipervínculo visitado" xfId="9616" builtinId="9" hidden="1"/>
    <cellStyle name="Hipervínculo visitado" xfId="9476" builtinId="9" hidden="1"/>
    <cellStyle name="Hipervínculo visitado" xfId="2054" builtinId="9" hidden="1"/>
    <cellStyle name="Hipervínculo visitado" xfId="8758" builtinId="9" hidden="1"/>
    <cellStyle name="Hipervínculo visitado" xfId="2064" builtinId="9" hidden="1"/>
    <cellStyle name="Hipervínculo visitado" xfId="8484" builtinId="9" hidden="1"/>
    <cellStyle name="Hipervínculo visitado" xfId="4616" builtinId="9" hidden="1"/>
    <cellStyle name="Hipervínculo visitado" xfId="9982" builtinId="9" hidden="1"/>
    <cellStyle name="Hipervínculo visitado" xfId="926" builtinId="9" hidden="1"/>
    <cellStyle name="Hipervínculo visitado" xfId="8922" builtinId="9" hidden="1"/>
    <cellStyle name="Hipervínculo visitado" xfId="8030" builtinId="9" hidden="1"/>
    <cellStyle name="Hipervínculo visitado" xfId="5264" builtinId="9" hidden="1"/>
    <cellStyle name="Hipervínculo visitado" xfId="8466" builtinId="9" hidden="1"/>
    <cellStyle name="Hipervínculo visitado" xfId="10534" builtinId="9" hidden="1"/>
    <cellStyle name="Hipervínculo visitado" xfId="4598" builtinId="9" hidden="1"/>
    <cellStyle name="Hipervínculo visitado" xfId="4162" builtinId="9" hidden="1"/>
    <cellStyle name="Hipervínculo visitado" xfId="9276" builtinId="9" hidden="1"/>
    <cellStyle name="Hipervínculo visitado" xfId="2560" builtinId="9" hidden="1"/>
    <cellStyle name="Hipervínculo visitado" xfId="1508" builtinId="9" hidden="1"/>
    <cellStyle name="Hipervínculo visitado" xfId="9614" builtinId="9" hidden="1"/>
    <cellStyle name="Hipervínculo visitado" xfId="10944" builtinId="9" hidden="1"/>
    <cellStyle name="Hipervínculo visitado" xfId="10424" builtinId="9" hidden="1"/>
    <cellStyle name="Hipervínculo visitado" xfId="6636" builtinId="9" hidden="1"/>
    <cellStyle name="Hipervínculo visitado" xfId="5828" builtinId="9" hidden="1"/>
    <cellStyle name="Hipervínculo visitado" xfId="8710" builtinId="9" hidden="1"/>
    <cellStyle name="Hipervínculo visitado" xfId="8410" builtinId="9" hidden="1"/>
    <cellStyle name="Hipervínculo visitado" xfId="7114" builtinId="9" hidden="1"/>
    <cellStyle name="Hipervínculo visitado" xfId="1954" builtinId="9" hidden="1"/>
    <cellStyle name="Hipervínculo visitado" xfId="9462" builtinId="9" hidden="1"/>
    <cellStyle name="Hipervínculo visitado" xfId="3094" builtinId="9" hidden="1"/>
    <cellStyle name="Hipervínculo visitado" xfId="6180" builtinId="9" hidden="1"/>
    <cellStyle name="Hipervínculo visitado" xfId="4930" builtinId="9" hidden="1"/>
    <cellStyle name="Hipervínculo visitado" xfId="6360" builtinId="9" hidden="1"/>
    <cellStyle name="Hipervínculo visitado" xfId="9556" builtinId="9" hidden="1"/>
    <cellStyle name="Hipervínculo visitado" xfId="2800" builtinId="9" hidden="1"/>
    <cellStyle name="Hipervínculo visitado" xfId="1378" builtinId="9" hidden="1"/>
    <cellStyle name="Hipervínculo visitado" xfId="5472" builtinId="9" hidden="1"/>
    <cellStyle name="Hipervínculo visitado" xfId="3964" builtinId="9" hidden="1"/>
    <cellStyle name="Hipervínculo visitado" xfId="208" builtinId="9" hidden="1"/>
    <cellStyle name="Hipervínculo visitado" xfId="8336" builtinId="9" hidden="1"/>
    <cellStyle name="Hipervínculo visitado" xfId="1872" builtinId="9" hidden="1"/>
    <cellStyle name="Hipervínculo visitado" xfId="3398" builtinId="9" hidden="1"/>
    <cellStyle name="Hipervínculo visitado" xfId="2864" builtinId="9" hidden="1"/>
    <cellStyle name="Hipervínculo visitado" xfId="7370" builtinId="9" hidden="1"/>
    <cellStyle name="Hipervínculo visitado" xfId="7278" builtinId="9" hidden="1"/>
    <cellStyle name="Hipervínculo visitado" xfId="7224" builtinId="9" hidden="1"/>
    <cellStyle name="Hipervínculo visitado" xfId="7742" builtinId="9" hidden="1"/>
    <cellStyle name="Hipervínculo visitado" xfId="7382" builtinId="9" hidden="1"/>
    <cellStyle name="Hipervínculo visitado" xfId="2136" builtinId="9" hidden="1"/>
    <cellStyle name="Hipervínculo visitado" xfId="5414" builtinId="9" hidden="1"/>
    <cellStyle name="Hipervínculo visitado" xfId="2748" builtinId="9" hidden="1"/>
    <cellStyle name="Hipervínculo visitado" xfId="7196" builtinId="9" hidden="1"/>
    <cellStyle name="Hipervínculo visitado" xfId="10132" builtinId="9" hidden="1"/>
    <cellStyle name="Hipervínculo visitado" xfId="9098" builtinId="9" hidden="1"/>
    <cellStyle name="Hipervínculo visitado" xfId="7650" builtinId="9" hidden="1"/>
    <cellStyle name="Hipervínculo visitado" xfId="4180" builtinId="9" hidden="1"/>
    <cellStyle name="Hipervínculo visitado" xfId="634" builtinId="9" hidden="1"/>
    <cellStyle name="Hipervínculo visitado" xfId="7194" builtinId="9" hidden="1"/>
    <cellStyle name="Hipervínculo visitado" xfId="4368" builtinId="9" hidden="1"/>
    <cellStyle name="Hipervínculo visitado" xfId="906" builtinId="9" hidden="1"/>
    <cellStyle name="Hipervínculo visitado" xfId="8760" builtinId="9" hidden="1"/>
    <cellStyle name="Hipervínculo visitado" xfId="6292" builtinId="9" hidden="1"/>
    <cellStyle name="Hipervínculo visitado" xfId="392" builtinId="9" hidden="1"/>
    <cellStyle name="Hipervínculo visitado" xfId="554" builtinId="9" hidden="1"/>
    <cellStyle name="Hipervínculo visitado" xfId="730" builtinId="9" hidden="1"/>
    <cellStyle name="Hipervínculo visitado" xfId="7322" builtinId="9" hidden="1"/>
    <cellStyle name="Hipervínculo visitado" xfId="8638" builtinId="9" hidden="1"/>
    <cellStyle name="Hipervínculo visitado" xfId="2640" builtinId="9" hidden="1"/>
    <cellStyle name="Hipervínculo visitado" xfId="9250" builtinId="9" hidden="1"/>
    <cellStyle name="Hipervínculo visitado" xfId="9364" builtinId="9" hidden="1"/>
    <cellStyle name="Hipervínculo visitado" xfId="10618" builtinId="9" hidden="1"/>
    <cellStyle name="Hipervínculo visitado" xfId="4398" builtinId="9" hidden="1"/>
    <cellStyle name="Hipervínculo visitado" xfId="6536" builtinId="9" hidden="1"/>
    <cellStyle name="Hipervínculo visitado" xfId="5700" builtinId="9" hidden="1"/>
    <cellStyle name="Hipervínculo visitado" xfId="4556" builtinId="9" hidden="1"/>
    <cellStyle name="Hipervínculo visitado" xfId="5178" builtinId="9" hidden="1"/>
    <cellStyle name="Hipervínculo visitado" xfId="3618" builtinId="9" hidden="1"/>
    <cellStyle name="Hipervínculo visitado" xfId="8764" builtinId="9" hidden="1"/>
    <cellStyle name="Hipervínculo visitado" xfId="3852" builtinId="9" hidden="1"/>
    <cellStyle name="Hipervínculo visitado" xfId="7758" builtinId="9" hidden="1"/>
    <cellStyle name="Hipervínculo visitado" xfId="2154" builtinId="9" hidden="1"/>
    <cellStyle name="Hipervínculo visitado" xfId="10812" builtinId="9" hidden="1"/>
    <cellStyle name="Hipervínculo visitado" xfId="1428" builtinId="9" hidden="1"/>
    <cellStyle name="Hipervínculo visitado" xfId="2556" builtinId="9" hidden="1"/>
    <cellStyle name="Hipervínculo visitado" xfId="1862" builtinId="9" hidden="1"/>
    <cellStyle name="Hipervínculo visitado" xfId="9738" builtinId="9" hidden="1"/>
    <cellStyle name="Hipervínculo visitado" xfId="6864" builtinId="9" hidden="1"/>
    <cellStyle name="Hipervínculo visitado" xfId="6558" builtinId="9" hidden="1"/>
    <cellStyle name="Hipervínculo visitado" xfId="1938" builtinId="9" hidden="1"/>
    <cellStyle name="Hipervínculo visitado" xfId="1662" builtinId="9" hidden="1"/>
    <cellStyle name="Hipervínculo visitado" xfId="4210" builtinId="9" hidden="1"/>
    <cellStyle name="Hipervínculo visitado" xfId="6080" builtinId="9" hidden="1"/>
    <cellStyle name="Hipervínculo visitado" xfId="5198" builtinId="9" hidden="1"/>
    <cellStyle name="Hipervínculo visitado" xfId="3880" builtinId="9" hidden="1"/>
    <cellStyle name="Hipervínculo visitado" xfId="1412" builtinId="9" hidden="1"/>
    <cellStyle name="Hipervínculo visitado" xfId="82" builtinId="9" hidden="1"/>
    <cellStyle name="Hipervínculo visitado" xfId="9730" builtinId="9" hidden="1"/>
    <cellStyle name="Hipervínculo visitado" xfId="8498" builtinId="9" hidden="1"/>
    <cellStyle name="Hipervínculo visitado" xfId="8878" builtinId="9" hidden="1"/>
    <cellStyle name="Hipervínculo visitado" xfId="22" builtinId="9" hidden="1"/>
    <cellStyle name="Hipervínculo visitado" xfId="3434" builtinId="9" hidden="1"/>
    <cellStyle name="Hipervínculo visitado" xfId="7416" builtinId="9" hidden="1"/>
    <cellStyle name="Hipervínculo visitado" xfId="4766" builtinId="9" hidden="1"/>
    <cellStyle name="Hipervínculo visitado" xfId="8296" builtinId="9" hidden="1"/>
    <cellStyle name="Hipervínculo visitado" xfId="1652" builtinId="9" hidden="1"/>
    <cellStyle name="Hipervínculo visitado" xfId="574" builtinId="9" hidden="1"/>
    <cellStyle name="Hipervínculo visitado" xfId="10406" builtinId="9" hidden="1"/>
    <cellStyle name="Hipervínculo visitado" xfId="2682" builtinId="9" hidden="1"/>
    <cellStyle name="Hipervínculo visitado" xfId="6266" builtinId="9" hidden="1"/>
    <cellStyle name="Hipervínculo visitado" xfId="1446" builtinId="9" hidden="1"/>
    <cellStyle name="Hipervínculo visitado" xfId="4754" builtinId="9" hidden="1"/>
    <cellStyle name="Hipervínculo visitado" xfId="4232" builtinId="9" hidden="1"/>
    <cellStyle name="Hipervínculo visitado" xfId="2620" builtinId="9" hidden="1"/>
    <cellStyle name="Hipervínculo visitado" xfId="3106" builtinId="9" hidden="1"/>
    <cellStyle name="Hipervínculo visitado" xfId="10792" builtinId="9" hidden="1"/>
    <cellStyle name="Hipervínculo visitado" xfId="7268" builtinId="9" hidden="1"/>
    <cellStyle name="Hipervínculo visitado" xfId="4880" builtinId="9" hidden="1"/>
    <cellStyle name="Hipervínculo visitado" xfId="9096" builtinId="9" hidden="1"/>
    <cellStyle name="Hipervínculo visitado" xfId="4298" builtinId="9" hidden="1"/>
    <cellStyle name="Hipervínculo visitado" xfId="1866" builtinId="9" hidden="1"/>
    <cellStyle name="Hipervínculo visitado" xfId="3912" builtinId="9" hidden="1"/>
    <cellStyle name="Hipervínculo visitado" xfId="4122" builtinId="9" hidden="1"/>
    <cellStyle name="Hipervínculo visitado" xfId="390" builtinId="9" hidden="1"/>
    <cellStyle name="Hipervínculo visitado" xfId="1728" builtinId="9" hidden="1"/>
    <cellStyle name="Hipervínculo visitado" xfId="7314" builtinId="9" hidden="1"/>
    <cellStyle name="Hipervínculo visitado" xfId="3530" builtinId="9" hidden="1"/>
    <cellStyle name="Hipervínculo visitado" xfId="8256" builtinId="9" hidden="1"/>
    <cellStyle name="Hipervínculo visitado" xfId="1148" builtinId="9" hidden="1"/>
    <cellStyle name="Hipervínculo visitado" xfId="1846" builtinId="9" hidden="1"/>
    <cellStyle name="Hipervínculo visitado" xfId="8384" builtinId="9" hidden="1"/>
    <cellStyle name="Hipervínculo visitado" xfId="8236" builtinId="9" hidden="1"/>
    <cellStyle name="Hipervínculo visitado" xfId="3404" builtinId="9" hidden="1"/>
    <cellStyle name="Hipervínculo visitado" xfId="3506" builtinId="9" hidden="1"/>
    <cellStyle name="Hipervínculo visitado" xfId="9394" builtinId="9" hidden="1"/>
    <cellStyle name="Hipervínculo visitado" xfId="9858" builtinId="9" hidden="1"/>
    <cellStyle name="Hipervínculo visitado" xfId="7340" builtinId="9" hidden="1"/>
    <cellStyle name="Hipervínculo visitado" xfId="6952" builtinId="9" hidden="1"/>
    <cellStyle name="Hipervínculo visitado" xfId="4482" builtinId="9" hidden="1"/>
    <cellStyle name="Hipervínculo visitado" xfId="3764" builtinId="9" hidden="1"/>
    <cellStyle name="Hipervínculo visitado" xfId="1020" builtinId="9" hidden="1"/>
    <cellStyle name="Hipervínculo visitado" xfId="10062" builtinId="9" hidden="1"/>
    <cellStyle name="Hipervínculo visitado" xfId="10146" builtinId="9" hidden="1"/>
    <cellStyle name="Hipervínculo visitado" xfId="10898" builtinId="9" hidden="1"/>
    <cellStyle name="Hipervínculo visitado" xfId="7800" builtinId="9" hidden="1"/>
    <cellStyle name="Hipervínculo visitado" xfId="7664" builtinId="9" hidden="1"/>
    <cellStyle name="Hipervínculo visitado" xfId="6910" builtinId="9" hidden="1"/>
    <cellStyle name="Hipervínculo visitado" xfId="2672" builtinId="9" hidden="1"/>
    <cellStyle name="Hipervínculo visitado" xfId="118" builtinId="9" hidden="1"/>
    <cellStyle name="Hipervínculo visitado" xfId="2688" builtinId="9" hidden="1"/>
    <cellStyle name="Hipervínculo visitado" xfId="1218" builtinId="9" hidden="1"/>
    <cellStyle name="Hipervínculo visitado" xfId="4686" builtinId="9" hidden="1"/>
    <cellStyle name="Hipervínculo visitado" xfId="7698" builtinId="9" hidden="1"/>
    <cellStyle name="Hipervínculo visitado" xfId="1856" builtinId="9" hidden="1"/>
    <cellStyle name="Hipervínculo visitado" xfId="4494" builtinId="9" hidden="1"/>
    <cellStyle name="Hipervínculo visitado" xfId="7690" builtinId="9" hidden="1"/>
    <cellStyle name="Hipervínculo visitado" xfId="766" builtinId="9" hidden="1"/>
    <cellStyle name="Hipervínculo visitado" xfId="4212" builtinId="9" hidden="1"/>
    <cellStyle name="Hipervínculo visitado" xfId="10076" builtinId="9" hidden="1"/>
    <cellStyle name="Hipervínculo visitado" xfId="6870" builtinId="9" hidden="1"/>
    <cellStyle name="Hipervínculo visitado" xfId="9056" builtinId="9" hidden="1"/>
    <cellStyle name="Hipervínculo visitado" xfId="3978" builtinId="9" hidden="1"/>
    <cellStyle name="Hipervínculo visitado" xfId="2452" builtinId="9" hidden="1"/>
    <cellStyle name="Hipervínculo visitado" xfId="8364" builtinId="9" hidden="1"/>
    <cellStyle name="Hipervínculo visitado" xfId="2872" builtinId="9" hidden="1"/>
    <cellStyle name="Hipervínculo visitado" xfId="1782" builtinId="9" hidden="1"/>
    <cellStyle name="Hipervínculo visitado" xfId="932" builtinId="9" hidden="1"/>
    <cellStyle name="Hipervínculo visitado" xfId="11024" builtinId="9" hidden="1"/>
    <cellStyle name="Hipervínculo visitado" xfId="6190" builtinId="9" hidden="1"/>
    <cellStyle name="Hipervínculo visitado" xfId="1560" builtinId="9" hidden="1"/>
    <cellStyle name="Hipervínculo visitado" xfId="4200" builtinId="9" hidden="1"/>
    <cellStyle name="Hipervínculo visitado" xfId="9958" builtinId="9" hidden="1"/>
    <cellStyle name="Hipervínculo visitado" xfId="8262" builtinId="9" hidden="1"/>
    <cellStyle name="Hipervínculo visitado" xfId="784" builtinId="9" hidden="1"/>
    <cellStyle name="Hipervínculo visitado" xfId="9146" builtinId="9" hidden="1"/>
    <cellStyle name="Hipervínculo visitado" xfId="10984" builtinId="9" hidden="1"/>
    <cellStyle name="Hipervínculo visitado" xfId="8930" builtinId="9" hidden="1"/>
    <cellStyle name="Hipervínculo visitado" xfId="9706" builtinId="9" hidden="1"/>
    <cellStyle name="Hipervínculo visitado" xfId="4220" builtinId="9" hidden="1"/>
    <cellStyle name="Hipervínculo visitado" xfId="1702" builtinId="9" hidden="1"/>
    <cellStyle name="Hipervínculo visitado" xfId="9136" builtinId="9" hidden="1"/>
    <cellStyle name="Hipervínculo visitado" xfId="9572" builtinId="9" hidden="1"/>
    <cellStyle name="Hipervínculo visitado" xfId="1996" builtinId="9" hidden="1"/>
    <cellStyle name="Hipervínculo visitado" xfId="5356" builtinId="9" hidden="1"/>
    <cellStyle name="Hipervínculo visitado" xfId="850" builtinId="9" hidden="1"/>
    <cellStyle name="Hipervínculo visitado" xfId="5562" builtinId="9" hidden="1"/>
    <cellStyle name="Hipervínculo visitado" xfId="2282" builtinId="9" hidden="1"/>
    <cellStyle name="Hipervínculo visitado" xfId="9488" builtinId="9" hidden="1"/>
    <cellStyle name="Hipervínculo visitado" xfId="2178" builtinId="9" hidden="1"/>
    <cellStyle name="Hipervínculo visitado" xfId="10200" builtinId="9" hidden="1"/>
    <cellStyle name="Hipervínculo visitado" xfId="1604" builtinId="9" hidden="1"/>
    <cellStyle name="Hipervínculo visitado" xfId="332" builtinId="9" hidden="1"/>
    <cellStyle name="Hipervínculo visitado" xfId="10298" builtinId="9" hidden="1"/>
    <cellStyle name="Hipervínculo visitado" xfId="2200" builtinId="9" hidden="1"/>
    <cellStyle name="Hipervínculo visitado" xfId="5172" builtinId="9" hidden="1"/>
    <cellStyle name="Hipervínculo visitado" xfId="8120" builtinId="9" hidden="1"/>
    <cellStyle name="Hipervínculo visitado" xfId="6968" builtinId="9" hidden="1"/>
    <cellStyle name="Hipervínculo visitado" xfId="3866" builtinId="9" hidden="1"/>
    <cellStyle name="Hipervínculo visitado" xfId="3856" builtinId="9" hidden="1"/>
    <cellStyle name="Hipervínculo visitado" xfId="7888" builtinId="9" hidden="1"/>
    <cellStyle name="Hipervínculo visitado" xfId="2506" builtinId="9" hidden="1"/>
    <cellStyle name="Hipervínculo visitado" xfId="11080" builtinId="9" hidden="1"/>
    <cellStyle name="Hipervínculo visitado" xfId="1344" builtinId="9" hidden="1"/>
    <cellStyle name="Hipervínculo visitado" xfId="6594" builtinId="9" hidden="1"/>
    <cellStyle name="Hipervínculo visitado" xfId="3030" builtinId="9" hidden="1"/>
    <cellStyle name="Hipervínculo visitado" xfId="10852" builtinId="9" hidden="1"/>
    <cellStyle name="Hipervínculo visitado" xfId="1854" builtinId="9" hidden="1"/>
    <cellStyle name="Hipervínculo visitado" xfId="478" builtinId="9" hidden="1"/>
    <cellStyle name="Hipervínculo visitado" xfId="8734" builtinId="9" hidden="1"/>
    <cellStyle name="Hipervínculo visitado" xfId="2040" builtinId="9" hidden="1"/>
    <cellStyle name="Hipervínculo visitado" xfId="3758" builtinId="9" hidden="1"/>
    <cellStyle name="Hipervínculo visitado" xfId="4562" builtinId="9" hidden="1"/>
    <cellStyle name="Hipervínculo visitado" xfId="9932" builtinId="9" hidden="1"/>
    <cellStyle name="Hipervínculo visitado" xfId="2944" builtinId="9" hidden="1"/>
    <cellStyle name="Hipervínculo visitado" xfId="6702" builtinId="9" hidden="1"/>
    <cellStyle name="Hipervínculo visitado" xfId="2982" builtinId="9" hidden="1"/>
    <cellStyle name="Hipervínculo visitado" xfId="2360" builtinId="9" hidden="1"/>
    <cellStyle name="Hipervínculo visitado" xfId="8578" builtinId="9" hidden="1"/>
    <cellStyle name="Hipervínculo visitado" xfId="10526" builtinId="9" hidden="1"/>
    <cellStyle name="Hipervínculo visitado" xfId="310" builtinId="9" hidden="1"/>
    <cellStyle name="Hipervínculo visitado" xfId="394" builtinId="9" hidden="1"/>
    <cellStyle name="Hipervínculo visitado" xfId="9608" builtinId="9" hidden="1"/>
    <cellStyle name="Hipervínculo visitado" xfId="612" builtinId="9" hidden="1"/>
    <cellStyle name="Hipervínculo visitado" xfId="10746" builtinId="9" hidden="1"/>
    <cellStyle name="Hipervínculo visitado" xfId="142" builtinId="9" hidden="1"/>
    <cellStyle name="Hipervínculo visitado" xfId="7582" builtinId="9" hidden="1"/>
    <cellStyle name="Hipervínculo visitado" xfId="7096" builtinId="9" hidden="1"/>
    <cellStyle name="Hipervínculo visitado" xfId="10572" builtinId="9" hidden="1"/>
    <cellStyle name="Hipervínculo visitado" xfId="7884" builtinId="9" hidden="1"/>
    <cellStyle name="Hipervínculo visitado" xfId="3814" builtinId="9" hidden="1"/>
    <cellStyle name="Hipervínculo visitado" xfId="5712" builtinId="9" hidden="1"/>
    <cellStyle name="Hipervínculo visitado" xfId="10386" builtinId="9" hidden="1"/>
    <cellStyle name="Hipervínculo visitado" xfId="8944" builtinId="9" hidden="1"/>
    <cellStyle name="Hipervínculo visitado" xfId="8082" builtinId="9" hidden="1"/>
    <cellStyle name="Hipervínculo visitado" xfId="5458" builtinId="9" hidden="1"/>
    <cellStyle name="Hipervínculo visitado" xfId="2168" builtinId="9" hidden="1"/>
    <cellStyle name="Hipervínculo visitado" xfId="1536" builtinId="9" hidden="1"/>
    <cellStyle name="Hipervínculo visitado" xfId="4570" builtinId="9" hidden="1"/>
    <cellStyle name="Hipervínculo visitado" xfId="1072" builtinId="9" hidden="1"/>
    <cellStyle name="Hipervínculo visitado" xfId="202" builtinId="9" hidden="1"/>
    <cellStyle name="Hipervínculo visitado" xfId="3498" builtinId="9" hidden="1"/>
    <cellStyle name="Hipervínculo visitado" xfId="4222" builtinId="9" hidden="1"/>
    <cellStyle name="Hipervínculo visitado" xfId="2624" builtinId="9" hidden="1"/>
    <cellStyle name="Hipervínculo visitado" xfId="7772" builtinId="9" hidden="1"/>
    <cellStyle name="Hipervínculo visitado" xfId="2520" builtinId="9" hidden="1"/>
    <cellStyle name="Hipervínculo visitado" xfId="5110" builtinId="9" hidden="1"/>
    <cellStyle name="Hipervínculo visitado" xfId="6248" builtinId="9" hidden="1"/>
    <cellStyle name="Hipervínculo visitado" xfId="2422" builtinId="9" hidden="1"/>
    <cellStyle name="Hipervínculo visitado" xfId="8896" builtinId="9" hidden="1"/>
    <cellStyle name="Hipervínculo visitado" xfId="7974" builtinId="9" hidden="1"/>
    <cellStyle name="Hipervínculo visitado" xfId="3296" builtinId="9" hidden="1"/>
    <cellStyle name="Hipervínculo visitado" xfId="6194" builtinId="9" hidden="1"/>
    <cellStyle name="Hipervínculo visitado" xfId="8926" builtinId="9" hidden="1"/>
    <cellStyle name="Hipervínculo visitado" xfId="3598" builtinId="9" hidden="1"/>
    <cellStyle name="Hipervínculo visitado" xfId="428" builtinId="9" hidden="1"/>
    <cellStyle name="Hipervínculo visitado" xfId="5662" builtinId="9" hidden="1"/>
    <cellStyle name="Hipervínculo visitado" xfId="8826" builtinId="9" hidden="1"/>
    <cellStyle name="Hipervínculo visitado" xfId="3966" builtinId="9" hidden="1"/>
    <cellStyle name="Hipervínculo visitado" xfId="9092" builtinId="9" hidden="1"/>
    <cellStyle name="Hipervínculo visitado" xfId="2578" builtinId="9" hidden="1"/>
    <cellStyle name="Hipervínculo visitado" xfId="2622" builtinId="9" hidden="1"/>
    <cellStyle name="Hipervínculo visitado" xfId="1898" builtinId="9" hidden="1"/>
    <cellStyle name="Hipervínculo visitado" xfId="7676" builtinId="9" hidden="1"/>
    <cellStyle name="Hipervínculo visitado" xfId="1788" builtinId="9" hidden="1"/>
    <cellStyle name="Hipervínculo visitado" xfId="7736" builtinId="9" hidden="1"/>
    <cellStyle name="Hipervínculo visitado" xfId="5032" builtinId="9" hidden="1"/>
    <cellStyle name="Hipervínculo visitado" xfId="1618" builtinId="9" hidden="1"/>
    <cellStyle name="Hipervínculo visitado" xfId="518" builtinId="9" hidden="1"/>
    <cellStyle name="Hipervínculo visitado" xfId="10152" builtinId="9" hidden="1"/>
    <cellStyle name="Hipervínculo visitado" xfId="1978" builtinId="9" hidden="1"/>
    <cellStyle name="Hipervínculo visitado" xfId="9138" builtinId="9" hidden="1"/>
    <cellStyle name="Hipervínculo visitado" xfId="7272" builtinId="9" hidden="1"/>
    <cellStyle name="Hipervínculo visitado" xfId="7296" builtinId="9" hidden="1"/>
    <cellStyle name="Hipervínculo visitado" xfId="5772" builtinId="9" hidden="1"/>
    <cellStyle name="Hipervínculo visitado" xfId="9930" builtinId="9" hidden="1"/>
    <cellStyle name="Hipervínculo visitado" xfId="8314" builtinId="9" hidden="1"/>
    <cellStyle name="Hipervínculo visitado" xfId="476" builtinId="9" hidden="1"/>
    <cellStyle name="Hipervínculo visitado" xfId="1104" builtinId="9" hidden="1"/>
    <cellStyle name="Hipervínculo visitado" xfId="3228" builtinId="9" hidden="1"/>
    <cellStyle name="Hipervínculo visitado" xfId="4208" builtinId="9" hidden="1"/>
    <cellStyle name="Hipervínculo visitado" xfId="4996" builtinId="9" hidden="1"/>
    <cellStyle name="Hipervínculo visitado" xfId="5760" builtinId="9" hidden="1"/>
    <cellStyle name="Hipervínculo visitado" xfId="3984" builtinId="9" hidden="1"/>
    <cellStyle name="Hipervínculo visitado" xfId="414" builtinId="9" hidden="1"/>
    <cellStyle name="Hipervínculo visitado" xfId="4048" builtinId="9" hidden="1"/>
    <cellStyle name="Hipervínculo visitado" xfId="10676" builtinId="9" hidden="1"/>
    <cellStyle name="Hipervínculo visitado" xfId="2860" builtinId="9" hidden="1"/>
    <cellStyle name="Hipervínculo visitado" xfId="8724" builtinId="9" hidden="1"/>
    <cellStyle name="Hipervínculo visitado" xfId="2566" builtinId="9" hidden="1"/>
    <cellStyle name="Hipervínculo visitado" xfId="274" builtinId="9" hidden="1"/>
    <cellStyle name="Hipervínculo visitado" xfId="10814" builtinId="9" hidden="1"/>
    <cellStyle name="Hipervínculo visitado" xfId="2906" builtinId="9" hidden="1"/>
    <cellStyle name="Hipervínculo visitado" xfId="9202" builtinId="9" hidden="1"/>
    <cellStyle name="Hipervínculo visitado" xfId="340" builtinId="9" hidden="1"/>
    <cellStyle name="Hipervínculo visitado" xfId="1306" builtinId="9" hidden="1"/>
    <cellStyle name="Hipervínculo visitado" xfId="3762" builtinId="9" hidden="1"/>
    <cellStyle name="Hipervínculo visitado" xfId="6114" builtinId="9" hidden="1"/>
    <cellStyle name="Hipervínculo visitado" xfId="10296" builtinId="9" hidden="1"/>
    <cellStyle name="Hipervínculo visitado" xfId="9876" builtinId="9" hidden="1"/>
    <cellStyle name="Hipervínculo visitado" xfId="4264" builtinId="9" hidden="1"/>
    <cellStyle name="Hipervínculo visitado" xfId="10580" builtinId="9" hidden="1"/>
    <cellStyle name="Hipervínculo visitado" xfId="11018" builtinId="9" hidden="1"/>
    <cellStyle name="Hipervínculo visitado" xfId="128" builtinId="9" hidden="1"/>
    <cellStyle name="Hipervínculo visitado" xfId="6800" builtinId="9" hidden="1"/>
    <cellStyle name="Hipervínculo visitado" xfId="8196" builtinId="9" hidden="1"/>
    <cellStyle name="Hipervínculo visitado" xfId="2488" builtinId="9" hidden="1"/>
    <cellStyle name="Hipervínculo visitado" xfId="180" builtinId="9" hidden="1"/>
    <cellStyle name="Hipervínculo visitado" xfId="6848" builtinId="9" hidden="1"/>
    <cellStyle name="Hipervínculo visitado" xfId="9658" builtinId="9" hidden="1"/>
    <cellStyle name="Hipervínculo visitado" xfId="1896" builtinId="9" hidden="1"/>
    <cellStyle name="Hipervínculo visitado" xfId="1006" builtinId="9" hidden="1"/>
    <cellStyle name="Hipervínculo visitado" xfId="3358" builtinId="9" hidden="1"/>
    <cellStyle name="Hipervínculo visitado" xfId="7244" builtinId="9" hidden="1"/>
    <cellStyle name="Hipervínculo visitado" xfId="9878" builtinId="9" hidden="1"/>
    <cellStyle name="Hipervínculo visitado" xfId="3706" builtinId="9" hidden="1"/>
    <cellStyle name="Hipervínculo visitado" xfId="6466" builtinId="9" hidden="1"/>
    <cellStyle name="Hipervínculo visitado" xfId="6338" builtinId="9" hidden="1"/>
    <cellStyle name="Hipervínculo visitado" xfId="1438" builtinId="9" hidden="1"/>
    <cellStyle name="Hipervínculo visitado" xfId="6622" builtinId="9" hidden="1"/>
    <cellStyle name="Hipervínculo visitado" xfId="4916" builtinId="9" hidden="1"/>
    <cellStyle name="Hipervínculo visitado" xfId="9376" builtinId="9" hidden="1"/>
    <cellStyle name="Hipervínculo visitado" xfId="2978" builtinId="9" hidden="1"/>
    <cellStyle name="Hipervínculo visitado" xfId="7756" builtinId="9" hidden="1"/>
    <cellStyle name="Hipervínculo visitado" xfId="1060" builtinId="9" hidden="1"/>
    <cellStyle name="Hipervínculo visitado" xfId="9192" builtinId="9" hidden="1"/>
    <cellStyle name="Hipervínculo visitado" xfId="5952" builtinId="9" hidden="1"/>
    <cellStyle name="Hipervínculo visitado" xfId="6444" builtinId="9" hidden="1"/>
    <cellStyle name="Hipervínculo visitado" xfId="2106" builtinId="9" hidden="1"/>
    <cellStyle name="Hipervínculo visitado" xfId="2600" builtinId="9" hidden="1"/>
    <cellStyle name="Hipervínculo visitado" xfId="11020" builtinId="9" hidden="1"/>
    <cellStyle name="Hipervínculo visitado" xfId="8806" builtinId="9" hidden="1"/>
    <cellStyle name="Hipervínculo visitado" xfId="3134" builtinId="9" hidden="1"/>
    <cellStyle name="Hipervínculo visitado" xfId="1960" builtinId="9" hidden="1"/>
    <cellStyle name="Hipervínculo visitado" xfId="1040" builtinId="9" hidden="1"/>
    <cellStyle name="Hipervínculo visitado" xfId="5910" builtinId="9" hidden="1"/>
    <cellStyle name="Hipervínculo visitado" xfId="1162" builtinId="9" hidden="1"/>
    <cellStyle name="Hipervínculo visitado" xfId="5470" builtinId="9" hidden="1"/>
    <cellStyle name="Hipervínculo visitado" xfId="4080" builtinId="9" hidden="1"/>
    <cellStyle name="Hipervínculo visitado" xfId="824" builtinId="9" hidden="1"/>
    <cellStyle name="Hipervínculo visitado" xfId="4464" builtinId="9" hidden="1"/>
    <cellStyle name="Hipervínculo visitado" xfId="6352" builtinId="9" hidden="1"/>
    <cellStyle name="Hipervínculo visitado" xfId="10550" builtinId="9" hidden="1"/>
    <cellStyle name="Hipervínculo visitado" xfId="1052" builtinId="9" hidden="1"/>
    <cellStyle name="Hipervínculo visitado" xfId="4196" builtinId="9" hidden="1"/>
    <cellStyle name="Hipervínculo visitado" xfId="6722" builtinId="9" hidden="1"/>
    <cellStyle name="Hipervínculo visitado" xfId="738" builtinId="9" hidden="1"/>
    <cellStyle name="Hipervínculo visitado" xfId="5158" builtinId="9" hidden="1"/>
    <cellStyle name="Hipervínculo visitado" xfId="10234" builtinId="9" hidden="1"/>
    <cellStyle name="Hipervínculo visitado" xfId="1346" builtinId="9" hidden="1"/>
    <cellStyle name="Hipervínculo visitado" xfId="5058" builtinId="9" hidden="1"/>
    <cellStyle name="Hipervínculo visitado" xfId="10864" builtinId="9" hidden="1"/>
    <cellStyle name="Hipervínculo visitado" xfId="3698" builtinId="9" hidden="1"/>
    <cellStyle name="Hipervínculo visitado" xfId="1528" builtinId="9" hidden="1"/>
    <cellStyle name="Hipervínculo visitado" xfId="16" builtinId="9" hidden="1"/>
    <cellStyle name="Hipervínculo visitado" xfId="6414" builtinId="9" hidden="1"/>
    <cellStyle name="Hipervínculo visitado" xfId="1636" builtinId="9" hidden="1"/>
    <cellStyle name="Hipervínculo visitado" xfId="8298" builtinId="9" hidden="1"/>
    <cellStyle name="Hipervínculo visitado" xfId="5934" builtinId="9" hidden="1"/>
    <cellStyle name="Hipervínculo visitado" xfId="10690" builtinId="9" hidden="1"/>
    <cellStyle name="Hipervínculo visitado" xfId="436" builtinId="9" hidden="1"/>
    <cellStyle name="Hipervínculo visitado" xfId="5604" builtinId="9" hidden="1"/>
    <cellStyle name="Hipervínculo visitado" xfId="7868" builtinId="9" hidden="1"/>
    <cellStyle name="Hipervínculo visitado" xfId="7788" builtinId="9" hidden="1"/>
    <cellStyle name="Hipervínculo visitado" xfId="2418" builtinId="9" hidden="1"/>
    <cellStyle name="Hipervínculo visitado" xfId="6310" builtinId="9" hidden="1"/>
    <cellStyle name="Hipervínculo visitado" xfId="7032" builtinId="9" hidden="1"/>
    <cellStyle name="Hipervínculo visitado" xfId="3326" builtinId="9" hidden="1"/>
    <cellStyle name="Hipervínculo visitado" xfId="8312" builtinId="9" hidden="1"/>
    <cellStyle name="Hipervínculo visitado" xfId="10986" builtinId="9" hidden="1"/>
    <cellStyle name="Hipervínculo visitado" xfId="11062" builtinId="9" hidden="1"/>
    <cellStyle name="Hipervínculo visitado" xfId="1680" builtinId="9" hidden="1"/>
    <cellStyle name="Hipervínculo visitado" xfId="1816" builtinId="9" hidden="1"/>
    <cellStyle name="Hipervínculo visitado" xfId="2296" builtinId="9" hidden="1"/>
    <cellStyle name="Hipervínculo visitado" xfId="5732" builtinId="9" hidden="1"/>
    <cellStyle name="Hipervínculo visitado" xfId="8278" builtinId="9" hidden="1"/>
    <cellStyle name="Hipervínculo visitado" xfId="3932" builtinId="9" hidden="1"/>
    <cellStyle name="Hipervínculo visitado" xfId="8702" builtinId="9" hidden="1"/>
    <cellStyle name="Hipervínculo visitado" xfId="968" builtinId="9" hidden="1"/>
    <cellStyle name="Hipervínculo visitado" xfId="7034" builtinId="9" hidden="1"/>
    <cellStyle name="Hipervínculo visitado" xfId="10912" builtinId="9" hidden="1"/>
    <cellStyle name="Hipervínculo visitado" xfId="10978" builtinId="9" hidden="1"/>
    <cellStyle name="Hipervínculo visitado" xfId="8708" builtinId="9" hidden="1"/>
    <cellStyle name="Hipervínculo visitado" xfId="8564" builtinId="9" hidden="1"/>
    <cellStyle name="Hipervínculo visitado" xfId="9670" builtinId="9" hidden="1"/>
    <cellStyle name="Hipervínculo visitado" xfId="306" builtinId="9" hidden="1"/>
    <cellStyle name="Hipervínculo visitado" xfId="8204" builtinId="9" hidden="1"/>
    <cellStyle name="Hipervínculo visitado" xfId="6842" builtinId="9" hidden="1"/>
    <cellStyle name="Hipervínculo visitado" xfId="7778" builtinId="9" hidden="1"/>
    <cellStyle name="Hipervínculo visitado" xfId="5818" builtinId="9" hidden="1"/>
    <cellStyle name="Hipervínculo visitado" xfId="3968" builtinId="9" hidden="1"/>
    <cellStyle name="Hipervínculo visitado" xfId="7136" builtinId="9" hidden="1"/>
    <cellStyle name="Hipervínculo visitado" xfId="8476" builtinId="9" hidden="1"/>
    <cellStyle name="Hipervínculo visitado" xfId="2886" builtinId="9" hidden="1"/>
    <cellStyle name="Hipervínculo visitado" xfId="10370" builtinId="9" hidden="1"/>
    <cellStyle name="Hipervínculo visitado" xfId="3186" builtinId="9" hidden="1"/>
    <cellStyle name="Hipervínculo visitado" xfId="2658" builtinId="9" hidden="1"/>
    <cellStyle name="Hipervínculo visitado" xfId="4204" builtinId="9" hidden="1"/>
    <cellStyle name="Hipervínculo visitado" xfId="4228" builtinId="9" hidden="1"/>
    <cellStyle name="Hipervínculo visitado" xfId="8756" builtinId="9" hidden="1"/>
    <cellStyle name="Hipervínculo visitado" xfId="9310" builtinId="9" hidden="1"/>
    <cellStyle name="Hipervínculo visitado" xfId="3308" builtinId="9" hidden="1"/>
    <cellStyle name="Hipervínculo visitado" xfId="36" builtinId="9" hidden="1"/>
    <cellStyle name="Hipervínculo visitado" xfId="238" builtinId="9" hidden="1"/>
    <cellStyle name="Hipervínculo visitado" xfId="5552" builtinId="9" hidden="1"/>
    <cellStyle name="Hipervínculo visitado" xfId="4956" builtinId="9" hidden="1"/>
    <cellStyle name="Hipervínculo visitado" xfId="4986" builtinId="9" hidden="1"/>
    <cellStyle name="Hipervínculo visitado" xfId="5648" builtinId="9" hidden="1"/>
    <cellStyle name="Hipervínculo visitado" xfId="1886" builtinId="9" hidden="1"/>
    <cellStyle name="Hipervínculo visitado" xfId="5976" builtinId="9" hidden="1"/>
    <cellStyle name="Hipervínculo visitado" xfId="2348" builtinId="9" hidden="1"/>
    <cellStyle name="Hipervínculo visitado" xfId="5464" builtinId="9" hidden="1"/>
    <cellStyle name="Hipervínculo visitado" xfId="4070" builtinId="9" hidden="1"/>
    <cellStyle name="Hipervínculo visitado" xfId="7242" builtinId="9" hidden="1"/>
    <cellStyle name="Hipervínculo visitado" xfId="7492" builtinId="9" hidden="1"/>
    <cellStyle name="Hipervínculo visitado" xfId="664" builtinId="9" hidden="1"/>
    <cellStyle name="Hipervínculo visitado" xfId="9102" builtinId="9" hidden="1"/>
    <cellStyle name="Hipervínculo visitado" xfId="10304" builtinId="9" hidden="1"/>
    <cellStyle name="Hipervínculo visitado" xfId="6926" builtinId="9" hidden="1"/>
    <cellStyle name="Hipervínculo visitado" xfId="4020" builtinId="9" hidden="1"/>
    <cellStyle name="Hipervínculo visitado" xfId="1394" builtinId="9" hidden="1"/>
    <cellStyle name="Hipervínculo visitado" xfId="8976" builtinId="9" hidden="1"/>
    <cellStyle name="Hipervínculo visitado" xfId="6484" builtinId="9" hidden="1"/>
    <cellStyle name="Hipervínculo visitado" xfId="9080" builtinId="9" hidden="1"/>
    <cellStyle name="Hipervínculo visitado" xfId="4312" builtinId="9" hidden="1"/>
    <cellStyle name="Hipervínculo visitado" xfId="3056" builtinId="9" hidden="1"/>
    <cellStyle name="Hipervínculo visitado" xfId="8998" builtinId="9" hidden="1"/>
    <cellStyle name="Hipervínculo visitado" xfId="8392" builtinId="9" hidden="1"/>
    <cellStyle name="Hipervínculo visitado" xfId="1674" builtinId="9" hidden="1"/>
    <cellStyle name="Hipervínculo visitado" xfId="4128" builtinId="9" hidden="1"/>
    <cellStyle name="Hipervínculo visitado" xfId="7132" builtinId="9" hidden="1"/>
    <cellStyle name="Hipervínculo visitado" xfId="3334" builtinId="9" hidden="1"/>
    <cellStyle name="Hipervínculo visitado" xfId="254" builtinId="9" hidden="1"/>
    <cellStyle name="Hipervínculo visitado" xfId="9290" builtinId="9" hidden="1"/>
    <cellStyle name="Hipervínculo visitado" xfId="8820" builtinId="9" hidden="1"/>
    <cellStyle name="Hipervínculo visitado" xfId="4234" builtinId="9" hidden="1"/>
    <cellStyle name="Hipervínculo visitado" xfId="1276" builtinId="9" hidden="1"/>
    <cellStyle name="Hipervínculo visitado" xfId="8882" builtinId="9" hidden="1"/>
    <cellStyle name="Hipervínculo visitado" xfId="6402" builtinId="9" hidden="1"/>
    <cellStyle name="Hipervínculo visitado" xfId="3352" builtinId="9" hidden="1"/>
    <cellStyle name="Hipervínculo visitado" xfId="6768" builtinId="9" hidden="1"/>
    <cellStyle name="Hipervínculo visitado" xfId="5270" builtinId="9" hidden="1"/>
    <cellStyle name="Hipervínculo visitado" xfId="10344" builtinId="9" hidden="1"/>
    <cellStyle name="Hipervínculo visitado" xfId="2396" builtinId="9" hidden="1"/>
    <cellStyle name="Hipervínculo visitado" xfId="10600" builtinId="9" hidden="1"/>
    <cellStyle name="Hipervínculo visitado" xfId="8524" builtinId="9" hidden="1"/>
    <cellStyle name="Hipervínculo visitado" xfId="5188" builtinId="9" hidden="1"/>
    <cellStyle name="Hipervínculo visitado" xfId="7494" builtinId="9" hidden="1"/>
    <cellStyle name="Hipervínculo visitado" xfId="6036" builtinId="9" hidden="1"/>
    <cellStyle name="Hipervínculo visitado" xfId="9494" builtinId="9" hidden="1"/>
    <cellStyle name="Hipervínculo visitado" xfId="9810" builtinId="9" hidden="1"/>
    <cellStyle name="Hipervínculo visitado" xfId="9140" builtinId="9" hidden="1"/>
    <cellStyle name="Hipervínculo visitado" xfId="1836" builtinId="9" hidden="1"/>
    <cellStyle name="Hipervínculo visitado" xfId="8690" builtinId="9" hidden="1"/>
    <cellStyle name="Hipervínculo visitado" xfId="4756" builtinId="9" hidden="1"/>
    <cellStyle name="Hipervínculo visitado" xfId="3778" builtinId="9" hidden="1"/>
    <cellStyle name="Hipervínculo visitado" xfId="4820" builtinId="9" hidden="1"/>
    <cellStyle name="Hipervínculo visitado" xfId="1714" builtinId="9" hidden="1"/>
    <cellStyle name="Hipervínculo visitado" xfId="8468" builtinId="9" hidden="1"/>
    <cellStyle name="Hipervínculo visitado" xfId="9298" builtinId="9" hidden="1"/>
    <cellStyle name="Hipervínculo visitado" xfId="8792" builtinId="9" hidden="1"/>
    <cellStyle name="Hipervínculo visitado" xfId="5800" builtinId="9" hidden="1"/>
    <cellStyle name="Hipervínculo visitado" xfId="9388" builtinId="9" hidden="1"/>
    <cellStyle name="Hipervínculo visitado" xfId="536" builtinId="9" hidden="1"/>
    <cellStyle name="Hipervínculo visitado" xfId="3436" builtinId="9" hidden="1"/>
    <cellStyle name="Hipervínculo visitado" xfId="2052" builtinId="9" hidden="1"/>
    <cellStyle name="Hipervínculo visitado" xfId="8568" builtinId="9" hidden="1"/>
    <cellStyle name="Hipervínculo visitado" xfId="6308" builtinId="9" hidden="1"/>
    <cellStyle name="Hipervínculo visitado" xfId="10644" builtinId="9" hidden="1"/>
    <cellStyle name="Hipervínculo visitado" xfId="5504" builtinId="9" hidden="1"/>
    <cellStyle name="Hipervínculo visitado" xfId="1914" builtinId="9" hidden="1"/>
    <cellStyle name="Hipervínculo visitado" xfId="4708" builtinId="9" hidden="1"/>
    <cellStyle name="Hipervínculo visitado" xfId="8728" builtinId="9" hidden="1"/>
    <cellStyle name="Hipervínculo visitado" xfId="3502" builtinId="9" hidden="1"/>
    <cellStyle name="Hipervínculo visitado" xfId="828" builtinId="9" hidden="1"/>
    <cellStyle name="Hipervínculo visitado" xfId="2980" builtinId="9" hidden="1"/>
    <cellStyle name="Hipervínculo visitado" xfId="3126" builtinId="9" hidden="1"/>
    <cellStyle name="Hipervínculo visitado" xfId="9326" builtinId="9" hidden="1"/>
    <cellStyle name="Hipervínculo visitado" xfId="1802" builtinId="9" hidden="1"/>
    <cellStyle name="Hipervínculo visitado" xfId="8408" builtinId="9" hidden="1"/>
    <cellStyle name="Hipervínculo visitado" xfId="8822" builtinId="9" hidden="1"/>
    <cellStyle name="Hipervínculo visitado" xfId="4300" builtinId="9" hidden="1"/>
    <cellStyle name="Hipervínculo visitado" xfId="9106" builtinId="9" hidden="1"/>
    <cellStyle name="Hipervínculo visitado" xfId="3840" builtinId="9" hidden="1"/>
    <cellStyle name="Hipervínculo visitado" xfId="2242" builtinId="9" hidden="1"/>
    <cellStyle name="Hipervínculo visitado" xfId="846" builtinId="9" hidden="1"/>
    <cellStyle name="Hipervínculo visitado" xfId="7548" builtinId="9" hidden="1"/>
    <cellStyle name="Hipervínculo visitado" xfId="3972" builtinId="9" hidden="1"/>
    <cellStyle name="Hipervínculo visitado" xfId="10764" builtinId="9" hidden="1"/>
    <cellStyle name="Hipervínculo visitado" xfId="10972" builtinId="9" hidden="1"/>
    <cellStyle name="Hipervínculo visitado" xfId="10694" builtinId="9" hidden="1"/>
    <cellStyle name="Hipervínculo visitado" xfId="1998" builtinId="9" hidden="1"/>
    <cellStyle name="Hipervínculo visitado" xfId="6756" builtinId="9" hidden="1"/>
    <cellStyle name="Hipervínculo visitado" xfId="1544" builtinId="9" hidden="1"/>
    <cellStyle name="Hipervínculo visitado" xfId="1818" builtinId="9" hidden="1"/>
    <cellStyle name="Hipervínculo visitado" xfId="4536" builtinId="9" hidden="1"/>
    <cellStyle name="Hipervínculo visitado" xfId="5948" builtinId="9" hidden="1"/>
    <cellStyle name="Hipervínculo visitado" xfId="6616" builtinId="9" hidden="1"/>
    <cellStyle name="Hipervínculo visitado" xfId="4532" builtinId="9" hidden="1"/>
    <cellStyle name="Hipervínculo visitado" xfId="5018" builtinId="9" hidden="1"/>
    <cellStyle name="Hipervínculo visitado" xfId="7854" builtinId="9" hidden="1"/>
    <cellStyle name="Hipervínculo visitado" xfId="7044" builtinId="9" hidden="1"/>
    <cellStyle name="Hipervínculo visitado" xfId="5990" builtinId="9" hidden="1"/>
    <cellStyle name="Hipervínculo visitado" xfId="3600" builtinId="9" hidden="1"/>
    <cellStyle name="Hipervínculo visitado" xfId="11010" builtinId="9" hidden="1"/>
    <cellStyle name="Hipervínculo visitado" xfId="3952" builtinId="9" hidden="1"/>
    <cellStyle name="Hipervínculo visitado" xfId="98" builtinId="9" hidden="1"/>
    <cellStyle name="Hipervínculo visitado" xfId="9380" builtinId="9" hidden="1"/>
    <cellStyle name="Hipervínculo visitado" xfId="6052" builtinId="9" hidden="1"/>
    <cellStyle name="Hipervínculo visitado" xfId="6410" builtinId="9" hidden="1"/>
    <cellStyle name="Hipervínculo visitado" xfId="2760" builtinId="9" hidden="1"/>
    <cellStyle name="Hipervínculo visitado" xfId="6692" builtinId="9" hidden="1"/>
    <cellStyle name="Hipervínculo visitado" xfId="5220" builtinId="9" hidden="1"/>
    <cellStyle name="Hipervínculo visitado" xfId="286" builtinId="9" hidden="1"/>
    <cellStyle name="Hipervínculo visitado" xfId="9482" builtinId="9" hidden="1"/>
    <cellStyle name="Hipervínculo visitado" xfId="9416" builtinId="9" hidden="1"/>
    <cellStyle name="Hipervínculo visitado" xfId="10604" builtinId="9" hidden="1"/>
    <cellStyle name="Hipervínculo visitado" xfId="288" builtinId="9" hidden="1"/>
    <cellStyle name="Hipervínculo visitado" xfId="9668" builtinId="9" hidden="1"/>
    <cellStyle name="Hipervínculo visitado" xfId="432" builtinId="9" hidden="1"/>
    <cellStyle name="Hipervínculo visitado" xfId="3634" builtinId="9" hidden="1"/>
    <cellStyle name="Hipervínculo visitado" xfId="3848" builtinId="9" hidden="1"/>
    <cellStyle name="Hipervínculo visitado" xfId="7458" builtinId="9" hidden="1"/>
    <cellStyle name="Hipervínculo visitado" xfId="4190" builtinId="9" hidden="1"/>
    <cellStyle name="Hipervínculo visitado" xfId="1584" builtinId="9" hidden="1"/>
    <cellStyle name="Hipervínculo visitado" xfId="8906" builtinId="9" hidden="1"/>
    <cellStyle name="Hipervínculo visitado" xfId="10936" builtinId="9" hidden="1"/>
    <cellStyle name="Hipervínculo visitado" xfId="11084" builtinId="9" hidden="1"/>
    <cellStyle name="Hipervínculo visitado" xfId="8830" builtinId="9" hidden="1"/>
    <cellStyle name="Hipervínculo visitado" xfId="5704" builtinId="9" hidden="1"/>
    <cellStyle name="Hipervínculo visitado" xfId="3418" builtinId="9" hidden="1"/>
    <cellStyle name="Hipervínculo visitado" xfId="5796" builtinId="9" hidden="1"/>
    <cellStyle name="Hipervínculo visitado" xfId="2544" builtinId="9" hidden="1"/>
    <cellStyle name="Hipervínculo visitado" xfId="10318" builtinId="9" hidden="1"/>
    <cellStyle name="Hipervínculo visitado" xfId="3724" builtinId="9" hidden="1"/>
    <cellStyle name="Hipervínculo visitado" xfId="8712" builtinId="9" hidden="1"/>
    <cellStyle name="Hipervínculo visitado" xfId="1048" builtinId="9" hidden="1"/>
    <cellStyle name="Hipervínculo visitado" xfId="7572" builtinId="9" hidden="1"/>
    <cellStyle name="Hipervínculo visitado" xfId="9012" builtinId="9" hidden="1"/>
    <cellStyle name="Hipervínculo visitado" xfId="2796" builtinId="9" hidden="1"/>
    <cellStyle name="Hipervínculo visitado" xfId="146" builtinId="9" hidden="1"/>
    <cellStyle name="Hipervínculo visitado" xfId="1300" builtinId="9" hidden="1"/>
    <cellStyle name="Hipervínculo visitado" xfId="4360" builtinId="9" hidden="1"/>
    <cellStyle name="Hipervínculo visitado" xfId="4808" builtinId="9" hidden="1"/>
    <cellStyle name="Hipervínculo visitado" xfId="1970" builtinId="9" hidden="1"/>
    <cellStyle name="Hipervínculo visitado" xfId="9970" builtinId="9" hidden="1"/>
    <cellStyle name="Hipervínculo visitado" xfId="1748" builtinId="9" hidden="1"/>
    <cellStyle name="Hipervínculo visitado" xfId="2596" builtinId="9" hidden="1"/>
    <cellStyle name="Hipervínculo visitado" xfId="7262" builtinId="9" hidden="1"/>
    <cellStyle name="Hipervínculo visitado" xfId="7602" builtinId="9" hidden="1"/>
    <cellStyle name="Hipervínculo visitado" xfId="1214" builtinId="9" hidden="1"/>
    <cellStyle name="Hipervínculo visitado" xfId="10902" builtinId="9" hidden="1"/>
    <cellStyle name="Hipervínculo visitado" xfId="1098" builtinId="9" hidden="1"/>
    <cellStyle name="Hipervínculo visitado" xfId="5202" builtinId="9" hidden="1"/>
    <cellStyle name="Hipervínculo visitado" xfId="9166" builtinId="9" hidden="1"/>
    <cellStyle name="Hipervínculo visitado" xfId="6912" builtinId="9" hidden="1"/>
    <cellStyle name="Hipervínculo visitado" xfId="3562" builtinId="9" hidden="1"/>
    <cellStyle name="Hipervínculo visitado" xfId="7860" builtinId="9" hidden="1"/>
    <cellStyle name="Hipervínculo visitado" xfId="4358" builtinId="9" hidden="1"/>
    <cellStyle name="Hipervínculo visitado" xfId="4546" builtinId="9" hidden="1"/>
    <cellStyle name="Hipervínculo visitado" xfId="9690" builtinId="9" hidden="1"/>
    <cellStyle name="Hipervínculo visitado" xfId="3988" builtinId="9" hidden="1"/>
    <cellStyle name="Hipervínculo visitado" xfId="7552" builtinId="9" hidden="1"/>
    <cellStyle name="Hipervínculo visitado" xfId="9904" builtinId="9" hidden="1"/>
    <cellStyle name="Hipervínculo visitado" xfId="5964" builtinId="9" hidden="1"/>
    <cellStyle name="Hipervínculo visitado" xfId="9746" builtinId="9" hidden="1"/>
    <cellStyle name="Hipervínculo visitado" xfId="5920" builtinId="9" hidden="1"/>
    <cellStyle name="Hipervínculo visitado" xfId="2116" builtinId="9" hidden="1"/>
    <cellStyle name="Hipervínculo visitado" xfId="10490" builtinId="9" hidden="1"/>
    <cellStyle name="Hipervínculo visitado" xfId="5938" builtinId="9" hidden="1"/>
    <cellStyle name="Hipervínculo visitado" xfId="866" builtinId="9" hidden="1"/>
    <cellStyle name="Hipervínculo visitado" xfId="7750" builtinId="9" hidden="1"/>
    <cellStyle name="Hipervínculo visitado" xfId="2444" builtinId="9" hidden="1"/>
    <cellStyle name="Hipervínculo visitado" xfId="5848" builtinId="9" hidden="1"/>
    <cellStyle name="Hipervínculo visitado" xfId="10456" builtinId="9" hidden="1"/>
    <cellStyle name="Hipervínculo visitado" xfId="908" builtinId="9" hidden="1"/>
    <cellStyle name="Hipervínculo visitado" xfId="520" builtinId="9" hidden="1"/>
    <cellStyle name="Hipervínculo visitado" xfId="4774" builtinId="9" hidden="1"/>
    <cellStyle name="Hipervínculo visitado" xfId="4330" builtinId="9" hidden="1"/>
    <cellStyle name="Hipervínculo visitado" xfId="4670" builtinId="9" hidden="1"/>
    <cellStyle name="Hipervínculo visitado" xfId="10700" builtinId="9" hidden="1"/>
    <cellStyle name="Hipervínculo visitado" xfId="678" builtinId="9" hidden="1"/>
    <cellStyle name="Hipervínculo visitado" xfId="9048" builtinId="9" hidden="1"/>
    <cellStyle name="Hipervínculo visitado" xfId="10970" builtinId="9" hidden="1"/>
    <cellStyle name="Hipervínculo visitado" xfId="4328" builtinId="9" hidden="1"/>
    <cellStyle name="Hipervínculo visitado" xfId="2780" builtinId="9" hidden="1"/>
    <cellStyle name="Hipervínculo visitado" xfId="230" builtinId="9" hidden="1"/>
    <cellStyle name="Hipervínculo visitado" xfId="9742" builtinId="9" hidden="1"/>
    <cellStyle name="Hipervínculo visitado" xfId="7818" builtinId="9" hidden="1"/>
    <cellStyle name="Hipervínculo visitado" xfId="4676" builtinId="9" hidden="1"/>
    <cellStyle name="Hipervínculo visitado" xfId="8726" builtinId="9" hidden="1"/>
    <cellStyle name="Hipervínculo visitado" xfId="8488" builtinId="9" hidden="1"/>
    <cellStyle name="Hipervínculo visitado" xfId="2212" builtinId="9" hidden="1"/>
    <cellStyle name="Hipervínculo visitado" xfId="4434" builtinId="9" hidden="1"/>
    <cellStyle name="Hipervínculo visitado" xfId="5832" builtinId="9" hidden="1"/>
    <cellStyle name="Hipervínculo visitado" xfId="2044" builtinId="9" hidden="1"/>
    <cellStyle name="Hipervínculo visitado" xfId="6274" builtinId="9" hidden="1"/>
    <cellStyle name="Hipervínculo visitado" xfId="6018" builtinId="9" hidden="1"/>
    <cellStyle name="Hipervínculo visitado" xfId="7542" builtinId="9" hidden="1"/>
    <cellStyle name="Hipervínculo visitado" xfId="3954" builtinId="9" hidden="1"/>
    <cellStyle name="Hipervínculo visitado" xfId="10624" builtinId="9" hidden="1"/>
    <cellStyle name="Hipervínculo visitado" xfId="6322" builtinId="9" hidden="1"/>
    <cellStyle name="Hipervínculo visitado" xfId="8816" builtinId="9" hidden="1"/>
    <cellStyle name="Hipervínculo visitado" xfId="5940" builtinId="9" hidden="1"/>
    <cellStyle name="Hipervínculo visitado" xfId="3790" builtinId="9" hidden="1"/>
    <cellStyle name="Hipervínculo visitado" xfId="10548" builtinId="9" hidden="1"/>
    <cellStyle name="Hipervínculo visitado" xfId="716" builtinId="9" hidden="1"/>
    <cellStyle name="Hipervínculo visitado" xfId="4472" builtinId="9" hidden="1"/>
    <cellStyle name="Hipervínculo visitado" xfId="4120" builtinId="9" hidden="1"/>
    <cellStyle name="Hipervínculo visitado" xfId="3260" builtinId="9" hidden="1"/>
    <cellStyle name="Hipervínculo visitado" xfId="1092" builtinId="9" hidden="1"/>
    <cellStyle name="Hipervínculo visitado" xfId="9390" builtinId="9" hidden="1"/>
    <cellStyle name="Hipervínculo visitado" xfId="4990" builtinId="9" hidden="1"/>
    <cellStyle name="Hipervínculo visitado" xfId="1266" builtinId="9" hidden="1"/>
    <cellStyle name="Hipervínculo visitado" xfId="4062" builtinId="9" hidden="1"/>
    <cellStyle name="Hipervínculo visitado" xfId="2576" builtinId="9" hidden="1"/>
    <cellStyle name="Hipervínculo visitado" xfId="9000" builtinId="9" hidden="1"/>
    <cellStyle name="Hipervínculo visitado" xfId="8700" builtinId="9" hidden="1"/>
    <cellStyle name="Hipervínculo visitado" xfId="8810" builtinId="9" hidden="1"/>
    <cellStyle name="Hipervínculo visitado" xfId="6690" builtinId="9" hidden="1"/>
    <cellStyle name="Hipervínculo visitado" xfId="426" builtinId="9" hidden="1"/>
    <cellStyle name="Hipervínculo visitado" xfId="8156" builtinId="9" hidden="1"/>
    <cellStyle name="Hipervínculo visitado" xfId="10012" builtinId="9" hidden="1"/>
    <cellStyle name="Hipervínculo visitado" xfId="2808" builtinId="9" hidden="1"/>
    <cellStyle name="Hipervínculo visitado" xfId="8900" builtinId="9" hidden="1"/>
    <cellStyle name="Hipervínculo visitado" xfId="7482" builtinId="9" hidden="1"/>
    <cellStyle name="Hipervínculo visitado" xfId="8668" builtinId="9" hidden="1"/>
    <cellStyle name="Hipervínculo visitado" xfId="10488" builtinId="9" hidden="1"/>
    <cellStyle name="Hipervínculo visitado" xfId="7608" builtinId="9" hidden="1"/>
    <cellStyle name="Hipervínculo visitado" xfId="3570" builtinId="9" hidden="1"/>
    <cellStyle name="Hipervínculo visitado" xfId="8114" builtinId="9" hidden="1"/>
    <cellStyle name="Hipervínculo visitado" xfId="9940" builtinId="9" hidden="1"/>
    <cellStyle name="Hipervínculo visitado" xfId="7368" builtinId="9" hidden="1"/>
    <cellStyle name="Hipervínculo visitado" xfId="8656" builtinId="9" hidden="1"/>
    <cellStyle name="Hipervínculo visitado" xfId="938" builtinId="9" hidden="1"/>
    <cellStyle name="Hipervínculo visitado" xfId="8640" builtinId="9" hidden="1"/>
    <cellStyle name="Hipervínculo visitado" xfId="2032" builtinId="9" hidden="1"/>
    <cellStyle name="Hipervínculo visitado" xfId="9304" builtinId="9" hidden="1"/>
    <cellStyle name="Hipervínculo visitado" xfId="3518" builtinId="9" hidden="1"/>
    <cellStyle name="Hipervínculo visitado" xfId="4872" builtinId="9" hidden="1"/>
    <cellStyle name="Hipervínculo visitado" xfId="1768" builtinId="9" hidden="1"/>
    <cellStyle name="Hipervínculo visitado" xfId="276" builtinId="9" hidden="1"/>
    <cellStyle name="Hipervínculo visitado" xfId="10720" builtinId="9" hidden="1"/>
    <cellStyle name="Hipervínculo visitado" xfId="10358" builtinId="9" hidden="1"/>
    <cellStyle name="Hipervínculo visitado" xfId="9222" builtinId="9" hidden="1"/>
    <cellStyle name="Hipervínculo visitado" xfId="8886" builtinId="9" hidden="1"/>
    <cellStyle name="Hipervínculo visitado" xfId="350" builtinId="9" hidden="1"/>
    <cellStyle name="Hipervínculo visitado" xfId="7086" builtinId="9" hidden="1"/>
    <cellStyle name="Hipervínculo visitado" xfId="722" builtinId="9" hidden="1"/>
    <cellStyle name="Hipervínculo visitado" xfId="2588" builtinId="9" hidden="1"/>
    <cellStyle name="Hipervínculo visitado" xfId="84" builtinId="9" hidden="1"/>
    <cellStyle name="Hipervínculo visitado" xfId="6782" builtinId="9" hidden="1"/>
    <cellStyle name="Hipervínculo visitado" xfId="10240" builtinId="9" hidden="1"/>
    <cellStyle name="Hipervínculo visitado" xfId="7068" builtinId="9" hidden="1"/>
    <cellStyle name="Hipervínculo visitado" xfId="7012" builtinId="9" hidden="1"/>
    <cellStyle name="Hipervínculo visitado" xfId="6518" builtinId="9" hidden="1"/>
    <cellStyle name="Hipervínculo visitado" xfId="10036" builtinId="9" hidden="1"/>
    <cellStyle name="Hipervínculo visitado" xfId="1416" builtinId="9" hidden="1"/>
    <cellStyle name="Hipervínculo visitado" xfId="8220" builtinId="9" hidden="1"/>
    <cellStyle name="Hipervínculo visitado" xfId="6150" builtinId="9" hidden="1"/>
    <cellStyle name="Hipervínculo visitado" xfId="5276" builtinId="9" hidden="1"/>
    <cellStyle name="Hipervínculo visitado" xfId="8918" builtinId="9" hidden="1"/>
    <cellStyle name="Hipervínculo visitado" xfId="1262" builtinId="9" hidden="1"/>
    <cellStyle name="Hipervínculo visitado" xfId="8254" builtinId="9" hidden="1"/>
    <cellStyle name="Hipervínculo visitado" xfId="7806" builtinId="9" hidden="1"/>
    <cellStyle name="Hipervínculo visitado" xfId="2112" builtinId="9" hidden="1"/>
    <cellStyle name="Hipervínculo visitado" xfId="8714" builtinId="9" hidden="1"/>
    <cellStyle name="Hipervínculo visitado" xfId="870" builtinId="9" hidden="1"/>
    <cellStyle name="Hipervínculo visitado" xfId="6224" builtinId="9" hidden="1"/>
    <cellStyle name="Hipervínculo visitado" xfId="480" builtinId="9" hidden="1"/>
    <cellStyle name="Hipervínculo visitado" xfId="10778" builtinId="9" hidden="1"/>
    <cellStyle name="Hipervínculo visitado" xfId="10450" builtinId="9" hidden="1"/>
    <cellStyle name="Hipervínculo visitado" xfId="9570" builtinId="9" hidden="1"/>
    <cellStyle name="Hipervínculo visitado" xfId="8356" builtinId="9" hidden="1"/>
    <cellStyle name="Hipervínculo visitado" xfId="4934" builtinId="9" hidden="1"/>
    <cellStyle name="Hipervínculo visitado" xfId="7652" builtinId="9" hidden="1"/>
    <cellStyle name="Hipervínculo visitado" xfId="8450" builtinId="9" hidden="1"/>
    <cellStyle name="Hipervínculo visitado" xfId="7298" builtinId="9" hidden="1"/>
    <cellStyle name="Hipervínculo visitado" xfId="3140" builtinId="9" hidden="1"/>
    <cellStyle name="Hipervínculo visitado" xfId="3994" builtinId="9" hidden="1"/>
    <cellStyle name="Hipervínculo visitado" xfId="1442" builtinId="9" hidden="1"/>
    <cellStyle name="Hipervínculo visitado" xfId="10046" builtinId="9" hidden="1"/>
    <cellStyle name="Hipervínculo visitado" xfId="8290" builtinId="9" hidden="1"/>
    <cellStyle name="Hipervínculo visitado" xfId="7444" builtinId="9" hidden="1"/>
    <cellStyle name="Hipervínculo visitado" xfId="7030" builtinId="9" hidden="1"/>
    <cellStyle name="Hipervínculo visitado" xfId="7128" builtinId="9" hidden="1"/>
    <cellStyle name="Hipervínculo visitado" xfId="5170" builtinId="9" hidden="1"/>
    <cellStyle name="Hipervínculo visitado" xfId="3276" builtinId="9" hidden="1"/>
    <cellStyle name="Hipervínculo visitado" xfId="7210" builtinId="9" hidden="1"/>
    <cellStyle name="Hipervínculo visitado" xfId="2816" builtinId="9" hidden="1"/>
    <cellStyle name="Hipervínculo visitado" xfId="3794" builtinId="9" hidden="1"/>
    <cellStyle name="Hipervínculo visitado" xfId="8378" builtinId="9" hidden="1"/>
    <cellStyle name="Hipervínculo visitado" xfId="8404" builtinId="9" hidden="1"/>
    <cellStyle name="Hipervínculo visitado" xfId="10412" builtinId="9" hidden="1"/>
    <cellStyle name="Hipervínculo visitado" xfId="8848" builtinId="9" hidden="1"/>
    <cellStyle name="Hipervínculo visitado" xfId="9864" builtinId="9" hidden="1"/>
    <cellStyle name="Hipervínculo visitado" xfId="10512" builtinId="9" hidden="1"/>
    <cellStyle name="Hipervínculo visitado" xfId="2110" builtinId="9" hidden="1"/>
    <cellStyle name="Hipervínculo visitado" xfId="338" builtinId="9" hidden="1"/>
    <cellStyle name="Hipervínculo visitado" xfId="6432" builtinId="9" hidden="1"/>
    <cellStyle name="Hipervínculo visitado" xfId="3640" builtinId="9" hidden="1"/>
    <cellStyle name="Hipervínculo visitado" xfId="7932" builtinId="9" hidden="1"/>
    <cellStyle name="Hipervínculo visitado" xfId="5570" builtinId="9" hidden="1"/>
    <cellStyle name="Hipervínculo visitado" xfId="8388" builtinId="9" hidden="1"/>
    <cellStyle name="Hipervínculo visitado" xfId="8200" builtinId="9" hidden="1"/>
    <cellStyle name="Hipervínculo visitado" xfId="7722" builtinId="9" hidden="1"/>
    <cellStyle name="Hipervínculo visitado" xfId="11050" builtinId="9" hidden="1"/>
    <cellStyle name="Hipervínculo visitado" xfId="9934" builtinId="9" hidden="1"/>
    <cellStyle name="Hipervínculo visitado" xfId="8374" builtinId="9" hidden="1"/>
    <cellStyle name="Hipervínculo visitado" xfId="4178" builtinId="9" hidden="1"/>
    <cellStyle name="Hipervínculo visitado" xfId="3514" builtinId="9" hidden="1"/>
    <cellStyle name="Hipervínculo visitado" xfId="11076" builtinId="9" hidden="1"/>
    <cellStyle name="Hipervínculo visitado" xfId="5272" builtinId="9" hidden="1"/>
    <cellStyle name="Hipervínculo visitado" xfId="114" builtinId="9" hidden="1"/>
    <cellStyle name="Hipervínculo visitado" xfId="10142" builtinId="9" hidden="1"/>
    <cellStyle name="Hipervínculo visitado" xfId="7178" builtinId="9" hidden="1"/>
    <cellStyle name="Hipervínculo visitado" xfId="6026" builtinId="9" hidden="1"/>
    <cellStyle name="Hipervínculo visitado" xfId="6962" builtinId="9" hidden="1"/>
    <cellStyle name="Hipervínculo visitado" xfId="6656" builtinId="9" hidden="1"/>
    <cellStyle name="Hipervínculo visitado" xfId="7612" builtinId="9" hidden="1"/>
    <cellStyle name="Hipervínculo visitado" xfId="8362" builtinId="9" hidden="1"/>
    <cellStyle name="Hipervínculo visitado" xfId="9812" builtinId="9" hidden="1"/>
    <cellStyle name="Hipervínculo visitado" xfId="10544" builtinId="9" hidden="1"/>
    <cellStyle name="Hipervínculo visitado" xfId="4136" builtinId="9" hidden="1"/>
    <cellStyle name="Hipervínculo visitado" xfId="10144" builtinId="9" hidden="1"/>
    <cellStyle name="Hipervínculo visitado" xfId="1280" builtinId="9" hidden="1"/>
    <cellStyle name="Hipervínculo visitado" xfId="3222" builtinId="9" hidden="1"/>
    <cellStyle name="Hipervínculo visitado" xfId="2440" builtinId="9" hidden="1"/>
    <cellStyle name="Hipervínculo visitado" xfId="3666" builtinId="9" hidden="1"/>
    <cellStyle name="Hipervínculo visitado" xfId="196" builtinId="9" hidden="1"/>
    <cellStyle name="Hipervínculo visitado" xfId="4862" builtinId="9" hidden="1"/>
    <cellStyle name="Hipervínculo visitado" xfId="5482" builtinId="9" hidden="1"/>
    <cellStyle name="Hipervínculo visitado" xfId="5956" builtinId="9" hidden="1"/>
    <cellStyle name="Hipervínculo visitado" xfId="1324" builtinId="9" hidden="1"/>
    <cellStyle name="Hipervínculo visitado" xfId="8504" builtinId="9" hidden="1"/>
    <cellStyle name="Hipervínculo visitado" xfId="10056" builtinId="9" hidden="1"/>
    <cellStyle name="Hipervínculo visitado" xfId="7920" builtinId="9" hidden="1"/>
    <cellStyle name="Hipervínculo visitado" xfId="8490" builtinId="9" hidden="1"/>
    <cellStyle name="Hipervínculo visitado" xfId="2352" builtinId="9" hidden="1"/>
    <cellStyle name="Hipervínculo visitado" xfId="2772" builtinId="9" hidden="1"/>
    <cellStyle name="Hipervínculo visitado" xfId="134" builtinId="9" hidden="1"/>
    <cellStyle name="Hipervínculo visitado" xfId="6270" builtinId="9" hidden="1"/>
    <cellStyle name="Hipervínculo visitado" xfId="3548" builtinId="9" hidden="1"/>
    <cellStyle name="Hipervínculo visitado" xfId="3032" builtinId="9" hidden="1"/>
    <cellStyle name="Hipervínculo visitado" xfId="5656" builtinId="9" hidden="1"/>
    <cellStyle name="Hipervínculo visitado" xfId="5306" builtinId="9" hidden="1"/>
    <cellStyle name="Hipervínculo visitado" xfId="2536" builtinId="9" hidden="1"/>
    <cellStyle name="Hipervínculo visitado" xfId="956" builtinId="9" hidden="1"/>
    <cellStyle name="Hipervínculo visitado" xfId="1504" builtinId="9" hidden="1"/>
    <cellStyle name="Hipervínculo visitado" xfId="9602" builtinId="9" hidden="1"/>
    <cellStyle name="Hipervínculo visitado" xfId="10184" builtinId="9" hidden="1"/>
    <cellStyle name="Hipervínculo visitado" xfId="2552" builtinId="9" hidden="1"/>
    <cellStyle name="Hipervínculo visitado" xfId="9368" builtinId="9" hidden="1"/>
    <cellStyle name="Hipervínculo visitado" xfId="5596" builtinId="9" hidden="1"/>
    <cellStyle name="Hipervínculo visitado" xfId="8280" builtinId="9" hidden="1"/>
    <cellStyle name="Hipervínculo visitado" xfId="9348" builtinId="9" hidden="1"/>
    <cellStyle name="Hipervínculo visitado" xfId="9420" builtinId="9" hidden="1"/>
    <cellStyle name="Hipervínculo visitado" xfId="1388" builtinId="9" hidden="1"/>
    <cellStyle name="Hipervínculo visitado" xfId="10920" builtinId="9" hidden="1"/>
    <cellStyle name="Hipervínculo visitado" xfId="7520" builtinId="9" hidden="1"/>
    <cellStyle name="Hipervínculo visitado" xfId="5522" builtinId="9" hidden="1"/>
    <cellStyle name="Hipervínculo visitado" xfId="4812" builtinId="9" hidden="1"/>
    <cellStyle name="Hipervínculo visitado" xfId="7990" builtinId="9" hidden="1"/>
    <cellStyle name="Hipervínculo visitado" xfId="6996" builtinId="9" hidden="1"/>
    <cellStyle name="Hipervínculo visitado" xfId="6022" builtinId="9" hidden="1"/>
    <cellStyle name="Hipervínculo visitado" xfId="3608" builtinId="9" hidden="1"/>
    <cellStyle name="Hipervínculo visitado" xfId="620" builtinId="9" hidden="1"/>
    <cellStyle name="Hipervínculo visitado" xfId="9626" builtinId="9" hidden="1"/>
    <cellStyle name="Hipervínculo visitado" xfId="10064" builtinId="9" hidden="1"/>
    <cellStyle name="Hipervínculo visitado" xfId="6384" builtinId="9" hidden="1"/>
    <cellStyle name="Hipervínculo visitado" xfId="1766" builtinId="9" hidden="1"/>
    <cellStyle name="Hipervínculo visitado" xfId="5924" builtinId="9" hidden="1"/>
    <cellStyle name="Hipervínculo visitado" xfId="4788" builtinId="9" hidden="1"/>
    <cellStyle name="Hipervínculo visitado" xfId="10018" builtinId="9" hidden="1"/>
    <cellStyle name="Hipervínculo visitado" xfId="2450" builtinId="9" hidden="1"/>
    <cellStyle name="Hipervínculo visitado" xfId="7008" builtinId="9" hidden="1"/>
    <cellStyle name="Hipervínculo visitado" xfId="3654" builtinId="9" hidden="1"/>
    <cellStyle name="Hipervínculo visitado" xfId="4336" builtinId="9" hidden="1"/>
    <cellStyle name="Hipervínculo visitado" xfId="8288" builtinId="9" hidden="1"/>
    <cellStyle name="Hipervínculo visitado" xfId="8482" builtinId="9" hidden="1"/>
    <cellStyle name="Hipervínculo visitado" xfId="8142" builtinId="9" hidden="1"/>
    <cellStyle name="Hipervínculo visitado" xfId="4504" builtinId="9" hidden="1"/>
    <cellStyle name="Hipervínculo visitado" xfId="1134" builtinId="9" hidden="1"/>
    <cellStyle name="Hipervínculo visitado" xfId="9124" builtinId="9" hidden="1"/>
    <cellStyle name="Hipervínculo visitado" xfId="5076" builtinId="9" hidden="1"/>
    <cellStyle name="Hipervínculo visitado" xfId="2174" builtinId="9" hidden="1"/>
    <cellStyle name="Hipervínculo visitado" xfId="8532" builtinId="9" hidden="1"/>
    <cellStyle name="Hipervínculo visitado" xfId="8676" builtinId="9" hidden="1"/>
    <cellStyle name="Hipervínculo visitado" xfId="10656" builtinId="9" hidden="1"/>
    <cellStyle name="Hipervínculo visitado" xfId="4974" builtinId="9" hidden="1"/>
    <cellStyle name="Hipervínculo visitado" xfId="7212" builtinId="9" hidden="1"/>
    <cellStyle name="Hipervínculo visitado" xfId="1396" builtinId="9" hidden="1"/>
    <cellStyle name="Hipervínculo visitado" xfId="1810" builtinId="9" hidden="1"/>
    <cellStyle name="Hipervínculo visitado" xfId="1940" builtinId="9" hidden="1"/>
    <cellStyle name="Hipervínculo visitado" xfId="5332" builtinId="9" hidden="1"/>
    <cellStyle name="Hipervínculo visitado" xfId="5228" builtinId="9" hidden="1"/>
    <cellStyle name="Hipervínculo visitado" xfId="4084" builtinId="9" hidden="1"/>
    <cellStyle name="Hipervínculo visitado" xfId="1834" builtinId="9" hidden="1"/>
    <cellStyle name="Hipervínculo visitado" xfId="5112" builtinId="9" hidden="1"/>
    <cellStyle name="Hipervínculo visitado" xfId="666" builtinId="9" hidden="1"/>
    <cellStyle name="Hipervínculo visitado" xfId="2702" builtinId="9" hidden="1"/>
    <cellStyle name="Hipervínculo visitado" xfId="9912" builtinId="9" hidden="1"/>
    <cellStyle name="Hipervínculo visitado" xfId="3688" builtinId="9" hidden="1"/>
    <cellStyle name="Hipervínculo visitado" xfId="3948" builtinId="9" hidden="1"/>
    <cellStyle name="Hipervínculo visitado" xfId="492" builtinId="9" hidden="1"/>
    <cellStyle name="Hipervínculo visitado" xfId="7766" builtinId="9" hidden="1"/>
    <cellStyle name="Hipervínculo visitado" xfId="4174" builtinId="9" hidden="1"/>
    <cellStyle name="Hipervínculo visitado" xfId="8598" builtinId="9" hidden="1"/>
    <cellStyle name="Hipervínculo visitado" xfId="5714" builtinId="9" hidden="1"/>
    <cellStyle name="Hipervínculo visitado" xfId="10886" builtinId="9" hidden="1"/>
    <cellStyle name="Hipervínculo visitado" xfId="7300" builtinId="9" hidden="1"/>
    <cellStyle name="Hipervínculo visitado" xfId="2606" builtinId="9" hidden="1"/>
    <cellStyle name="Hipervínculo visitado" xfId="5736" builtinId="9" hidden="1"/>
    <cellStyle name="Hipervínculo visitado" xfId="2028" builtinId="9" hidden="1"/>
    <cellStyle name="Hipervínculo visitado" xfId="28" builtinId="9" hidden="1"/>
    <cellStyle name="Hipervínculo visitado" xfId="2524" builtinId="9" hidden="1"/>
    <cellStyle name="Hipervínculo visitado" xfId="8992" builtinId="9" hidden="1"/>
    <cellStyle name="Hipervínculo visitado" xfId="3542" builtinId="9" hidden="1"/>
    <cellStyle name="Hipervínculo visitado" xfId="3112" builtinId="9" hidden="1"/>
    <cellStyle name="Hipervínculo visitado" xfId="6118" builtinId="9" hidden="1"/>
    <cellStyle name="Hipervínculo visitado" xfId="10942" builtinId="9" hidden="1"/>
    <cellStyle name="Hipervínculo visitado" xfId="752" builtinId="9" hidden="1"/>
    <cellStyle name="Hipervínculo visitado" xfId="8304" builtinId="9" hidden="1"/>
    <cellStyle name="Hipervínculo visitado" xfId="9578" builtinId="9" hidden="1"/>
    <cellStyle name="Hipervínculo visitado" xfId="2930" builtinId="9" hidden="1"/>
    <cellStyle name="Hipervínculo visitado" xfId="9702" builtinId="9" hidden="1"/>
    <cellStyle name="Hipervínculo visitado" xfId="3592" builtinId="9" hidden="1"/>
    <cellStyle name="Hipervínculo visitado" xfId="3184" builtinId="9" hidden="1"/>
    <cellStyle name="Hipervínculo visitado" xfId="826" builtinId="9" hidden="1"/>
    <cellStyle name="Hipervínculo visitado" xfId="6658" builtinId="9" hidden="1"/>
    <cellStyle name="Hipervínculo visitado" xfId="6606" builtinId="9" hidden="1"/>
    <cellStyle name="Hipervínculo visitado" xfId="8400" builtinId="9" hidden="1"/>
    <cellStyle name="Hipervínculo visitado" xfId="3330" builtinId="9" hidden="1"/>
    <cellStyle name="Hipervínculo visitado" xfId="3754" builtinId="9" hidden="1"/>
    <cellStyle name="Hipervínculo visitado" xfId="384" builtinId="9" hidden="1"/>
    <cellStyle name="Hipervínculo visitado" xfId="166" builtinId="9" hidden="1"/>
    <cellStyle name="Hipervínculo visitado" xfId="1918" builtinId="9" hidden="1"/>
    <cellStyle name="Hipervínculo visitado" xfId="7216" builtinId="9" hidden="1"/>
    <cellStyle name="Hipervínculo visitado" xfId="4490" builtinId="9" hidden="1"/>
    <cellStyle name="Hipervínculo visitado" xfId="7318" builtinId="9" hidden="1"/>
    <cellStyle name="Hipervínculo visitado" xfId="326" builtinId="9" hidden="1"/>
    <cellStyle name="Hipervínculo visitado" xfId="8320" builtinId="9" hidden="1"/>
    <cellStyle name="Hipervínculo visitado" xfId="10674" builtinId="9" hidden="1"/>
    <cellStyle name="Hipervínculo visitado" xfId="9648" builtinId="9" hidden="1"/>
    <cellStyle name="Hipervínculo visitado" xfId="5942" builtinId="9" hidden="1"/>
    <cellStyle name="Hipervínculo visitado" xfId="9210" builtinId="9" hidden="1"/>
    <cellStyle name="Hipervínculo visitado" xfId="8194" builtinId="9" hidden="1"/>
    <cellStyle name="Hipervínculo visitado" xfId="8688" builtinId="9" hidden="1"/>
    <cellStyle name="Hipervínculo visitado" xfId="5734" builtinId="9" hidden="1"/>
    <cellStyle name="Hipervínculo visitado" xfId="10290" builtinId="9" hidden="1"/>
    <cellStyle name="Hipervínculo visitado" xfId="2806" builtinId="9" hidden="1"/>
    <cellStyle name="Hipervínculo visitado" xfId="3114" builtinId="9" hidden="1"/>
    <cellStyle name="Hipervínculo visitado" xfId="10158" builtinId="9" hidden="1"/>
    <cellStyle name="Hipervínculo visitado" xfId="6832" builtinId="9" hidden="1"/>
    <cellStyle name="Hipervínculo visitado" xfId="1126" builtinId="9" hidden="1"/>
    <cellStyle name="Hipervínculo visitado" xfId="9490" builtinId="9" hidden="1"/>
    <cellStyle name="Hipervínculo visitado" xfId="10794" builtinId="9" hidden="1"/>
    <cellStyle name="Hipervínculo visitado" xfId="7526" builtinId="9" hidden="1"/>
    <cellStyle name="Hipervínculo visitado" xfId="3798" builtinId="9" hidden="1"/>
    <cellStyle name="Hipervínculo visitado" xfId="6038" builtinId="9" hidden="1"/>
    <cellStyle name="Hipervínculo visitado" xfId="7544" builtinId="9" hidden="1"/>
    <cellStyle name="Hipervínculo visitado" xfId="6520" builtinId="9" hidden="1"/>
    <cellStyle name="Hipervínculo visitado" xfId="8144" builtinId="9" hidden="1"/>
    <cellStyle name="Hipervínculo visitado" xfId="3702" builtinId="9" hidden="1"/>
    <cellStyle name="Hipervínculo visitado" xfId="2226" builtinId="9" hidden="1"/>
    <cellStyle name="Hipervínculo visitado" xfId="1968" builtinId="9" hidden="1"/>
    <cellStyle name="Hipervínculo visitado" xfId="7962" builtinId="9" hidden="1"/>
    <cellStyle name="Hipervínculo visitado" xfId="530" builtinId="9" hidden="1"/>
    <cellStyle name="Hipervínculo visitado" xfId="7134" builtinId="9" hidden="1"/>
    <cellStyle name="Hipervínculo visitado" xfId="1296" builtinId="9" hidden="1"/>
    <cellStyle name="Hipervínculo visitado" xfId="5548" builtinId="9" hidden="1"/>
    <cellStyle name="Hipervínculo visitado" xfId="5626" builtinId="9" hidden="1"/>
    <cellStyle name="Hipervínculo visitado" xfId="7628" builtinId="9" hidden="1"/>
    <cellStyle name="Hipervínculo visitado" xfId="10286" builtinId="9" hidden="1"/>
    <cellStyle name="Hipervínculo visitado" xfId="1772" builtinId="9" hidden="1"/>
    <cellStyle name="Hipervínculo visitado" xfId="9446" builtinId="9" hidden="1"/>
    <cellStyle name="Hipervínculo visitado" xfId="10988" builtinId="9" hidden="1"/>
    <cellStyle name="Hipervínculo visitado" xfId="3996" builtinId="9" hidden="1"/>
    <cellStyle name="Hipervínculo visitado" xfId="4400" builtinId="9" hidden="1"/>
    <cellStyle name="Hipervínculo visitado" xfId="5846" builtinId="9" hidden="1"/>
    <cellStyle name="Hipervínculo visitado" xfId="1806" builtinId="9" hidden="1"/>
    <cellStyle name="Hipervínculo visitado" xfId="690" builtinId="9" hidden="1"/>
    <cellStyle name="Hipervínculo visitado" xfId="9830" builtinId="9" hidden="1"/>
    <cellStyle name="Hipervínculo visitado" xfId="198" builtinId="9" hidden="1"/>
    <cellStyle name="Hipervínculo visitado" xfId="2080" builtinId="9" hidden="1"/>
    <cellStyle name="Hipervínculo visitado" xfId="8074" builtinId="9" hidden="1"/>
    <cellStyle name="Hipervínculo visitado" xfId="7060" builtinId="9" hidden="1"/>
    <cellStyle name="Hipervínculo visitado" xfId="1596" builtinId="9" hidden="1"/>
    <cellStyle name="Hipervínculo visitado" xfId="1756" builtinId="9" hidden="1"/>
    <cellStyle name="Hipervínculo visitado" xfId="8814" builtinId="9" hidden="1"/>
    <cellStyle name="Hipervínculo visitado" xfId="9428" builtinId="9" hidden="1"/>
    <cellStyle name="Hipervínculo visitado" xfId="7804" builtinId="9" hidden="1"/>
    <cellStyle name="Hipervínculo visitado" xfId="3212" builtinId="9" hidden="1"/>
    <cellStyle name="Hipervínculo visitado" xfId="8" builtinId="9" hidden="1"/>
    <cellStyle name="Hipervínculo visitado" xfId="1002" builtinId="9" hidden="1"/>
    <cellStyle name="Hipervínculo visitado" xfId="10170" builtinId="9" hidden="1"/>
    <cellStyle name="Hipervínculo visitado" xfId="9514" builtinId="9" hidden="1"/>
    <cellStyle name="Hipervínculo visitado" xfId="602" builtinId="9" hidden="1"/>
    <cellStyle name="Hipervínculo visitado" xfId="2438" builtinId="9" hidden="1"/>
    <cellStyle name="Hipervínculo visitado" xfId="8874" builtinId="9" hidden="1"/>
    <cellStyle name="Hipervínculo visitado" xfId="9568" builtinId="9" hidden="1"/>
    <cellStyle name="Hipervínculo visitado" xfId="5634" builtinId="9" hidden="1"/>
    <cellStyle name="Hipervínculo visitado" xfId="4932" builtinId="9" hidden="1"/>
    <cellStyle name="Hipervínculo visitado" xfId="9976" builtinId="9" hidden="1"/>
    <cellStyle name="Hipervínculo visitado" xfId="5560" builtinId="9" hidden="1"/>
    <cellStyle name="Hipervínculo visitado" xfId="10832" builtinId="9" hidden="1"/>
    <cellStyle name="Hipervínculo visitado" xfId="8912" builtinId="9" hidden="1"/>
    <cellStyle name="Hipervínculo visitado" xfId="2194" builtinId="9" hidden="1"/>
    <cellStyle name="Hipervínculo visitado" xfId="958" builtinId="9" hidden="1"/>
    <cellStyle name="Hipervínculo visitado" xfId="4760" builtinId="9" hidden="1"/>
    <cellStyle name="Hipervínculo visitado" xfId="4302" builtinId="9" hidden="1"/>
    <cellStyle name="Hipervínculo visitado" xfId="5296" builtinId="9" hidden="1"/>
    <cellStyle name="Hipervínculo visitado" xfId="758" builtinId="9" hidden="1"/>
    <cellStyle name="Hipervínculo visitado" xfId="6576" builtinId="9" hidden="1"/>
    <cellStyle name="Hipervínculo visitado" xfId="5568" builtinId="9" hidden="1"/>
    <cellStyle name="Hipervínculo visitado" xfId="1586" builtinId="9" hidden="1"/>
    <cellStyle name="Hipervínculo visitado" xfId="3190" builtinId="9" hidden="1"/>
    <cellStyle name="Hipervínculo visitado" xfId="10748" builtinId="9" hidden="1"/>
    <cellStyle name="Hipervínculo visitado" xfId="10798" builtinId="9" hidden="1"/>
    <cellStyle name="Hipervínculo visitado" xfId="422" builtinId="9" hidden="1"/>
    <cellStyle name="Hipervínculo visitado" xfId="9848" builtinId="9" hidden="1"/>
    <cellStyle name="Hipervínculo visitado" xfId="7052" builtinId="9" hidden="1"/>
    <cellStyle name="Hipervínculo visitado" xfId="6804" builtinId="9" hidden="1"/>
    <cellStyle name="Hipervínculo visitado" xfId="5224" builtinId="9" hidden="1"/>
    <cellStyle name="Hipervínculo visitado" xfId="7082" builtinId="9" hidden="1"/>
    <cellStyle name="Hipervínculo visitado" xfId="10560" builtinId="9" hidden="1"/>
    <cellStyle name="Hipervínculo visitado" xfId="4522" builtinId="9" hidden="1"/>
    <cellStyle name="Hipervínculo visitado" xfId="3694" builtinId="9" hidden="1"/>
    <cellStyle name="Hipervínculo visitado" xfId="8902" builtinId="9" hidden="1"/>
    <cellStyle name="Hipervínculo visitado" xfId="5586" builtinId="9" hidden="1"/>
    <cellStyle name="Hipervínculo visitado" xfId="7970" builtinId="9" hidden="1"/>
    <cellStyle name="Hipervínculo visitado" xfId="6726" builtinId="9" hidden="1"/>
    <cellStyle name="Hipervínculo visitado" xfId="3064" builtinId="9" hidden="1"/>
    <cellStyle name="Hipervínculo visitado" xfId="914" builtinId="9" hidden="1"/>
    <cellStyle name="Hipervínculo visitado" xfId="6544" builtinId="9" hidden="1"/>
    <cellStyle name="Hipervínculo visitado" xfId="9026" builtinId="9" hidden="1"/>
    <cellStyle name="Hipervínculo visitado" xfId="708" builtinId="9" hidden="1"/>
    <cellStyle name="Hipervínculo visitado" xfId="5244" builtinId="9" hidden="1"/>
    <cellStyle name="Hipervínculo visitado" xfId="8462" builtinId="9" hidden="1"/>
    <cellStyle name="Hipervínculo visitado" xfId="2150" builtinId="9" hidden="1"/>
    <cellStyle name="Hipervínculo visitado" xfId="5180" builtinId="9" hidden="1"/>
    <cellStyle name="Hipervínculo visitado" xfId="368" builtinId="9" hidden="1"/>
    <cellStyle name="Hipervínculo visitado" xfId="5394" builtinId="9" hidden="1"/>
    <cellStyle name="Hipervínculo visitado" xfId="2344" builtinId="9" hidden="1"/>
    <cellStyle name="Hipervínculo visitado" xfId="9868" builtinId="9" hidden="1"/>
    <cellStyle name="Hipervínculo visitado" xfId="8904" builtinId="9" hidden="1"/>
    <cellStyle name="Hipervínculo visitado" xfId="7360" builtinId="9" hidden="1"/>
    <cellStyle name="Hipervínculo visitado" xfId="3006" builtinId="9" hidden="1"/>
    <cellStyle name="Hipervínculo visitado" xfId="8692" builtinId="9" hidden="1"/>
    <cellStyle name="Hipervínculo visitado" xfId="2696" builtinId="9" hidden="1"/>
    <cellStyle name="Hipervínculo visitado" xfId="6184" builtinId="9" hidden="1"/>
    <cellStyle name="Hipervínculo visitado" xfId="10236" builtinId="9" hidden="1"/>
    <cellStyle name="Hipervínculo visitado" xfId="220" builtinId="9" hidden="1"/>
    <cellStyle name="Hipervínculo visitado" xfId="4322" builtinId="9" hidden="1"/>
    <cellStyle name="Hipervínculo visitado" xfId="10666" builtinId="9" hidden="1"/>
    <cellStyle name="Hipervínculo visitado" xfId="10934" builtinId="9" hidden="1"/>
    <cellStyle name="Hipervínculo visitado" xfId="10388" builtinId="9" hidden="1"/>
    <cellStyle name="Hipervínculo visitado" xfId="6784" builtinId="9" hidden="1"/>
    <cellStyle name="Hipervínculo visitado" xfId="782" builtinId="9" hidden="1"/>
    <cellStyle name="Hipervínculo visitado" xfId="474" builtinId="9" hidden="1"/>
    <cellStyle name="Hipervínculo visitado" xfId="5060" builtinId="9" hidden="1"/>
    <cellStyle name="Hipervínculo visitado" xfId="7186" builtinId="9" hidden="1"/>
    <cellStyle name="Hipervínculo visitado" xfId="7320" builtinId="9" hidden="1"/>
    <cellStyle name="Hipervínculo visitado" xfId="9464" builtinId="9" hidden="1"/>
    <cellStyle name="Hipervínculo visitado" xfId="9610" builtinId="9" hidden="1"/>
    <cellStyle name="Hipervínculo visitado" xfId="2842" builtinId="9" hidden="1"/>
    <cellStyle name="Hipervínculo visitado" xfId="3674" builtinId="9" hidden="1"/>
    <cellStyle name="Hipervínculo visitado" xfId="9796" builtinId="9" hidden="1"/>
    <cellStyle name="Hipervínculo visitado" xfId="10404" builtinId="9" hidden="1"/>
    <cellStyle name="Hipervínculo visitado" xfId="7926" builtinId="9" hidden="1"/>
    <cellStyle name="Hipervínculo visitado" xfId="9562" builtinId="9" hidden="1"/>
    <cellStyle name="Hipervínculo visitado" xfId="7180" builtinId="9" hidden="1"/>
    <cellStyle name="Hipervínculo visitado" xfId="8772" builtinId="9" hidden="1"/>
    <cellStyle name="Hipervínculo visitado" xfId="7290" builtinId="9" hidden="1"/>
    <cellStyle name="Hipervínculo visitado" xfId="8076" builtinId="9" hidden="1"/>
    <cellStyle name="Hipervínculo visitado" xfId="8910" builtinId="9" hidden="1"/>
    <cellStyle name="Hipervínculo visitado" xfId="10646" builtinId="9" hidden="1"/>
    <cellStyle name="Hipervínculo visitado" xfId="4256" builtinId="9" hidden="1"/>
    <cellStyle name="Hipervínculo visitado" xfId="6758" builtinId="9" hidden="1"/>
    <cellStyle name="Hipervínculo visitado" xfId="3080" builtinId="9" hidden="1"/>
    <cellStyle name="Hipervínculo visitado" xfId="9134" builtinId="9" hidden="1"/>
    <cellStyle name="Hipervínculo visitado" xfId="8898" builtinId="9" hidden="1"/>
    <cellStyle name="Hipervínculo visitado" xfId="10156" builtinId="9" hidden="1"/>
    <cellStyle name="Hipervínculo visitado" xfId="6304" builtinId="9" hidden="1"/>
    <cellStyle name="Hipervínculo visitado" xfId="3616" builtinId="9" hidden="1"/>
    <cellStyle name="Hipervínculo visitado" xfId="4496" builtinId="9" hidden="1"/>
    <cellStyle name="Hipervínculo visitado" xfId="4134" builtinId="9" hidden="1"/>
    <cellStyle name="Hipervínculo visitado" xfId="4586" builtinId="9" hidden="1"/>
    <cellStyle name="Hipervínculo visitado" xfId="2124" builtinId="9" hidden="1"/>
    <cellStyle name="Hipervínculo visitado" xfId="10950" builtinId="9" hidden="1"/>
    <cellStyle name="Hipervínculo visitado" xfId="8956" builtinId="9" hidden="1"/>
    <cellStyle name="Hipervínculo visitado" xfId="1868" builtinId="9" hidden="1"/>
    <cellStyle name="Hipervínculo visitado" xfId="9646" builtinId="9" hidden="1"/>
    <cellStyle name="Hipervínculo visitado" xfId="1404" builtinId="9" hidden="1"/>
    <cellStyle name="Hipervínculo visitado" xfId="864" builtinId="9" hidden="1"/>
    <cellStyle name="Hipervínculo visitado" xfId="10222" builtinId="9" hidden="1"/>
    <cellStyle name="Hipervínculo visitado" xfId="10474" builtinId="9" hidden="1"/>
    <cellStyle name="Hipervínculo visitado" xfId="2122" builtinId="9" hidden="1"/>
    <cellStyle name="Hipervínculo visitado" xfId="1310" builtinId="9" hidden="1"/>
    <cellStyle name="Hipervínculo visitado" xfId="1392" builtinId="9" hidden="1"/>
    <cellStyle name="Hipervínculo visitado" xfId="3664" builtinId="9" hidden="1"/>
    <cellStyle name="Hipervínculo visitado" xfId="3836" builtinId="9" hidden="1"/>
    <cellStyle name="Hipervínculo visitado" xfId="4096" builtinId="9" hidden="1"/>
    <cellStyle name="Hipervínculo visitado" xfId="2470" builtinId="9" hidden="1"/>
    <cellStyle name="Hipervínculo visitado" xfId="668" builtinId="9" hidden="1"/>
    <cellStyle name="Hipervínculo visitado" xfId="1110" builtinId="9" hidden="1"/>
    <cellStyle name="Hipervínculo visitado" xfId="4926" builtinId="9" hidden="1"/>
    <cellStyle name="Hipervínculo visitado" xfId="10354" builtinId="9" hidden="1"/>
    <cellStyle name="Hipervínculo visitado" xfId="3124" builtinId="9" hidden="1"/>
    <cellStyle name="Hipervínculo visitado" xfId="3192" builtinId="9" hidden="1"/>
    <cellStyle name="Hipervínculo visitado" xfId="6734" builtinId="9" hidden="1"/>
    <cellStyle name="Hipervínculo visitado" xfId="5012" builtinId="9" hidden="1"/>
    <cellStyle name="Hipervínculo visitado" xfId="1660" builtinId="9" hidden="1"/>
    <cellStyle name="Hipervínculo visitado" xfId="5104" builtinId="9" hidden="1"/>
    <cellStyle name="Hipervínculo visitado" xfId="5554" builtinId="9" hidden="1"/>
    <cellStyle name="Hipervínculo visitado" xfId="4656" builtinId="9" hidden="1"/>
    <cellStyle name="Hipervínculo visitado" xfId="2490" builtinId="9" hidden="1"/>
    <cellStyle name="Hipervínculo visitado" xfId="4752" builtinId="9" hidden="1"/>
    <cellStyle name="Hipervínculo visitado" xfId="8720" builtinId="9" hidden="1"/>
    <cellStyle name="Hipervínculo visitado" xfId="5200" builtinId="9" hidden="1"/>
    <cellStyle name="Hipervínculo visitado" xfId="6066" builtinId="9" hidden="1"/>
    <cellStyle name="Hipervínculo visitado" xfId="6032" builtinId="9" hidden="1"/>
    <cellStyle name="Hipervínculo visitado" xfId="2888" builtinId="9" hidden="1"/>
    <cellStyle name="Hipervínculo visitado" xfId="348" builtinId="9" hidden="1"/>
    <cellStyle name="Hipervínculo visitado" xfId="2466" builtinId="9" hidden="1"/>
    <cellStyle name="Hipervínculo visitado" xfId="4372" builtinId="9" hidden="1"/>
    <cellStyle name="Hipervínculo visitado" xfId="1322" builtinId="9" hidden="1"/>
    <cellStyle name="Hipervínculo visitado" xfId="6850" builtinId="9" hidden="1"/>
    <cellStyle name="Hipervínculo visitado" xfId="8480" builtinId="9" hidden="1"/>
    <cellStyle name="Hipervínculo visitado" xfId="1188" builtinId="9" hidden="1"/>
    <cellStyle name="Hipervínculo visitado" xfId="3156" builtinId="9" hidden="1"/>
    <cellStyle name="Hipervínculo visitado" xfId="3922" builtinId="9" hidden="1"/>
    <cellStyle name="Hipervínculo visitado" xfId="7406" builtinId="9" hidden="1"/>
    <cellStyle name="Hipervínculo visitado" xfId="6252" builtinId="9" hidden="1"/>
    <cellStyle name="Hipervínculo visitado" xfId="5932" builtinId="9" hidden="1"/>
    <cellStyle name="Hipervínculo visitado" xfId="3834" builtinId="9" hidden="1"/>
    <cellStyle name="Hipervínculo visitado" xfId="204" builtinId="9" hidden="1"/>
    <cellStyle name="Hipervínculo visitado" xfId="3218" builtinId="9" hidden="1"/>
    <cellStyle name="Hipervínculo visitado" xfId="216" builtinId="9" hidden="1"/>
    <cellStyle name="Hipervínculo visitado" xfId="5444" builtinId="9" hidden="1"/>
    <cellStyle name="Hipervínculo visitado" xfId="1328" builtinId="9" hidden="1"/>
    <cellStyle name="Hipervínculo visitado" xfId="120" builtinId="9" hidden="1"/>
    <cellStyle name="Hipervínculo visitado" xfId="2472" builtinId="9" hidden="1"/>
    <cellStyle name="Hipervínculo visitado" xfId="10708" builtinId="9" hidden="1"/>
    <cellStyle name="Hipervínculo visitado" xfId="5764" builtinId="9" hidden="1"/>
    <cellStyle name="Hipervínculo visitado" xfId="10320" builtinId="9" hidden="1"/>
    <cellStyle name="Hipervínculo visitado" xfId="6826" builtinId="9" hidden="1"/>
    <cellStyle name="Hipervínculo visitado" xfId="3220" builtinId="9" hidden="1"/>
    <cellStyle name="Hipervínculo visitado" xfId="1670" builtinId="9" hidden="1"/>
    <cellStyle name="Hipervínculo visitado" xfId="6424" builtinId="9" hidden="1"/>
    <cellStyle name="Hipervínculo visitado" xfId="1804" builtinId="9" hidden="1"/>
    <cellStyle name="Hipervínculo visitado" xfId="9612" builtinId="9" hidden="1"/>
    <cellStyle name="Hipervínculo visitado" xfId="4842" builtinId="9" hidden="1"/>
    <cellStyle name="Hipervínculo visitado" xfId="9330" builtinId="9" hidden="1"/>
    <cellStyle name="Hipervínculo visitado" xfId="4950" builtinId="9" hidden="1"/>
    <cellStyle name="Hipervínculo visitado" xfId="8782" builtinId="9" hidden="1"/>
    <cellStyle name="Hipervínculo visitado" xfId="292" builtinId="9" hidden="1"/>
    <cellStyle name="Hipervínculo visitado" xfId="4230" builtinId="9" hidden="1"/>
    <cellStyle name="Hipervínculo visitado" xfId="7006" builtinId="9" hidden="1"/>
    <cellStyle name="Hipervínculo visitado" xfId="4476" builtinId="9" hidden="1"/>
    <cellStyle name="Hipervínculo visitado" xfId="4474" builtinId="9" hidden="1"/>
    <cellStyle name="Hipervínculo visitado" xfId="11004" builtinId="9" hidden="1"/>
    <cellStyle name="Hipervínculo visitado" xfId="524" builtinId="9" hidden="1"/>
    <cellStyle name="Hipervínculo visitado" xfId="6818" builtinId="9" hidden="1"/>
    <cellStyle name="Hipervínculo visitado" xfId="1258" builtinId="9" hidden="1"/>
    <cellStyle name="Hipervínculo visitado" xfId="3918" builtinId="9" hidden="1"/>
    <cellStyle name="Hipervínculo visitado" xfId="2568" builtinId="9" hidden="1"/>
    <cellStyle name="Hipervínculo visitado" xfId="7274" builtinId="9" hidden="1"/>
    <cellStyle name="Hipervínculo visitado" xfId="3568" builtinId="9" hidden="1"/>
    <cellStyle name="Hipervínculo visitado" xfId="2400" builtinId="9" hidden="1"/>
    <cellStyle name="Hipervínculo visitado" xfId="5262" builtinId="9" hidden="1"/>
    <cellStyle name="Hipervínculo visitado" xfId="9574" builtinId="9" hidden="1"/>
    <cellStyle name="Hipervínculo visitado" xfId="11056" builtinId="9" hidden="1"/>
    <cellStyle name="Hipervínculo visitado" xfId="10408" builtinId="9" hidden="1"/>
    <cellStyle name="Hipervínculo visitado" xfId="10250" builtinId="9" hidden="1"/>
    <cellStyle name="Hipervínculo visitado" xfId="3288" builtinId="9" hidden="1"/>
    <cellStyle name="Hipervínculo visitado" xfId="4794" builtinId="9" hidden="1"/>
    <cellStyle name="Hipervínculo visitado" xfId="6664" builtinId="9" hidden="1"/>
    <cellStyle name="Hipervínculo visitado" xfId="10254" builtinId="9" hidden="1"/>
    <cellStyle name="Hipervínculo visitado" xfId="2684" builtinId="9" hidden="1"/>
    <cellStyle name="Hipervínculo visitado" xfId="7528" builtinId="9" hidden="1"/>
    <cellStyle name="Hipervínculo visitado" xfId="2012" builtinId="9" hidden="1"/>
    <cellStyle name="Hipervínculo visitado" xfId="70" builtinId="9" hidden="1"/>
    <cellStyle name="Hipervínculo visitado" xfId="2454" builtinId="9" hidden="1"/>
    <cellStyle name="Hipervínculo visitado" xfId="10044" builtinId="9" hidden="1"/>
    <cellStyle name="Hipervínculo visitado" xfId="1490" builtinId="9" hidden="1"/>
    <cellStyle name="Hipervínculo visitado" xfId="8146" builtinId="9" hidden="1"/>
    <cellStyle name="Hipervínculo visitado" xfId="9288" builtinId="9" hidden="1"/>
    <cellStyle name="Hipervínculo visitado" xfId="8198" builtinId="9" hidden="1"/>
    <cellStyle name="Hipervínculo visitado" xfId="10042" builtinId="9" hidden="1"/>
    <cellStyle name="Hipervínculo visitado" xfId="10440" builtinId="9" hidden="1"/>
    <cellStyle name="Hipervínculo visitado" xfId="10704" builtinId="9" hidden="1"/>
    <cellStyle name="Hipervínculo visitado" xfId="6748" builtinId="9" hidden="1"/>
    <cellStyle name="Hipervínculo visitado" xfId="4446" builtinId="9" hidden="1"/>
    <cellStyle name="Hipervínculo visitado" xfId="2856" builtinId="9" hidden="1"/>
    <cellStyle name="Hipervínculo visitado" xfId="4696" builtinId="9" hidden="1"/>
    <cellStyle name="Hipervínculo visitado" xfId="2268" builtinId="9" hidden="1"/>
    <cellStyle name="Hipervínculo visitado" xfId="7362" builtinId="9" hidden="1"/>
    <cellStyle name="Hipervínculo visitado" xfId="9748" builtinId="9" hidden="1"/>
    <cellStyle name="Hipervínculo visitado" xfId="7856" builtinId="9" hidden="1"/>
    <cellStyle name="Hipervínculo visitado" xfId="7802" builtinId="9" hidden="1"/>
    <cellStyle name="Hipervínculo visitado" xfId="10202" builtinId="9" hidden="1"/>
    <cellStyle name="Hipervínculo visitado" xfId="7036" builtinId="9" hidden="1"/>
    <cellStyle name="Hipervínculo visitado" xfId="1658" builtinId="9" hidden="1"/>
    <cellStyle name="Hipervínculo visitado" xfId="7236" builtinId="9" hidden="1"/>
    <cellStyle name="Hipervínculo visitado" xfId="3868" builtinId="9" hidden="1"/>
    <cellStyle name="Hipervínculo visitado" xfId="1474" builtinId="9" hidden="1"/>
    <cellStyle name="Hipervínculo visitado" xfId="10310" builtinId="9" hidden="1"/>
    <cellStyle name="Hipervínculo visitado" xfId="68" builtinId="9" hidden="1"/>
    <cellStyle name="Hipervínculo visitado" xfId="10214" builtinId="9" hidden="1"/>
    <cellStyle name="Hipervínculo visitado" xfId="7540" builtinId="9" hidden="1"/>
    <cellStyle name="Hipervínculo visitado" xfId="6700" builtinId="9" hidden="1"/>
    <cellStyle name="Hipervínculo visitado" xfId="94" builtinId="9" hidden="1"/>
    <cellStyle name="Hipervínculo visitado" xfId="10114" builtinId="9" hidden="1"/>
    <cellStyle name="Hipervínculo visitado" xfId="5468" builtinId="9" hidden="1"/>
    <cellStyle name="Hipervínculo visitado" xfId="10554" builtinId="9" hidden="1"/>
    <cellStyle name="Hipervínculo visitado" xfId="1578" builtinId="9" hidden="1"/>
    <cellStyle name="Hipervínculo visitado" xfId="4274" builtinId="9" hidden="1"/>
    <cellStyle name="Hipervínculo visitado" xfId="2414" builtinId="9" hidden="1"/>
    <cellStyle name="Hipervínculo visitado" xfId="8544" builtinId="9" hidden="1"/>
    <cellStyle name="Hipervínculo visitado" xfId="7372" builtinId="9" hidden="1"/>
    <cellStyle name="Hipervínculo visitado" xfId="2076" builtinId="9" hidden="1"/>
    <cellStyle name="Hipervínculo visitado" xfId="1198" builtinId="9" hidden="1"/>
    <cellStyle name="Hipervínculo visitado" xfId="3504" builtinId="9" hidden="1"/>
    <cellStyle name="Hipervínculo visitado" xfId="4458" builtinId="9" hidden="1"/>
    <cellStyle name="Hipervínculo visitado" xfId="2050" builtinId="9" hidden="1"/>
    <cellStyle name="Hipervínculo visitado" xfId="5820" builtinId="9" hidden="1"/>
    <cellStyle name="Hipervínculo visitado" xfId="800" builtinId="9" hidden="1"/>
    <cellStyle name="Hipervínculo visitado" xfId="9770" builtinId="9" hidden="1"/>
    <cellStyle name="Hipervínculo visitado" xfId="7048" builtinId="9" hidden="1"/>
    <cellStyle name="Hipervínculo visitado" xfId="1400" builtinId="9" hidden="1"/>
    <cellStyle name="Hipervínculo visitado" xfId="9314" builtinId="9" hidden="1"/>
    <cellStyle name="Hipervínculo visitado" xfId="4720" builtinId="9" hidden="1"/>
    <cellStyle name="Hipervínculo visitado" xfId="4566" builtinId="9" hidden="1"/>
    <cellStyle name="Hipervínculo visitado" xfId="10668" builtinId="9" hidden="1"/>
    <cellStyle name="Hipervínculo visitado" xfId="9736" builtinId="9" hidden="1"/>
    <cellStyle name="Hipervínculo visitado" xfId="3272" builtinId="9" hidden="1"/>
    <cellStyle name="Hipervínculo visitado" xfId="2068" builtinId="9" hidden="1"/>
    <cellStyle name="Hipervínculo visitado" xfId="7288" builtinId="9" hidden="1"/>
    <cellStyle name="Hipervínculo visitado" xfId="4902" builtinId="9" hidden="1"/>
    <cellStyle name="Hipervínculo visitado" xfId="4506" builtinId="9" hidden="1"/>
    <cellStyle name="Hipervínculo visitado" xfId="6320" builtinId="9" hidden="1"/>
    <cellStyle name="Hipervínculo visitado" xfId="8148" builtinId="9" hidden="1"/>
    <cellStyle name="Hipervínculo visitado" xfId="5442" builtinId="9" hidden="1"/>
    <cellStyle name="Hipervínculo visitado" xfId="10122" builtinId="9" hidden="1"/>
    <cellStyle name="Hipervínculo visitado" xfId="2492" builtinId="9" hidden="1"/>
    <cellStyle name="Hipervínculo visitado" xfId="7678" builtinId="9" hidden="1"/>
    <cellStyle name="Hipervínculo visitado" xfId="224" builtinId="9" hidden="1"/>
    <cellStyle name="Hipervínculo visitado" xfId="4826" builtinId="9" hidden="1"/>
    <cellStyle name="Hipervínculo visitado" xfId="6986" builtinId="9" hidden="1"/>
    <cellStyle name="Hipervínculo visitado" xfId="950" builtinId="9" hidden="1"/>
    <cellStyle name="Hipervínculo visitado" xfId="2334" builtinId="9" hidden="1"/>
    <cellStyle name="Hipervínculo visitado" xfId="4088" builtinId="9" hidden="1"/>
    <cellStyle name="Hipervínculo visitado" xfId="4798" builtinId="9" hidden="1"/>
    <cellStyle name="Hipervínculo visitado" xfId="756" builtinId="9" hidden="1"/>
    <cellStyle name="Hipervínculo visitado" xfId="8084" builtinId="9" hidden="1"/>
    <cellStyle name="Hipervínculo visitado" xfId="11054" builtinId="9" hidden="1"/>
    <cellStyle name="Hipervínculo visitado" xfId="3644" builtinId="9" hidden="1"/>
    <cellStyle name="Hipervínculo visitado" xfId="5584" builtinId="9" hidden="1"/>
    <cellStyle name="Hipervínculo visitado" xfId="9550" builtinId="9" hidden="1"/>
    <cellStyle name="Hipervínculo visitado" xfId="3456" builtinId="9" hidden="1"/>
    <cellStyle name="Hipervínculo visitado" xfId="5680" builtinId="9" hidden="1"/>
    <cellStyle name="Hipervínculo visitado" xfId="10470" builtinId="9" hidden="1"/>
    <cellStyle name="Hipervínculo visitado" xfId="1456" builtinId="9" hidden="1"/>
    <cellStyle name="Hipervínculo visitado" xfId="2716" builtinId="9" hidden="1"/>
    <cellStyle name="Hipervínculo visitado" xfId="10276" builtinId="9" hidden="1"/>
    <cellStyle name="Hipervínculo visitado" xfId="2634" builtinId="9" hidden="1"/>
    <cellStyle name="Hipervínculo visitado" xfId="4160" builtinId="9" hidden="1"/>
    <cellStyle name="Hipervínculo visitado" xfId="9204" builtinId="9" hidden="1"/>
    <cellStyle name="Hipervínculo visitado" xfId="2604" builtinId="9" hidden="1"/>
    <cellStyle name="Hipervínculo visitado" xfId="3304" builtinId="9" hidden="1"/>
    <cellStyle name="Hipervínculo visitado" xfId="6178" builtinId="9" hidden="1"/>
    <cellStyle name="Hipervínculo visitado" xfId="300" builtinId="9" hidden="1"/>
    <cellStyle name="Hipervínculo visitado" xfId="6072" builtinId="9" hidden="1"/>
    <cellStyle name="Hipervínculo visitado" xfId="7390" builtinId="9" hidden="1"/>
    <cellStyle name="Hipervínculo visitado" xfId="7478" builtinId="9" hidden="1"/>
    <cellStyle name="Hipervínculo visitado" xfId="9558" builtinId="9" hidden="1"/>
    <cellStyle name="Hipervínculo visitado" xfId="10134" builtinId="9" hidden="1"/>
    <cellStyle name="Hipervínculo visitado" xfId="8286" builtinId="9" hidden="1"/>
    <cellStyle name="Hipervínculo visitado" xfId="5782" builtinId="9" hidden="1"/>
    <cellStyle name="Hipervínculo visitado" xfId="2996" builtinId="9" hidden="1"/>
    <cellStyle name="Hipervínculo visitado" xfId="9862" builtinId="9" hidden="1"/>
    <cellStyle name="Hipervínculo visitado" xfId="6480" builtinId="9" hidden="1"/>
    <cellStyle name="Hipervínculo visitado" xfId="6400" builtinId="9" hidden="1"/>
    <cellStyle name="Hipervínculo visitado" xfId="2332" builtinId="9" hidden="1"/>
    <cellStyle name="Hipervínculo visitado" xfId="7680" builtinId="9" hidden="1"/>
    <cellStyle name="Hipervínculo visitado" xfId="3730" builtinId="9" hidden="1"/>
    <cellStyle name="Hipervínculo visitado" xfId="8000" builtinId="9" hidden="1"/>
    <cellStyle name="Hipervínculo visitado" xfId="8068" builtinId="9" hidden="1"/>
    <cellStyle name="Hipervínculo visitado" xfId="2196" builtinId="9" hidden="1"/>
    <cellStyle name="Hipervínculo visitado" xfId="5334" builtinId="9" hidden="1"/>
    <cellStyle name="Hipervínculo visitado" xfId="6452" builtinId="9" hidden="1"/>
    <cellStyle name="Hipervínculo visitado" xfId="9502" builtinId="9" hidden="1"/>
    <cellStyle name="Hipervínculo visitado" xfId="10776" builtinId="9" hidden="1"/>
    <cellStyle name="Hipervínculo visitado" xfId="10348" builtinId="9" hidden="1"/>
    <cellStyle name="Hipervínculo visitado" xfId="3540" builtinId="9" hidden="1"/>
    <cellStyle name="Hipervínculo visitado" xfId="6156" builtinId="9" hidden="1"/>
    <cellStyle name="Hipervínculo visitado" xfId="6590" builtinId="9" hidden="1"/>
    <cellStyle name="Hipervínculo visitado" xfId="1976" builtinId="9" hidden="1"/>
    <cellStyle name="Hipervínculo visitado" xfId="3382" builtinId="9" hidden="1"/>
    <cellStyle name="Hipervínculo visitado" xfId="2428" builtinId="9" hidden="1"/>
    <cellStyle name="Hipervínculo visitado" xfId="7054" builtinId="9" hidden="1"/>
    <cellStyle name="Hipervínculo visitado" xfId="8548" builtinId="9" hidden="1"/>
    <cellStyle name="Hipervínculo visitado" xfId="10166" builtinId="9" hidden="1"/>
    <cellStyle name="Hipervínculo visitado" xfId="3642" builtinId="9" hidden="1"/>
    <cellStyle name="Hipervínculo visitado" xfId="6170" builtinId="9" hidden="1"/>
    <cellStyle name="Hipervínculo visitado" xfId="7168" builtinId="9" hidden="1"/>
    <cellStyle name="Hipervínculo visitado" xfId="6584" builtinId="9" hidden="1"/>
    <cellStyle name="Hipervínculo visitado" xfId="7302" builtinId="9" hidden="1"/>
    <cellStyle name="Hipervínculo visitado" xfId="7694" builtinId="9" hidden="1"/>
    <cellStyle name="Hipervínculo visitado" xfId="8694" builtinId="9" hidden="1"/>
    <cellStyle name="Hipervínculo visitado" xfId="4636" builtinId="9" hidden="1"/>
    <cellStyle name="Hipervínculo visitado" xfId="2850" builtinId="9" hidden="1"/>
    <cellStyle name="Hipervínculo visitado" xfId="250" builtinId="9" hidden="1"/>
    <cellStyle name="Hipervínculo visitado" xfId="5624" builtinId="9" hidden="1"/>
    <cellStyle name="Hipervínculo visitado" xfId="64" builtinId="9" hidden="1"/>
    <cellStyle name="Hipervínculo visitado" xfId="4142" builtinId="9" hidden="1"/>
    <cellStyle name="Hipervínculo visitado" xfId="2180" builtinId="9" hidden="1"/>
    <cellStyle name="Hipervínculo visitado" xfId="8472" builtinId="9" hidden="1"/>
    <cellStyle name="Hipervínculo visitado" xfId="3386" builtinId="9" hidden="1"/>
    <cellStyle name="Hipervínculo visitado" xfId="8134" builtinId="9" hidden="1"/>
    <cellStyle name="Hipervínculo visitado" xfId="7882" builtinId="9" hidden="1"/>
    <cellStyle name="Hipervínculo visitado" xfId="1160" builtinId="9" hidden="1"/>
    <cellStyle name="Hipervínculo visitado" xfId="2950" builtinId="9" hidden="1"/>
    <cellStyle name="Hipervínculo visitado" xfId="4806" builtinId="9" hidden="1"/>
    <cellStyle name="Hipervínculo visitado" xfId="102" builtinId="9" hidden="1"/>
    <cellStyle name="Hipervínculo visitado" xfId="264" builtinId="9" hidden="1"/>
    <cellStyle name="Hipervínculo visitado" xfId="1576" builtinId="9" hidden="1"/>
    <cellStyle name="Hipervínculo visitado" xfId="6102" builtinId="9" hidden="1"/>
    <cellStyle name="Hipervínculo visitado" xfId="9724" builtinId="9" hidden="1"/>
    <cellStyle name="Hipervínculo visitado" xfId="6100" builtinId="9" hidden="1"/>
    <cellStyle name="Hipervínculo visitado" xfId="3028" builtinId="9" hidden="1"/>
    <cellStyle name="Hipervínculo visitado" xfId="6742" builtinId="9" hidden="1"/>
    <cellStyle name="Hipervínculo visitado" xfId="3164" builtinId="9" hidden="1"/>
    <cellStyle name="Hipervínculo visitado" xfId="1004" builtinId="9" hidden="1"/>
    <cellStyle name="Hipervínculo visitado" xfId="4436" builtinId="9" hidden="1"/>
    <cellStyle name="Hipervínculo visitado" xfId="6598" builtinId="9" hidden="1"/>
    <cellStyle name="Hipervínculo visitado" xfId="1152" builtinId="9" hidden="1"/>
    <cellStyle name="Hipervínculo visitado" xfId="80" builtinId="9" hidden="1"/>
    <cellStyle name="Hipervínculo visitado" xfId="252" builtinId="9" hidden="1"/>
    <cellStyle name="Hipervínculo visitado" xfId="76" builtinId="9" hidden="1"/>
    <cellStyle name="Hipervínculo visitado" xfId="10308" builtinId="9" hidden="1"/>
    <cellStyle name="Hipervínculo visitado" xfId="1046" builtinId="9" hidden="1"/>
    <cellStyle name="Hipervínculo visitado" xfId="1430" builtinId="9" hidden="1"/>
    <cellStyle name="Hipervínculo visitado" xfId="4828" builtinId="9" hidden="1"/>
    <cellStyle name="Hipervínculo visitado" xfId="7350" builtinId="9" hidden="1"/>
    <cellStyle name="Hipervínculo visitado" xfId="9156" builtinId="9" hidden="1"/>
    <cellStyle name="Hipervínculo visitado" xfId="7084" builtinId="9" hidden="1"/>
    <cellStyle name="Hipervínculo visitado" xfId="344" builtinId="9" hidden="1"/>
    <cellStyle name="Hipervínculo visitado" xfId="5966" builtinId="9" hidden="1"/>
    <cellStyle name="Hipervínculo visitado" xfId="6868" builtinId="9" hidden="1"/>
    <cellStyle name="Hipervínculo visitado" xfId="3668" builtinId="9" hidden="1"/>
    <cellStyle name="Hipervínculo visitado" xfId="10206" builtinId="9" hidden="1"/>
    <cellStyle name="Hipervínculo visitado" xfId="9198" builtinId="9" hidden="1"/>
    <cellStyle name="Hipervínculo visitado" xfId="9546" builtinId="9" hidden="1"/>
    <cellStyle name="Hipervínculo visitado" xfId="2900" builtinId="9" hidden="1"/>
    <cellStyle name="Hipervínculo visitado" xfId="7598" builtinId="9" hidden="1"/>
    <cellStyle name="Hipervínculo visitado" xfId="7388" builtinId="9" hidden="1"/>
    <cellStyle name="Hipervínculo visitado" xfId="4552" builtinId="9" hidden="1"/>
    <cellStyle name="Hipervínculo visitado" xfId="8266" builtinId="9" hidden="1"/>
    <cellStyle name="Hipervínculo visitado" xfId="3478" builtinId="9" hidden="1"/>
    <cellStyle name="Hipervínculo visitado" xfId="2728" builtinId="9" hidden="1"/>
    <cellStyle name="Hipervínculo visitado" xfId="4276" builtinId="9" hidden="1"/>
    <cellStyle name="Hipervínculo visitado" xfId="5428" builtinId="9" hidden="1"/>
    <cellStyle name="Hipervínculo visitado" xfId="3038" builtinId="9" hidden="1"/>
    <cellStyle name="Hipervínculo visitado" xfId="8962" builtinId="9" hidden="1"/>
    <cellStyle name="Hipervínculo visitado" xfId="5674" builtinId="9" hidden="1"/>
    <cellStyle name="Hipervínculo visitado" xfId="4688" builtinId="9" hidden="1"/>
    <cellStyle name="Hipervínculo visitado" xfId="4456" builtinId="9" hidden="1"/>
    <cellStyle name="Hipervínculo visitado" xfId="936" builtinId="9" hidden="1"/>
    <cellStyle name="Hipervínculo visitado" xfId="3348" builtinId="9" hidden="1"/>
    <cellStyle name="Hipervínculo visitado" xfId="1220" builtinId="9" hidden="1"/>
    <cellStyle name="Hipervínculo visitado" xfId="6296" builtinId="9" hidden="1"/>
    <cellStyle name="Hipervínculo visitado" xfId="6638" builtinId="9" hidden="1"/>
    <cellStyle name="Hipervínculo visitado" xfId="10818" builtinId="9" hidden="1"/>
    <cellStyle name="Hipervínculo visitado" xfId="5810" builtinId="9" hidden="1"/>
    <cellStyle name="Hipervínculo visitado" xfId="6058" builtinId="9" hidden="1"/>
    <cellStyle name="Hipervínculo visitado" xfId="8052" builtinId="9" hidden="1"/>
    <cellStyle name="Hipervínculo visitado" xfId="5576" builtinId="9" hidden="1"/>
    <cellStyle name="Hipervínculo visitado" xfId="2462" builtinId="9" hidden="1"/>
    <cellStyle name="Hipervínculo visitado" xfId="1044" builtinId="9" hidden="1"/>
    <cellStyle name="Hipervínculo visitado" xfId="412" builtinId="9" hidden="1"/>
    <cellStyle name="Hipervínculo visitado" xfId="2224" builtinId="9" hidden="1"/>
    <cellStyle name="Hipervínculo visitado" xfId="7954" builtinId="9" hidden="1"/>
    <cellStyle name="Hipervínculo visitado" xfId="6506" builtinId="9" hidden="1"/>
    <cellStyle name="Hipervínculo visitado" xfId="1986" builtinId="9" hidden="1"/>
    <cellStyle name="Hipervínculo visitado" xfId="7308" builtinId="9" hidden="1"/>
    <cellStyle name="Hipervínculo visitado" xfId="5274" builtinId="9" hidden="1"/>
    <cellStyle name="Hipervínculo visitado" xfId="3614" builtinId="9" hidden="1"/>
    <cellStyle name="Hipervínculo visitado" xfId="312" builtinId="9" hidden="1"/>
    <cellStyle name="Hipervínculo visitado" xfId="7156" builtinId="9" hidden="1"/>
    <cellStyle name="Hipervínculo visitado" xfId="3822" builtinId="9" hidden="1"/>
    <cellStyle name="Hipervínculo visitado" xfId="2526" builtinId="9" hidden="1"/>
    <cellStyle name="Hipervínculo visitado" xfId="7724" builtinId="9" hidden="1"/>
    <cellStyle name="Hipervínculo visitado" xfId="5516" builtinId="9" hidden="1"/>
    <cellStyle name="Hipervínculo visitado" xfId="1284" builtinId="9" hidden="1"/>
    <cellStyle name="Hipervínculo visitado" xfId="5136" builtinId="9" hidden="1"/>
    <cellStyle name="Hipervínculo visitado" xfId="1118" builtinId="9" hidden="1"/>
    <cellStyle name="Hipervínculo visitado" xfId="4910" builtinId="9" hidden="1"/>
    <cellStyle name="Hipervínculo visitado" xfId="5318" builtinId="9" hidden="1"/>
    <cellStyle name="Hipervínculo visitado" xfId="3378" builtinId="9" hidden="1"/>
    <cellStyle name="Hipervínculo visitado" xfId="7956" builtinId="9" hidden="1"/>
    <cellStyle name="Hipervínculo visitado" xfId="4094" builtinId="9" hidden="1"/>
    <cellStyle name="Hipervínculo visitado" xfId="7692" builtinId="9" hidden="1"/>
    <cellStyle name="Hipervínculo visitado" xfId="10948" builtinId="9" hidden="1"/>
    <cellStyle name="Hipervínculo visitado" xfId="9888" builtinId="9" hidden="1"/>
    <cellStyle name="Hipervínculo visitado" xfId="5160" builtinId="9" hidden="1"/>
    <cellStyle name="Hipervínculo visitado" xfId="3550" builtinId="9" hidden="1"/>
    <cellStyle name="Hipervínculo visitado" xfId="4690" builtinId="9" hidden="1"/>
    <cellStyle name="Hipervínculo visitado" xfId="5488" builtinId="9" hidden="1"/>
    <cellStyle name="Hipervínculo visitado" xfId="3830" builtinId="9" hidden="1"/>
    <cellStyle name="Hipervínculo visitado" xfId="6914" builtinId="9" hidden="1"/>
    <cellStyle name="Hipervínculo visitado" xfId="5676" builtinId="9" hidden="1"/>
    <cellStyle name="Hipervínculo visitado" xfId="3572" builtinId="9" hidden="1"/>
    <cellStyle name="Hipervínculo visitado" xfId="904" builtinId="9" hidden="1"/>
    <cellStyle name="Hipervínculo visitado" xfId="2084" builtinId="9" hidden="1"/>
    <cellStyle name="Hipervínculo visitado" xfId="5398" builtinId="9" hidden="1"/>
    <cellStyle name="Hipervínculo visitado" xfId="1124" builtinId="9" hidden="1"/>
    <cellStyle name="Hipervínculo visitado" xfId="2416" builtinId="9" hidden="1"/>
    <cellStyle name="Hipervínculo visitado" xfId="168" builtinId="9" hidden="1"/>
    <cellStyle name="Hipervínculo visitado" xfId="5622" builtinId="9" hidden="1"/>
    <cellStyle name="Hipervínculo visitado" xfId="3942" builtinId="9" hidden="1"/>
    <cellStyle name="Hipervínculo visitado" xfId="4724" builtinId="9" hidden="1"/>
    <cellStyle name="Hipervínculo visitado" xfId="10728" builtinId="9" hidden="1"/>
    <cellStyle name="Hipervínculo visitado" xfId="4104" builtinId="9" hidden="1"/>
    <cellStyle name="Hipervínculo visitado" xfId="568" builtinId="9" hidden="1"/>
    <cellStyle name="Hipervínculo visitado" xfId="11082" builtinId="9" hidden="1"/>
    <cellStyle name="Hipervínculo visitado" xfId="3182" builtinId="9" hidden="1"/>
    <cellStyle name="Hipervínculo visitado" xfId="5360" builtinId="9" hidden="1"/>
    <cellStyle name="Hipervínculo visitado" xfId="7426" builtinId="9" hidden="1"/>
    <cellStyle name="Hipervínculo visitado" xfId="2504" builtinId="9" hidden="1"/>
    <cellStyle name="Hipervínculo visitado" xfId="9986" builtinId="9" hidden="1"/>
    <cellStyle name="Hipervínculo visitado" xfId="8680" builtinId="9" hidden="1"/>
    <cellStyle name="Hipervínculo visitado" xfId="5982" builtinId="9" hidden="1"/>
    <cellStyle name="Hipervínculo visitado" xfId="2532" builtinId="9" hidden="1"/>
    <cellStyle name="Hipervínculo visitado" xfId="8244" builtinId="9" hidden="1"/>
    <cellStyle name="Hipervínculo visitado" xfId="6662" builtinId="9" hidden="1"/>
    <cellStyle name="Hipervínculo visitado" xfId="4940" builtinId="9" hidden="1"/>
    <cellStyle name="Hipervínculo visitado" xfId="2868" builtinId="9" hidden="1"/>
    <cellStyle name="Hipervínculo visitado" xfId="6394" builtinId="9" hidden="1"/>
    <cellStyle name="Hipervínculo visitado" xfId="2726" builtinId="9" hidden="1"/>
    <cellStyle name="Hipervínculo visitado" xfId="10532" builtinId="9" hidden="1"/>
    <cellStyle name="Hipervínculo visitado" xfId="8518" builtinId="9" hidden="1"/>
    <cellStyle name="Hipervínculo visitado" xfId="398" builtinId="9" hidden="1"/>
    <cellStyle name="Hipervínculo visitado" xfId="10598" builtinId="9" hidden="1"/>
    <cellStyle name="Hipervínculo visitado" xfId="10568" builtinId="9" hidden="1"/>
    <cellStyle name="Hipervínculo visitado" xfId="1962" builtinId="9" hidden="1"/>
    <cellStyle name="Hipervínculo visitado" xfId="10606" builtinId="9" hidden="1"/>
    <cellStyle name="Hipervínculo visitado" xfId="8058" builtinId="9" hidden="1"/>
    <cellStyle name="Hipervínculo visitado" xfId="4644" builtinId="9" hidden="1"/>
    <cellStyle name="Hipervínculo visitado" xfId="4912" builtinId="9" hidden="1"/>
    <cellStyle name="Hipervínculo visitado" xfId="5320" builtinId="9" hidden="1"/>
    <cellStyle name="Hipervínculo visitado" xfId="8352" builtinId="9" hidden="1"/>
    <cellStyle name="Hipervínculo visitado" xfId="9586" builtinId="9" hidden="1"/>
    <cellStyle name="Hipervínculo visitado" xfId="5186" builtinId="9" hidden="1"/>
    <cellStyle name="Hipervínculo visitado" xfId="1902" builtinId="9" hidden="1"/>
    <cellStyle name="Hipervínculo visitado" xfId="290" builtinId="9" hidden="1"/>
    <cellStyle name="Hipervínculo visitado" xfId="3148" builtinId="9" hidden="1"/>
    <cellStyle name="Hipervínculo visitado" xfId="9726" builtinId="9" hidden="1"/>
    <cellStyle name="Hipervínculo visitado" xfId="9352" builtinId="9" hidden="1"/>
    <cellStyle name="Hipervínculo visitado" xfId="8636" builtinId="9" hidden="1"/>
    <cellStyle name="Hipervínculo visitado" xfId="7250" builtinId="9" hidden="1"/>
    <cellStyle name="Hipervínculo visitado" xfId="688" builtinId="9" hidden="1"/>
    <cellStyle name="Hipervínculo visitado" xfId="4868" builtinId="9" hidden="1"/>
    <cellStyle name="Hipervínculo visitado" xfId="4790" builtinId="9" hidden="1"/>
    <cellStyle name="Hipervínculo visitado" xfId="3900" builtinId="9" hidden="1"/>
    <cellStyle name="Hipervínculo visitado" xfId="10416" builtinId="9" hidden="1"/>
    <cellStyle name="Hipervínculo visitado" xfId="3354" builtinId="9" hidden="1"/>
    <cellStyle name="Hipervínculo visitado" xfId="9752" builtinId="9" hidden="1"/>
    <cellStyle name="Hipervínculo visitado" xfId="104" builtinId="9" hidden="1"/>
    <cellStyle name="Hipervínculo visitado" xfId="334" builtinId="9" hidden="1"/>
    <cellStyle name="Hipervínculo visitado" xfId="1506" builtinId="9" hidden="1"/>
    <cellStyle name="Hipervínculo visitado" xfId="10356" builtinId="9" hidden="1"/>
    <cellStyle name="Hipervínculo visitado" xfId="498" builtinId="9" hidden="1"/>
    <cellStyle name="Hipervínculo visitado" xfId="2918" builtinId="9" hidden="1"/>
    <cellStyle name="Hipervínculo visitado" xfId="5204" builtinId="9" hidden="1"/>
    <cellStyle name="Hipervínculo visitado" xfId="9002" builtinId="9" hidden="1"/>
    <cellStyle name="Hipervínculo visitado" xfId="7534" builtinId="9" hidden="1"/>
    <cellStyle name="Hipervínculo visitado" xfId="5152" builtinId="9" hidden="1"/>
    <cellStyle name="Hipervínculo visitado" xfId="1376" builtinId="9" hidden="1"/>
    <cellStyle name="Hipervínculo visitado" xfId="6614" builtinId="9" hidden="1"/>
    <cellStyle name="Hipervínculo visitado" xfId="4526" builtinId="9" hidden="1"/>
    <cellStyle name="Hipervínculo visitado" xfId="4148" builtinId="9" hidden="1"/>
    <cellStyle name="Hipervínculo visitado" xfId="9624" builtinId="9" hidden="1"/>
    <cellStyle name="Hipervínculo visitado" xfId="10620" builtinId="9" hidden="1"/>
    <cellStyle name="Hipervínculo visitado" xfId="10430" builtinId="9" hidden="1"/>
    <cellStyle name="Hipervínculo visitado" xfId="7762" builtinId="9" hidden="1"/>
    <cellStyle name="Hipervínculo visitado" xfId="10514" builtinId="9" hidden="1"/>
    <cellStyle name="Hipervínculo visitado" xfId="4102" builtinId="9" hidden="1"/>
    <cellStyle name="Hipervínculo visitado" xfId="448" builtinId="9" hidden="1"/>
    <cellStyle name="Hipervínculo visitado" xfId="234" builtinId="9" hidden="1"/>
    <cellStyle name="Hipervínculo visitado" xfId="2420" builtinId="9" hidden="1"/>
    <cellStyle name="Hipervínculo visitado" xfId="2312" builtinId="9" hidden="1"/>
    <cellStyle name="Hipervínculo visitado" xfId="672" builtinId="9" hidden="1"/>
    <cellStyle name="Hipervínculo visitado" xfId="10420" builtinId="9" hidden="1"/>
    <cellStyle name="Hipervínculo visitado" xfId="5024" builtinId="9" hidden="1"/>
    <cellStyle name="Hipervínculo visitado" xfId="4402" builtinId="9" hidden="1"/>
    <cellStyle name="Hipervínculo visitado" xfId="1408" builtinId="9" hidden="1"/>
    <cellStyle name="Hipervínculo visitado" xfId="516" builtinId="9" hidden="1"/>
    <cellStyle name="Hipervínculo visitado" xfId="3244" builtinId="9" hidden="1"/>
    <cellStyle name="Hipervínculo visitado" xfId="7358" builtinId="9" hidden="1"/>
    <cellStyle name="Hipervínculo visitado" xfId="654" builtinId="9" hidden="1"/>
    <cellStyle name="Hipervínculo visitado" xfId="3638" builtinId="9" hidden="1"/>
    <cellStyle name="Hipervínculo visitado" xfId="10652" builtinId="9" hidden="1"/>
    <cellStyle name="Hipervínculo visitado" xfId="3118" builtinId="9" hidden="1"/>
    <cellStyle name="Hipervínculo visitado" xfId="8302" builtinId="9" hidden="1"/>
    <cellStyle name="Hipervínculo visitado" xfId="10026" builtinId="9" hidden="1"/>
    <cellStyle name="Hipervínculo visitado" xfId="3438" builtinId="9" hidden="1"/>
    <cellStyle name="Hipervínculo visitado" xfId="3282" builtinId="9" hidden="1"/>
    <cellStyle name="Hipervínculo visitado" xfId="9432" builtinId="9" hidden="1"/>
    <cellStyle name="Hipervínculo visitado" xfId="3024" builtinId="9" hidden="1"/>
    <cellStyle name="Hipervínculo visitado" xfId="7646" builtinId="9" hidden="1"/>
    <cellStyle name="Hipervínculo visitado" xfId="4732" builtinId="9" hidden="1"/>
    <cellStyle name="Hipervínculo visitado" xfId="2162" builtinId="9" hidden="1"/>
    <cellStyle name="Hipervínculo visitado" xfId="9426" builtinId="9" hidden="1"/>
    <cellStyle name="Hipervínculo visitado" xfId="6920" builtinId="9" hidden="1"/>
    <cellStyle name="Hipervínculo visitado" xfId="10364" builtinId="9" hidden="1"/>
    <cellStyle name="Hipervínculo visitado" xfId="3254" builtinId="9" hidden="1"/>
    <cellStyle name="Hipervínculo visitado" xfId="4634" builtinId="9" hidden="1"/>
    <cellStyle name="Hipervínculo visitado" xfId="4550" builtinId="9" hidden="1"/>
    <cellStyle name="Hipervínculo visitado" xfId="4620" builtinId="9" hidden="1"/>
    <cellStyle name="Hipervínculo visitado" xfId="4396" builtinId="9" hidden="1"/>
    <cellStyle name="Hipervínculo visitado" xfId="8398" builtinId="9" hidden="1"/>
    <cellStyle name="Hipervínculo visitado" xfId="3480" builtinId="9" hidden="1"/>
    <cellStyle name="Hipervínculo visitado" xfId="8094" builtinId="9" hidden="1"/>
    <cellStyle name="Hipervínculo visitado" xfId="1390" builtinId="9" hidden="1"/>
    <cellStyle name="Hipervínculo visitado" xfId="10148" builtinId="9" hidden="1"/>
    <cellStyle name="Hipervínculo visitado" xfId="3576" builtinId="9" hidden="1"/>
    <cellStyle name="Hipervínculo visitado" xfId="5494" builtinId="9" hidden="1"/>
    <cellStyle name="Hipervínculo visitado" xfId="10398" builtinId="9" hidden="1"/>
    <cellStyle name="Hipervínculo visitado" xfId="3704" builtinId="9" hidden="1"/>
    <cellStyle name="Hipervínculo visitado" xfId="7600" builtinId="9" hidden="1"/>
    <cellStyle name="Hipervínculo visitado" xfId="3766" builtinId="9" hidden="1"/>
    <cellStyle name="Hipervínculo visitado" xfId="6008" builtinId="9" hidden="1"/>
    <cellStyle name="Hipervínculo visitado" xfId="9898" builtinId="9" hidden="1"/>
    <cellStyle name="Hipervínculo visitado" xfId="1942" builtinId="9" hidden="1"/>
    <cellStyle name="Hipervínculo visitado" xfId="8062" builtinId="9" hidden="1"/>
    <cellStyle name="Hipervínculo visitado" xfId="4272" builtinId="9" hidden="1"/>
    <cellStyle name="Hipervínculo visitado" xfId="2730" builtinId="9" hidden="1"/>
    <cellStyle name="Hipervínculo visitado" xfId="3692" builtinId="9" hidden="1"/>
    <cellStyle name="Hipervínculo visitado" xfId="9414" builtinId="9" hidden="1"/>
    <cellStyle name="Hipervínculo visitado" xfId="8630" builtinId="9" hidden="1"/>
    <cellStyle name="Hipervínculo visitado" xfId="5384" builtinId="9" hidden="1"/>
    <cellStyle name="Hipervínculo visitado" xfId="6012" builtinId="9" hidden="1"/>
    <cellStyle name="Hipervínculo visitado" xfId="7938" builtinId="9" hidden="1"/>
    <cellStyle name="Hipervínculo visitado" xfId="242" builtinId="9" hidden="1"/>
    <cellStyle name="Hipervínculo visitado" xfId="10888" builtinId="9" hidden="1"/>
    <cellStyle name="Hipervínculo visitado" xfId="7228" builtinId="9" hidden="1"/>
    <cellStyle name="Hipervínculo visitado" xfId="10054" builtinId="9" hidden="1"/>
    <cellStyle name="Hipervínculo visitado" xfId="5116" builtinId="9" hidden="1"/>
    <cellStyle name="Hipervínculo visitado" xfId="3042" builtinId="9" hidden="1"/>
    <cellStyle name="Hipervínculo visitado" xfId="5374" builtinId="9" hidden="1"/>
    <cellStyle name="Hipervínculo visitado" xfId="9110" builtinId="9" hidden="1"/>
    <cellStyle name="Hipervínculo visitado" xfId="3468" builtinId="9" hidden="1"/>
    <cellStyle name="Hipervínculo visitado" xfId="5814" builtinId="9" hidden="1"/>
    <cellStyle name="Hipervínculo visitado" xfId="3206" builtinId="9" hidden="1"/>
    <cellStyle name="Hipervínculo visitado" xfId="9220" builtinId="9" hidden="1"/>
    <cellStyle name="Hipervínculo visitado" xfId="5588" builtinId="9" hidden="1"/>
    <cellStyle name="Hipervínculo visitado" xfId="4668" builtinId="9" hidden="1"/>
    <cellStyle name="Hipervínculo visitado" xfId="5578" builtinId="9" hidden="1"/>
    <cellStyle name="Hipervínculo visitado" xfId="6174" builtinId="9" hidden="1"/>
    <cellStyle name="Hipervínculo visitado" xfId="11034" builtinId="9" hidden="1"/>
    <cellStyle name="Hipervínculo visitado" xfId="2862" builtinId="9" hidden="1"/>
    <cellStyle name="Hipervínculo visitado" xfId="6872" builtinId="9" hidden="1"/>
    <cellStyle name="Hipervínculo visitado" xfId="5960" builtinId="9" hidden="1"/>
    <cellStyle name="Hipervínculo visitado" xfId="1248" builtinId="9" hidden="1"/>
    <cellStyle name="Hipervínculo visitado" xfId="1740" builtinId="9" hidden="1"/>
    <cellStyle name="Hipervínculo visitado" xfId="7164" builtinId="9" hidden="1"/>
    <cellStyle name="Hipervínculo visitado" xfId="7378" builtinId="9" hidden="1"/>
    <cellStyle name="Hipervínculo visitado" xfId="8050" builtinId="9" hidden="1"/>
    <cellStyle name="Hipervínculo visitado" xfId="3556" builtinId="9" hidden="1"/>
    <cellStyle name="Hipervínculo visitado" xfId="2664" builtinId="9" hidden="1"/>
    <cellStyle name="Hipervínculo visitado" xfId="5082" builtinId="9" hidden="1"/>
    <cellStyle name="Hipervínculo visitado" xfId="3520" builtinId="9" hidden="1"/>
    <cellStyle name="Hipervínculo visitado" xfId="9262" builtinId="9" hidden="1"/>
    <cellStyle name="Hipervínculo visitado" xfId="2410" builtinId="9" hidden="1"/>
    <cellStyle name="Hipervínculo visitado" xfId="9448" builtinId="9" hidden="1"/>
    <cellStyle name="Hipervínculo visitado" xfId="5052" builtinId="9" hidden="1"/>
    <cellStyle name="Hipervínculo visitado" xfId="132" builtinId="9" hidden="1"/>
    <cellStyle name="Hipervínculo visitado" xfId="9804" builtinId="9" hidden="1"/>
    <cellStyle name="Hipervínculo visitado" xfId="6984" builtinId="9" hidden="1"/>
    <cellStyle name="Hipervínculo visitado" xfId="3846" builtinId="9" hidden="1"/>
    <cellStyle name="Hipervínculo visitado" xfId="5642" builtinId="9" hidden="1"/>
    <cellStyle name="Hipervínculo visitado" xfId="2460" builtinId="9" hidden="1"/>
    <cellStyle name="Hipervínculo visitado" xfId="10080" builtinId="9" hidden="1"/>
    <cellStyle name="Hipervínculo visitado" xfId="7280" builtinId="9" hidden="1"/>
    <cellStyle name="Hipervínculo visitado" xfId="6416" builtinId="9" hidden="1"/>
    <cellStyle name="Hipervínculo visitado" xfId="3946" builtinId="9" hidden="1"/>
    <cellStyle name="Hipervínculo visitado" xfId="9164" builtinId="9" hidden="1"/>
    <cellStyle name="Hipervínculo visitado" xfId="9902" builtinId="9" hidden="1"/>
    <cellStyle name="Hipervínculo visitado" xfId="96" builtinId="9" hidden="1"/>
    <cellStyle name="Hipervínculo visitado" xfId="1648" builtinId="9" hidden="1"/>
    <cellStyle name="Hipervínculo visitado" xfId="786" builtinId="9" hidden="1"/>
    <cellStyle name="Hipervínculo visitado" xfId="10082" builtinId="9" hidden="1"/>
    <cellStyle name="Hipervínculo visitado" xfId="10074" builtinId="9" hidden="1"/>
    <cellStyle name="Hipervínculo visitado" xfId="1514" builtinId="9" hidden="1"/>
    <cellStyle name="Hipervínculo visitado" xfId="8502" builtinId="9" hidden="1"/>
    <cellStyle name="Hipervínculo visitado" xfId="6278" builtinId="9" hidden="1"/>
    <cellStyle name="Hipervínculo visitado" xfId="4118" builtinId="9" hidden="1"/>
    <cellStyle name="Hipervínculo visitado" xfId="10452" builtinId="9" hidden="1"/>
    <cellStyle name="Hipervínculo visitado" xfId="3008" builtinId="9" hidden="1"/>
    <cellStyle name="Hipervínculo visitado" xfId="5330" builtinId="9" hidden="1"/>
    <cellStyle name="Hipervínculo visitado" xfId="2322" builtinId="9" hidden="1"/>
    <cellStyle name="Hipervínculo visitado" xfId="7978" builtinId="9" hidden="1"/>
    <cellStyle name="Hipervínculo visitado" xfId="7304" builtinId="9" hidden="1"/>
    <cellStyle name="Hipervínculo visitado" xfId="2968" builtinId="9" hidden="1"/>
    <cellStyle name="Hipervínculo visitado" xfId="4778" builtinId="9" hidden="1"/>
    <cellStyle name="Hipervínculo visitado" xfId="8748" builtinId="9" hidden="1"/>
    <cellStyle name="Hipervínculo visitado" xfId="3122" builtinId="9" hidden="1"/>
    <cellStyle name="Hipervínculo visitado" xfId="6160" builtinId="9" hidden="1"/>
    <cellStyle name="Hipervínculo visitado" xfId="8538" builtinId="9" hidden="1"/>
    <cellStyle name="Hipervínculo visitado" xfId="3416" builtinId="9" hidden="1"/>
    <cellStyle name="Hipervínculo visitado" xfId="3874" builtinId="9" hidden="1"/>
    <cellStyle name="Hipervínculo visitado" xfId="8574" builtinId="9" hidden="1"/>
    <cellStyle name="Hipervínculo visitado" xfId="8440" builtinId="9" hidden="1"/>
    <cellStyle name="Hipervínculo visitado" xfId="7644" builtinId="9" hidden="1"/>
    <cellStyle name="Hipervínculo visitado" xfId="1478" builtinId="9" hidden="1"/>
    <cellStyle name="Hipervínculo visitado" xfId="1750" builtinId="9" hidden="1"/>
    <cellStyle name="Hipervínculo visitado" xfId="10632" builtinId="9" hidden="1"/>
    <cellStyle name="Hipervínculo visitado" xfId="994" builtinId="9" hidden="1"/>
    <cellStyle name="Hipervínculo visitado" xfId="4886" builtinId="9" hidden="1"/>
    <cellStyle name="Hipervínculo visitado" xfId="10602" builtinId="9" hidden="1"/>
    <cellStyle name="Hipervínculo visitado" xfId="10188" builtinId="9" hidden="1"/>
    <cellStyle name="Hipervínculo visitado" xfId="4520" builtinId="9" hidden="1"/>
    <cellStyle name="Hipervínculo visitado" xfId="5594" builtinId="9" hidden="1"/>
    <cellStyle name="Hipervínculo visitado" xfId="10850" builtinId="9" hidden="1"/>
    <cellStyle name="Hipervínculo visitado" xfId="9362" builtinId="9" hidden="1"/>
    <cellStyle name="Hipervínculo visitado" xfId="8614" builtinId="9" hidden="1"/>
    <cellStyle name="Hipervínculo visitado" xfId="210" builtinId="9" hidden="1"/>
    <cellStyle name="Hipervínculo visitado" xfId="2612" builtinId="9" hidden="1"/>
    <cellStyle name="Hipervínculo visitado" xfId="9436" builtinId="9" hidden="1"/>
    <cellStyle name="Hipervínculo visitado" xfId="8452" builtinId="9" hidden="1"/>
    <cellStyle name="Hipervínculo visitado" xfId="406" builtinId="9" hidden="1"/>
    <cellStyle name="Hipervínculo visitado" xfId="154" builtinId="9" hidden="1"/>
    <cellStyle name="Hipervínculo visitado" xfId="3306" builtinId="9" hidden="1"/>
    <cellStyle name="Hipervínculo visitado" xfId="6514" builtinId="9" hidden="1"/>
    <cellStyle name="Hipervínculo visitado" xfId="5492" builtinId="9" hidden="1"/>
    <cellStyle name="Hipervínculo visitado" xfId="4572" builtinId="9" hidden="1"/>
    <cellStyle name="Hipervínculo visitado" xfId="10172" builtinId="9" hidden="1"/>
    <cellStyle name="Hipervínculo visitado" xfId="3782" builtinId="9" hidden="1"/>
    <cellStyle name="Hipervínculo visitado" xfId="9964" builtinId="9" hidden="1"/>
    <cellStyle name="Hipervínculo visitado" xfId="7798" builtinId="9" hidden="1"/>
    <cellStyle name="Hipervínculo visitado" xfId="7516" builtinId="9" hidden="1"/>
    <cellStyle name="Hipervínculo visitado" xfId="7820" builtinId="9" hidden="1"/>
    <cellStyle name="Hipervínculo visitado" xfId="4914" builtinId="9" hidden="1"/>
    <cellStyle name="Hipervínculo visitado" xfId="2404" builtinId="9" hidden="1"/>
    <cellStyle name="Hipervínculo visitado" xfId="7522" builtinId="9" hidden="1"/>
    <cellStyle name="Hipervínculo visitado" xfId="5988" builtinId="9" hidden="1"/>
    <cellStyle name="Hipervínculo visitado" xfId="10006" builtinId="9" hidden="1"/>
    <cellStyle name="Hipervínculo visitado" xfId="6220" builtinId="9" hidden="1"/>
    <cellStyle name="Hipervínculo visitado" xfId="5250" builtinId="9" hidden="1"/>
    <cellStyle name="Hipervínculo visitado" xfId="9440" builtinId="9" hidden="1"/>
    <cellStyle name="Hipervínculo visitado" xfId="6676" builtinId="9" hidden="1"/>
    <cellStyle name="Hipervínculo visitado" xfId="2586" builtinId="9" hidden="1"/>
    <cellStyle name="Hipervínculo visitado" xfId="3510" builtinId="9" hidden="1"/>
    <cellStyle name="Hipervínculo visitado" xfId="1466" builtinId="9" hidden="1"/>
    <cellStyle name="Hipervínculo visitado" xfId="6916" builtinId="9" hidden="1"/>
    <cellStyle name="Hipervínculo visitado" xfId="2402" builtinId="9" hidden="1"/>
    <cellStyle name="Hipervínculo visitado" xfId="6120" builtinId="9" hidden="1"/>
    <cellStyle name="Hipervínculo visitado" xfId="2540" builtinId="9" hidden="1"/>
    <cellStyle name="Hipervínculo visitado" xfId="2500" builtinId="9" hidden="1"/>
    <cellStyle name="Hipervínculo visitado" xfId="152" builtinId="9" hidden="1"/>
    <cellStyle name="Hipervínculo visitado" xfId="8558" builtinId="9" hidden="1"/>
    <cellStyle name="Hipervínculo visitado" xfId="1852" builtinId="9" hidden="1"/>
    <cellStyle name="Hipervínculo visitado" xfId="884" builtinId="9" hidden="1"/>
    <cellStyle name="Hipervínculo visitado" xfId="594" builtinId="9" hidden="1"/>
    <cellStyle name="Hipervínculo visitado" xfId="1722" builtinId="9" hidden="1"/>
    <cellStyle name="Hipervínculo visitado" xfId="3240" builtinId="9" hidden="1"/>
    <cellStyle name="Hipervínculo visitado" xfId="2940" builtinId="9" hidden="1"/>
    <cellStyle name="Hipervínculo visitado" xfId="3452" builtinId="9" hidden="1"/>
    <cellStyle name="Hipervínculo visitado" xfId="3998" builtinId="9" hidden="1"/>
    <cellStyle name="Hipervínculo visitado" xfId="1222" builtinId="9" hidden="1"/>
    <cellStyle name="Hipervínculo visitado" xfId="5524" builtinId="9" hidden="1"/>
    <cellStyle name="Hipervínculo visitado" xfId="4006" builtinId="9" hidden="1"/>
    <cellStyle name="Hipervínculo visitado" xfId="5382" builtinId="9" hidden="1"/>
    <cellStyle name="Hipervínculo visitado" xfId="5986" builtinId="9" hidden="1"/>
    <cellStyle name="Hipervínculo visitado" xfId="9236" builtinId="9" hidden="1"/>
    <cellStyle name="Hipervínculo visitado" xfId="9566" builtinId="9" hidden="1"/>
    <cellStyle name="Hipervínculo visitado" xfId="1304" builtinId="9" hidden="1"/>
    <cellStyle name="Hipervínculo visitado" xfId="4952" builtinId="9" hidden="1"/>
    <cellStyle name="Hipervínculo visitado" xfId="1302" builtinId="9" hidden="1"/>
    <cellStyle name="Hipervínculo visitado" xfId="6344" builtinId="9" hidden="1"/>
    <cellStyle name="Hipervínculo visitado" xfId="5688" builtinId="9" hidden="1"/>
    <cellStyle name="Hipervínculo visitado" xfId="2066" builtinId="9" hidden="1"/>
    <cellStyle name="Hipervínculo visitado" xfId="9338" builtinId="9" hidden="1"/>
    <cellStyle name="Hipervínculo visitado" xfId="878" builtinId="9" hidden="1"/>
    <cellStyle name="Hipervínculo visitado" xfId="9672" builtinId="9" hidden="1"/>
    <cellStyle name="Hipervínculo visitado" xfId="7886" builtinId="9" hidden="1"/>
    <cellStyle name="Hipervínculo visitado" xfId="8128" builtinId="9" hidden="1"/>
    <cellStyle name="Hipervínculo visitado" xfId="2406" builtinId="9" hidden="1"/>
    <cellStyle name="Hipervínculo visitado" xfId="10716" builtinId="9" hidden="1"/>
    <cellStyle name="Hipervínculo visitado" xfId="10960" builtinId="9" hidden="1"/>
    <cellStyle name="Hipervínculo visitado" xfId="5510" builtinId="9" hidden="1"/>
    <cellStyle name="Hipervínculo visitado" xfId="9838" builtinId="9" hidden="1"/>
    <cellStyle name="Hipervínculo visitado" xfId="3564" builtinId="9" hidden="1"/>
    <cellStyle name="Hipervínculo visitado" xfId="5256" builtinId="9" hidden="1"/>
    <cellStyle name="Hipervínculo visitado" xfId="130" builtinId="9" hidden="1"/>
    <cellStyle name="Hipervínculo visitado" xfId="9678" builtinId="9" hidden="1"/>
    <cellStyle name="Hipervínculo visitado" xfId="7504" builtinId="9" hidden="1"/>
    <cellStyle name="Hipervínculo visitado" xfId="10594" builtinId="9" hidden="1"/>
    <cellStyle name="Hipervínculo visitado" xfId="5496" builtinId="9" hidden="1"/>
    <cellStyle name="Hipervínculo visitado" xfId="9088" builtinId="9" hidden="1"/>
    <cellStyle name="Hipervínculo visitado" xfId="1380" builtinId="9" hidden="1"/>
    <cellStyle name="Hipervínculo visitado" xfId="7684" builtinId="9" hidden="1"/>
    <cellStyle name="Hipervínculo visitado" xfId="330" builtinId="9" hidden="1"/>
    <cellStyle name="Hipervínculo visitado" xfId="5860" builtinId="9" hidden="1"/>
    <cellStyle name="Hipervínculo visitado" xfId="5670" builtinId="9" hidden="1"/>
    <cellStyle name="Hipervínculo visitado" xfId="3374" builtinId="9" hidden="1"/>
    <cellStyle name="Hipervínculo visitado" xfId="6502" builtinId="9" hidden="1"/>
    <cellStyle name="Hipervínculo visitado" xfId="10684" builtinId="9" hidden="1"/>
    <cellStyle name="Hipervínculo visitado" xfId="5798" builtinId="9" hidden="1"/>
    <cellStyle name="Hipervínculo visitado" xfId="7226" builtinId="9" hidden="1"/>
    <cellStyle name="Hipervínculo visitado" xfId="8632" builtinId="9" hidden="1"/>
    <cellStyle name="Hipervínculo visitado" xfId="244" builtinId="9" hidden="1"/>
    <cellStyle name="Hipervínculo visitado" xfId="4430" builtinId="9" hidden="1"/>
    <cellStyle name="Hipervínculo visitado" xfId="6874" builtinId="9" hidden="1"/>
    <cellStyle name="Hipervínculo visitado" xfId="5400" builtinId="9" hidden="1"/>
    <cellStyle name="Hipervínculo visitado" xfId="2990" builtinId="9" hidden="1"/>
    <cellStyle name="Hipervínculo visitado" xfId="10780" builtinId="9" hidden="1"/>
    <cellStyle name="Hipervínculo visitado" xfId="7474" builtinId="9" hidden="1"/>
    <cellStyle name="Hipervínculo visitado" xfId="3508" builtinId="9" hidden="1"/>
    <cellStyle name="Hipervínculo visitado" xfId="9248" builtinId="9" hidden="1"/>
    <cellStyle name="Hipervínculo visitado" xfId="8418" builtinId="9" hidden="1"/>
    <cellStyle name="Hipervínculo visitado" xfId="500" builtinId="9" hidden="1"/>
    <cellStyle name="Hipervínculo visitado" xfId="10186" builtinId="9" hidden="1"/>
    <cellStyle name="Hipervínculo visitado" xfId="5156" builtinId="9" hidden="1"/>
    <cellStyle name="Hipervínculo visitado" xfId="4390" builtinId="9" hidden="1"/>
    <cellStyle name="Hipervínculo visitado" xfId="442" builtinId="9" hidden="1"/>
    <cellStyle name="Hipervínculo visitado" xfId="2986" builtinId="9" hidden="1"/>
    <cellStyle name="Hipervínculo visitado" xfId="3052" builtinId="9" hidden="1"/>
    <cellStyle name="Hipervínculo visitado" xfId="3626" builtinId="9" hidden="1"/>
    <cellStyle name="Hipervínculo visitado" xfId="7488" builtinId="9" hidden="1"/>
    <cellStyle name="Hipervínculo visitado" xfId="3744" builtinId="9" hidden="1"/>
    <cellStyle name="Hipervínculo visitado" xfId="3990" builtinId="9" hidden="1"/>
    <cellStyle name="Hipervínculo visitado" xfId="3060" builtinId="9" hidden="1"/>
    <cellStyle name="Hipervínculo visitado" xfId="6844" builtinId="9" hidden="1"/>
    <cellStyle name="Hipervínculo visitado" xfId="2706" builtinId="9" hidden="1"/>
    <cellStyle name="Hipervínculo visitado" xfId="10496" builtinId="9" hidden="1"/>
    <cellStyle name="Hipervínculo visitado" xfId="2266" builtinId="9" hidden="1"/>
    <cellStyle name="Hipervínculo visitado" xfId="5914" builtinId="9" hidden="1"/>
    <cellStyle name="Hipervínculo visitado" xfId="5000" builtinId="9" hidden="1"/>
    <cellStyle name="Hipervínculo visitado" xfId="3838" builtinId="9" hidden="1"/>
    <cellStyle name="Hipervínculo visitado" xfId="10180" builtinId="9" hidden="1"/>
    <cellStyle name="Hipervínculo visitado" xfId="7610" builtinId="9" hidden="1"/>
    <cellStyle name="Hipervínculo visitado" xfId="3482" builtinId="9" hidden="1"/>
    <cellStyle name="Hipervínculo visitado" xfId="4602" builtinId="9" hidden="1"/>
    <cellStyle name="Hipervínculo visitado" xfId="6686" builtinId="9" hidden="1"/>
    <cellStyle name="Hipervínculo visitado" xfId="1984" builtinId="9" hidden="1"/>
    <cellStyle name="Hipervínculo visitado" xfId="8994" builtinId="9" hidden="1"/>
    <cellStyle name="Hipervínculo visitado" xfId="2354" builtinId="9" hidden="1"/>
    <cellStyle name="Hipervínculo visitado" xfId="8722" builtinId="9" hidden="1"/>
    <cellStyle name="Hipervínculo visitado" xfId="3472" builtinId="9" hidden="1"/>
    <cellStyle name="Hipervínculo visitado" xfId="4072" builtinId="9" hidden="1"/>
    <cellStyle name="Hipervínculo visitado" xfId="9010" builtinId="9" hidden="1"/>
    <cellStyle name="Hipervínculo visitado" xfId="750" builtinId="9" hidden="1"/>
    <cellStyle name="Hipervínculo visitado" xfId="8526" builtinId="9" hidden="1"/>
    <cellStyle name="Hipervínculo visitado" xfId="4854" builtinId="9" hidden="1"/>
    <cellStyle name="Hipervínculo visitado" xfId="9246" builtinId="9" hidden="1"/>
    <cellStyle name="Hipervínculo visitado" xfId="3216" builtinId="9" hidden="1"/>
    <cellStyle name="Hipervínculo visitado" xfId="4138" builtinId="9" hidden="1"/>
    <cellStyle name="Hipervínculo visitado" xfId="7892" builtinId="9" hidden="1"/>
    <cellStyle name="Hipervínculo visitado" xfId="322" builtinId="9" hidden="1"/>
    <cellStyle name="Hipervínculo visitado" xfId="9016" builtinId="9" hidden="1"/>
    <cellStyle name="Hipervínculo visitado" xfId="2794" builtinId="9" hidden="1"/>
    <cellStyle name="Hipervínculo visitado" xfId="6894" builtinId="9" hidden="1"/>
    <cellStyle name="Hipervínculo visitado" xfId="9194" builtinId="9" hidden="1"/>
    <cellStyle name="Hipervínculo visitado" xfId="9632" builtinId="9" hidden="1"/>
    <cellStyle name="Hipervínculo visitado" xfId="1692" builtinId="9" hidden="1"/>
    <cellStyle name="Hipervínculo visitado" xfId="1920" builtinId="9" hidden="1"/>
    <cellStyle name="Hipervínculo visitado" xfId="10840" builtinId="9" hidden="1"/>
    <cellStyle name="Hipervínculo visitado" xfId="1074" builtinId="9" hidden="1"/>
    <cellStyle name="Hipervínculo visitado" xfId="726" builtinId="9" hidden="1"/>
    <cellStyle name="Hipervínculo visitado" xfId="9148" builtinId="9" hidden="1"/>
    <cellStyle name="Hipervínculo visitado" xfId="2192" builtinId="9" hidden="1"/>
    <cellStyle name="Hipervínculo visitado" xfId="5162" builtinId="9" hidden="1"/>
    <cellStyle name="Hipervínculo visitado" xfId="8036" builtinId="9" hidden="1"/>
    <cellStyle name="Hipervínculo visitado" xfId="7556" builtinId="9" hidden="1"/>
    <cellStyle name="Hipervínculo visitado" xfId="7846" builtinId="9" hidden="1"/>
    <cellStyle name="Hipervínculo visitado" xfId="8328" builtinId="9" hidden="1"/>
    <cellStyle name="Hipervínculo visitado" xfId="2880" builtinId="9" hidden="1"/>
    <cellStyle name="Hipervínculo visitado" xfId="2278" builtinId="9" hidden="1"/>
    <cellStyle name="Hipervínculo visitado" xfId="8382" builtinId="9" hidden="1"/>
    <cellStyle name="Hipervínculo visitado" xfId="3002" builtinId="9" hidden="1"/>
    <cellStyle name="Hipervínculo visitado" xfId="1286" builtinId="9" hidden="1"/>
    <cellStyle name="Hipervínculo visitado" xfId="1612" builtinId="9" hidden="1"/>
    <cellStyle name="Hipervínculo visitado" xfId="6094" builtinId="9" hidden="1"/>
    <cellStyle name="Hipervínculo visitado" xfId="5886" builtinId="9" hidden="1"/>
    <cellStyle name="Hipervínculo visitado" xfId="9680" builtinId="9" hidden="1"/>
    <cellStyle name="Hipervínculo visitado" xfId="7108" builtinId="9" hidden="1"/>
    <cellStyle name="Hipervínculo visitado" xfId="8730" builtinId="9" hidden="1"/>
    <cellStyle name="Hipervínculo visitado" xfId="8360" builtinId="9" hidden="1"/>
    <cellStyle name="Hipervínculo visitado" xfId="1698" builtinId="9" hidden="1"/>
    <cellStyle name="Hipervínculo visitado" xfId="8250" builtinId="9" hidden="1"/>
    <cellStyle name="Hipervínculo visitado" xfId="5010" builtinId="9" hidden="1"/>
    <cellStyle name="Hipervínculo visitado" xfId="4958" builtinId="9" hidden="1"/>
    <cellStyle name="Hipervínculo visitado" xfId="6780" builtinId="9" hidden="1"/>
    <cellStyle name="Hipervínculo visitado" xfId="5862" builtinId="9" hidden="1"/>
    <cellStyle name="Hipervínculo visitado" xfId="5532" builtinId="9" hidden="1"/>
    <cellStyle name="Hipervínculo visitado" xfId="5350" builtinId="9" hidden="1"/>
    <cellStyle name="Hipervínculo visitado" xfId="5812" builtinId="9" hidden="1"/>
    <cellStyle name="Hipervínculo visitado" xfId="4348" builtinId="9" hidden="1"/>
    <cellStyle name="Hipervínculo visitado" xfId="2046" builtinId="9" hidden="1"/>
    <cellStyle name="Hipervínculo visitado" xfId="2756" builtinId="9" hidden="1"/>
    <cellStyle name="Hipervínculo visitado" xfId="8226" builtinId="9" hidden="1"/>
    <cellStyle name="Hipervínculo visitado" xfId="10808" builtinId="9" hidden="1"/>
    <cellStyle name="Hipervínculo visitado" xfId="6090" builtinId="9" hidden="1"/>
    <cellStyle name="Hipervínculo visitado" xfId="3992" builtinId="9" hidden="1"/>
    <cellStyle name="Hipervínculo visitado" xfId="9252" builtinId="9" hidden="1"/>
    <cellStyle name="Hipervínculo visitado" xfId="1932" builtinId="9" hidden="1"/>
    <cellStyle name="Hipervínculo visitado" xfId="8984" builtinId="9" hidden="1"/>
    <cellStyle name="Hipervínculo visitado" xfId="5406" builtinId="9" hidden="1"/>
    <cellStyle name="Hipervínculo visitado" xfId="5100" builtinId="9" hidden="1"/>
    <cellStyle name="Hipervínculo visitado" xfId="7630" builtinId="9" hidden="1"/>
    <cellStyle name="Hipervínculo visitado" xfId="1340" builtinId="9" hidden="1"/>
    <cellStyle name="Hipervínculo visitado" xfId="2258" builtinId="9" hidden="1"/>
    <cellStyle name="Hipervínculo visitado" xfId="504" builtinId="9" hidden="1"/>
    <cellStyle name="Hipervínculo visitado" xfId="10268" builtinId="9" hidden="1"/>
    <cellStyle name="Hipervínculo visitado" xfId="7064" builtinId="9" hidden="1"/>
    <cellStyle name="Hipervínculo visitado" xfId="9694" builtinId="9" hidden="1"/>
    <cellStyle name="Hipervínculo visitado" xfId="564" builtinId="9" hidden="1"/>
    <cellStyle name="Hipervínculo visitado" xfId="2006" builtinId="9" hidden="1"/>
    <cellStyle name="Hipervínculo visitado" xfId="8622" builtinId="9" hidden="1"/>
    <cellStyle name="Hipervínculo visitado" xfId="7376" builtinId="9" hidden="1"/>
    <cellStyle name="Hipervínculo visitado" xfId="1884" builtinId="9" hidden="1"/>
    <cellStyle name="Hipervínculo visitado" xfId="5490" builtinId="9" hidden="1"/>
    <cellStyle name="Hipervínculo visitado" xfId="5788" builtinId="9" hidden="1"/>
    <cellStyle name="Hipervínculo visitado" xfId="9398" builtinId="9" hidden="1"/>
    <cellStyle name="Hipervínculo visitado" xfId="9604" builtinId="9" hidden="1"/>
    <cellStyle name="Hipervínculo visitado" xfId="5888" builtinId="9" hidden="1"/>
    <cellStyle name="Hipervínculo visitado" xfId="4500" builtinId="9" hidden="1"/>
    <cellStyle name="Hipervínculo visitado" xfId="1420" builtinId="9" hidden="1"/>
    <cellStyle name="Hipervínculo visitado" xfId="4870" builtinId="9" hidden="1"/>
    <cellStyle name="Hipervínculo visitado" xfId="58" builtinId="9" hidden="1"/>
    <cellStyle name="Hipervínculo visitado" xfId="8744" builtinId="9" hidden="1"/>
    <cellStyle name="Hipervínculo visitado" xfId="386" builtinId="9" hidden="1"/>
    <cellStyle name="Hipervínculo visitado" xfId="5418" builtinId="9" hidden="1"/>
    <cellStyle name="Hipervínculo visitado" xfId="4576" builtinId="9" hidden="1"/>
    <cellStyle name="Hipervínculo visitado" xfId="10282" builtinId="9" hidden="1"/>
    <cellStyle name="Hipervínculo visitado" xfId="5922" builtinId="9" hidden="1"/>
    <cellStyle name="Hipervínculo visitado" xfId="2508" builtinId="9" hidden="1"/>
    <cellStyle name="Hipervínculo visitado" xfId="4848" builtinId="9" hidden="1"/>
    <cellStyle name="Hipervínculo visitado" xfId="9772" builtinId="9" hidden="1"/>
    <cellStyle name="Hipervínculo visitado" xfId="9764" builtinId="9" hidden="1"/>
    <cellStyle name="Hipervínculo visitado" xfId="8348" builtinId="9" hidden="1"/>
    <cellStyle name="Hipervínculo visitado" xfId="6166" builtinId="9" hidden="1"/>
    <cellStyle name="Hipervínculo visitado" xfId="4248" builtinId="9" hidden="1"/>
    <cellStyle name="Hipervínculo visitado" xfId="604" builtinId="9" hidden="1"/>
    <cellStyle name="Hipervínculo visitado" xfId="2676" builtinId="9" hidden="1"/>
    <cellStyle name="Hipervínculo visitado" xfId="7344" builtinId="9" hidden="1"/>
    <cellStyle name="Hipervínculo visitado" xfId="2692" builtinId="9" hidden="1"/>
    <cellStyle name="Hipervínculo visitado" xfId="5096" builtinId="9" hidden="1"/>
    <cellStyle name="Hipervínculo visitado" xfId="7658" builtinId="9" hidden="1"/>
    <cellStyle name="Hipervínculo visitado" xfId="4164" builtinId="9" hidden="1"/>
    <cellStyle name="Hipervínculo visitado" xfId="8612" builtinId="9" hidden="1"/>
    <cellStyle name="Hipervínculo visitado" xfId="584" builtinId="9" hidden="1"/>
    <cellStyle name="Hipervínculo visitado" xfId="2812" builtinId="9" hidden="1"/>
    <cellStyle name="Hipervínculo visitado" xfId="3774" builtinId="9" hidden="1"/>
    <cellStyle name="Hipervínculo visitado" xfId="3286" builtinId="9" hidden="1"/>
    <cellStyle name="Hipervínculo visitado" xfId="9196" builtinId="9" hidden="1"/>
    <cellStyle name="Hipervínculo visitado" xfId="4010" builtinId="9" hidden="1"/>
    <cellStyle name="Hipervínculo visitado" xfId="2252" builtinId="9" hidden="1"/>
    <cellStyle name="Hipervínculo visitado" xfId="9278" builtinId="9" hidden="1"/>
    <cellStyle name="Hipervínculo visitado" xfId="5486" builtinId="9" hidden="1"/>
    <cellStyle name="Hipervínculo visitado" xfId="8402" builtinId="9" hidden="1"/>
    <cellStyle name="Hipervínculo visitado" xfId="10834" builtinId="9" hidden="1"/>
    <cellStyle name="Hipervínculo visitado" xfId="6330" builtinId="9" hidden="1"/>
    <cellStyle name="Hipervínculo visitado" xfId="1372" builtinId="9" hidden="1"/>
    <cellStyle name="Hipervínculo visitado" xfId="4182" builtinId="9" hidden="1"/>
    <cellStyle name="Hipervínculo visitado" xfId="9696" builtinId="9" hidden="1"/>
    <cellStyle name="Hipervínculo visitado" xfId="454" builtinId="9" hidden="1"/>
    <cellStyle name="Hipervínculo visitado" xfId="10612" builtinId="9" hidden="1"/>
    <cellStyle name="Hipervínculo visitado" xfId="10718" builtinId="9" hidden="1"/>
    <cellStyle name="Hipervínculo visitado" xfId="4284" builtinId="9" hidden="1"/>
    <cellStyle name="Hipervínculo visitado" xfId="4440" builtinId="9" hidden="1"/>
    <cellStyle name="Hipervínculo visitado" xfId="6318" builtinId="9" hidden="1"/>
    <cellStyle name="Hipervínculo visitado" xfId="10836" builtinId="9" hidden="1"/>
    <cellStyle name="Hipervínculo visitado" xfId="2292" builtinId="9" hidden="1"/>
    <cellStyle name="Hipervínculo visitado" xfId="4296" builtinId="9" hidden="1"/>
    <cellStyle name="Hipervínculo visitado" xfId="2668" builtinId="9" hidden="1"/>
    <cellStyle name="Hipervínculo visitado" xfId="4468" builtinId="9" hidden="1"/>
    <cellStyle name="Hipervínculo visitado" xfId="10928" builtinId="9" hidden="1"/>
    <cellStyle name="Hipervínculo visitado" xfId="6674" builtinId="9" hidden="1"/>
    <cellStyle name="Hipervínculo visitado" xfId="7436" builtinId="9" hidden="1"/>
    <cellStyle name="Hipervínculo visitado" xfId="212" builtinId="9" hidden="1"/>
    <cellStyle name="Hipervínculo visitado" xfId="8464" builtinId="9" hidden="1"/>
    <cellStyle name="Hipervínculo visitado" xfId="3670" builtinId="9" hidden="1"/>
    <cellStyle name="Hipervínculo visitado" xfId="6552" builtinId="9" hidden="1"/>
    <cellStyle name="Hipervínculo visitado" xfId="126" builtinId="9" hidden="1"/>
    <cellStyle name="Hipervínculo visitado" xfId="8426" builtinId="9" hidden="1"/>
    <cellStyle name="Hipervínculo visitado" xfId="11060" builtinId="9" hidden="1"/>
    <cellStyle name="Hipervínculo visitado" xfId="3396" builtinId="9" hidden="1"/>
    <cellStyle name="Hipervínculo visitado" xfId="10878" builtinId="9" hidden="1"/>
    <cellStyle name="Hipervínculo visitado" xfId="8460" builtinId="9" hidden="1"/>
    <cellStyle name="Hipervínculo visitado" xfId="9944" builtinId="9" hidden="1"/>
    <cellStyle name="Hipervínculo visitado" xfId="8974" builtinId="9" hidden="1"/>
    <cellStyle name="Hipervínculo visitado" xfId="7418" builtinId="9" hidden="1"/>
    <cellStyle name="Hipervínculo visitado" xfId="3658" builtinId="9" hidden="1"/>
    <cellStyle name="Hipervínculo visitado" xfId="754" builtinId="9" hidden="1"/>
    <cellStyle name="Hipervínculo visitado" xfId="8530" builtinId="9" hidden="1"/>
    <cellStyle name="Hipervínculo visitado" xfId="7712" builtinId="9" hidden="1"/>
    <cellStyle name="Hipervínculo visitado" xfId="9270" builtinId="9" hidden="1"/>
    <cellStyle name="Hipervínculo visitado" xfId="4110" builtinId="9" hidden="1"/>
    <cellStyle name="Hipervínculo visitado" xfId="8686" builtinId="9" hidden="1"/>
    <cellStyle name="Hipervínculo visitado" xfId="3656" builtinId="9" hidden="1"/>
    <cellStyle name="Hipervínculo visitado" xfId="7842" builtinId="9" hidden="1"/>
    <cellStyle name="Hipervínculo visitado" xfId="6334" builtinId="9" hidden="1"/>
    <cellStyle name="Hipervínculo visitado" xfId="268" builtinId="9" hidden="1"/>
    <cellStyle name="Hipervínculo visitado" xfId="7968" builtinId="9" hidden="1"/>
    <cellStyle name="Hipervínculo visitado" xfId="2372" builtinId="9" hidden="1"/>
    <cellStyle name="Hipervínculo visitado" xfId="842" builtinId="9" hidden="1"/>
    <cellStyle name="Hipervínculo visitado" xfId="3362" builtinId="9" hidden="1"/>
    <cellStyle name="Hipervínculo visitado" xfId="714" builtinId="9" hidden="1"/>
    <cellStyle name="Hipervínculo visitado" xfId="1510" builtinId="9" hidden="1"/>
    <cellStyle name="Hipervínculo visitado" xfId="9454" builtinId="9" hidden="1"/>
    <cellStyle name="Hipervínculo visitado" xfId="1458" builtinId="9" hidden="1"/>
    <cellStyle name="Hipervínculo visitado" xfId="5698" builtinId="9" hidden="1"/>
    <cellStyle name="Hipervínculo visitado" xfId="8202" builtinId="9" hidden="1"/>
    <cellStyle name="Hipervínculo visitado" xfId="4318" builtinId="9" hidden="1"/>
    <cellStyle name="Hipervínculo visitado" xfId="6328" builtinId="9" hidden="1"/>
    <cellStyle name="Hipervínculo visitado" xfId="10662" builtinId="9" hidden="1"/>
    <cellStyle name="Hipervínculo visitado" xfId="5248" builtinId="9" hidden="1"/>
    <cellStyle name="Hipervínculo visitado" xfId="9512" builtinId="9" hidden="1"/>
    <cellStyle name="Hipervínculo visitado" xfId="262" builtinId="9" hidden="1"/>
    <cellStyle name="Hipervínculo visitado" xfId="2896" builtinId="9" hidden="1"/>
    <cellStyle name="Hipervínculo visitado" xfId="5196" builtinId="9" hidden="1"/>
    <cellStyle name="Hipervínculo visitado" xfId="378" builtinId="9" hidden="1"/>
    <cellStyle name="Hipervínculo visitado" xfId="6470" builtinId="9" hidden="1"/>
    <cellStyle name="Hipervínculo visitado" xfId="9182" builtinId="9" hidden="1"/>
    <cellStyle name="Hipervínculo visitado" xfId="9318" builtinId="9" hidden="1"/>
    <cellStyle name="Hipervínculo visitado" xfId="7476" builtinId="9" hidden="1"/>
    <cellStyle name="Hipervínculo visitado" xfId="5666" builtinId="9" hidden="1"/>
    <cellStyle name="Hipervínculo visitado" xfId="3720" builtinId="9" hidden="1"/>
    <cellStyle name="Hipervínculo visitado" xfId="10788" builtinId="9" hidden="1"/>
    <cellStyle name="Hipervínculo visitado" xfId="178" builtinId="9" hidden="1"/>
    <cellStyle name="Hipervínculo visitado" xfId="8218" builtinId="9" hidden="1"/>
    <cellStyle name="Hipervínculo visitado" xfId="318" builtinId="9" hidden="1"/>
    <cellStyle name="Hipervínculo visitado" xfId="2146" builtinId="9" hidden="1"/>
    <cellStyle name="Hipervínculo visitado" xfId="6858" builtinId="9" hidden="1"/>
    <cellStyle name="Hipervínculo visitado" xfId="702" builtinId="9" hidden="1"/>
    <cellStyle name="Hipervínculo visitado" xfId="4962" builtinId="9" hidden="1"/>
    <cellStyle name="Hipervínculo visitado" xfId="2898" builtinId="9" hidden="1"/>
    <cellStyle name="Hipervínculo visitado" xfId="1666" builtinId="9" hidden="1"/>
    <cellStyle name="Hipervínculo visitado" xfId="370" builtinId="9" hidden="1"/>
    <cellStyle name="Hipervínculo visitado" xfId="3162" builtinId="9" hidden="1"/>
    <cellStyle name="Hipervínculo visitado" xfId="7674" builtinId="9" hidden="1"/>
    <cellStyle name="Hipervínculo visitado" xfId="1598" builtinId="9" hidden="1"/>
    <cellStyle name="Hipervínculo visitado" xfId="528" builtinId="9" hidden="1"/>
    <cellStyle name="Hipervínculo visitado" xfId="1916" builtinId="9" hidden="1"/>
    <cellStyle name="Hipervínculo visitado" xfId="2364" builtinId="9" hidden="1"/>
    <cellStyle name="Hipervínculo visitado" xfId="2678" builtinId="9" hidden="1"/>
    <cellStyle name="Hipervínculo visitado" xfId="6392" builtinId="9" hidden="1"/>
    <cellStyle name="Hipervínculo visitado" xfId="4410" builtinId="9" hidden="1"/>
    <cellStyle name="Hipervínculo visitado" xfId="11042" builtinId="9" hidden="1"/>
    <cellStyle name="Hipervínculo visitado" xfId="10040" builtinId="9" hidden="1"/>
    <cellStyle name="Hipervínculo visitado" xfId="4044" builtinId="9" hidden="1"/>
    <cellStyle name="Hipervínculo visitado" xfId="8542" builtinId="9" hidden="1"/>
    <cellStyle name="Hipervínculo visitado" xfId="3412" builtinId="9" hidden="1"/>
    <cellStyle name="Hipervínculo visitado" xfId="7146" builtinId="9" hidden="1"/>
    <cellStyle name="Hipervínculo visitado" xfId="1384" builtinId="9" hidden="1"/>
    <cellStyle name="Hipervínculo visitado" xfId="4796" builtinId="9" hidden="1"/>
    <cellStyle name="Hipervínculo visitado" xfId="8846" builtinId="9" hidden="1"/>
    <cellStyle name="Hipervínculo visitado" xfId="4692" builtinId="9" hidden="1"/>
    <cellStyle name="Hipervínculo visitado" xfId="10454" builtinId="9" hidden="1"/>
    <cellStyle name="Hipervínculo visitado" xfId="3376" builtinId="9" hidden="1"/>
    <cellStyle name="Hipervínculo visitado" xfId="4068" builtinId="9" hidden="1"/>
    <cellStyle name="Hipervínculo visitado" xfId="10958" builtinId="9" hidden="1"/>
    <cellStyle name="Hipervínculo visitado" xfId="9660" builtinId="9" hidden="1"/>
    <cellStyle name="Hipervínculo visitado" xfId="7532" builtinId="9" hidden="1"/>
    <cellStyle name="Hipervínculo visitado" xfId="6354" builtinId="9" hidden="1"/>
    <cellStyle name="Hipervínculo visitado" xfId="6958" builtinId="9" hidden="1"/>
    <cellStyle name="Hipervínculo visitado" xfId="1374" builtinId="9" hidden="1"/>
    <cellStyle name="Hipervínculo visitado" xfId="9496" builtinId="9" hidden="1"/>
    <cellStyle name="Hipervínculo visitado" xfId="3318" builtinId="9" hidden="1"/>
    <cellStyle name="Hipervínculo visitado" xfId="1000" builtinId="9" hidden="1"/>
    <cellStyle name="Hipervínculo visitado" xfId="7988" builtinId="9" hidden="1"/>
    <cellStyle name="Hipervínculo visitado" xfId="2380" builtinId="9" hidden="1"/>
    <cellStyle name="Hipervínculo visitado" xfId="5246" builtinId="9" hidden="1"/>
    <cellStyle name="Hipervínculo visitado" xfId="640" builtinId="9" hidden="1"/>
    <cellStyle name="Hipervínculo visitado" xfId="7976" builtinId="9" hidden="1"/>
    <cellStyle name="Hipervínculo visitado" xfId="802" builtinId="9" hidden="1"/>
    <cellStyle name="Hipervínculo visitado" xfId="9548" builtinId="9" hidden="1"/>
    <cellStyle name="Hipervínculo visitado" xfId="1024" builtinId="9" hidden="1"/>
    <cellStyle name="Hipervínculo visitado" xfId="2754" builtinId="9" hidden="1"/>
    <cellStyle name="Hipervínculo visitado" xfId="4170" builtinId="9" hidden="1"/>
    <cellStyle name="Hipervínculo visitado" xfId="6262" builtinId="9" hidden="1"/>
    <cellStyle name="Hipervínculo visitado" xfId="796" builtinId="9" hidden="1"/>
    <cellStyle name="Hipervínculo visitado" xfId="3168" builtinId="9" hidden="1"/>
    <cellStyle name="Hipervínculo visitado" xfId="4092" builtinId="9" hidden="1"/>
    <cellStyle name="Hipervínculo visitado" xfId="2514" builtinId="9" hidden="1"/>
    <cellStyle name="Hipervínculo visitado" xfId="3238" builtinId="9" hidden="1"/>
    <cellStyle name="Hipervínculo visitado" xfId="3424" builtinId="9" hidden="1"/>
    <cellStyle name="Hipervínculo visitado" xfId="5618" builtinId="9" hidden="1"/>
    <cellStyle name="Hipervínculo visitado" xfId="1472" builtinId="9" hidden="1"/>
    <cellStyle name="Hipervínculo visitado" xfId="7414" builtinId="9" hidden="1"/>
    <cellStyle name="Hipervínculo visitado" xfId="7014" builtinId="9" hidden="1"/>
    <cellStyle name="Hipervínculo visitado" xfId="644" builtinId="9" hidden="1"/>
    <cellStyle name="Hipervínculo visitado" xfId="10126" builtinId="9" hidden="1"/>
    <cellStyle name="Hipervínculo visitado" xfId="10524" builtinId="9" hidden="1"/>
    <cellStyle name="Hipervínculo visitado" xfId="5696" builtinId="9" hidden="1"/>
    <cellStyle name="Hipervínculo visitado" xfId="9064" builtinId="9" hidden="1"/>
    <cellStyle name="Hipervínculo visitado" xfId="5304" builtinId="9" hidden="1"/>
    <cellStyle name="Hipervínculo visitado" xfId="6624" builtinId="9" hidden="1"/>
    <cellStyle name="Hipervínculo visitado" xfId="10726" builtinId="9" hidden="1"/>
    <cellStyle name="Hipervínculo visitado" xfId="5498" builtinId="9" hidden="1"/>
    <cellStyle name="Hipervínculo visitado" xfId="1590" builtinId="9" hidden="1"/>
    <cellStyle name="Hipervínculo visitado" xfId="1876" builtinId="9" hidden="1"/>
    <cellStyle name="Hipervínculo visitado" xfId="4992" builtinId="9" hidden="1"/>
    <cellStyle name="Hipervínculo visitado" xfId="10212" builtinId="9" hidden="1"/>
    <cellStyle name="Hipervínculo visitado" xfId="8160" builtinId="9" hidden="1"/>
    <cellStyle name="Hipervínculo visitado" xfId="4168" builtinId="9" hidden="1"/>
    <cellStyle name="Hipervínculo visitado" xfId="6498" builtinId="9" hidden="1"/>
    <cellStyle name="Hipervínculo visitado" xfId="1464" builtinId="9" hidden="1"/>
    <cellStyle name="Hipervínculo visitado" xfId="1832" builtinId="9" hidden="1"/>
    <cellStyle name="Hipervínculo visitado" xfId="2718" builtinId="9" hidden="1"/>
    <cellStyle name="Hipervínculo visitado" xfId="8172" builtinId="9" hidden="1"/>
    <cellStyle name="Hipervínculo visitado" xfId="8284" builtinId="9" hidden="1"/>
    <cellStyle name="Hipervínculo visitado" xfId="636" builtinId="9" hidden="1"/>
    <cellStyle name="Hipervínculo visitado" xfId="362" builtinId="9" hidden="1"/>
    <cellStyle name="Hipervínculo visitado" xfId="6172" builtinId="9" hidden="1"/>
    <cellStyle name="Hipervínculo visitado" xfId="9230" builtinId="9" hidden="1"/>
    <cellStyle name="Hipervínculo visitado" xfId="7392" builtinId="9" hidden="1"/>
    <cellStyle name="Hipervínculo visitado" xfId="7640" builtinId="9" hidden="1"/>
    <cellStyle name="Hipervínculo visitado" xfId="7666" builtinId="9" hidden="1"/>
    <cellStyle name="Hipervínculo visitado" xfId="7774" builtinId="9" hidden="1"/>
    <cellStyle name="Hipervínculo visitado" xfId="852" builtinId="9" hidden="1"/>
    <cellStyle name="Hipervínculo visitado" xfId="7116" builtinId="9" hidden="1"/>
    <cellStyle name="Hipervínculo visitado" xfId="2874" builtinId="9" hidden="1"/>
    <cellStyle name="Hipervínculo visitado" xfId="2670" builtinId="9" hidden="1"/>
    <cellStyle name="Hipervínculo visitado" xfId="788" builtinId="9" hidden="1"/>
    <cellStyle name="Hipervínculo visitado" xfId="8048" builtinId="9" hidden="1"/>
    <cellStyle name="Hipervínculo visitado" xfId="418" builtinId="9" hidden="1"/>
    <cellStyle name="Hipervínculo visitado" xfId="9320" builtinId="9" hidden="1"/>
    <cellStyle name="Hipervínculo visitado" xfId="9274" builtinId="9" hidden="1"/>
    <cellStyle name="Hipervínculo visitado" xfId="6834" builtinId="9" hidden="1"/>
    <cellStyle name="Hipervínculo visitado" xfId="9068" builtinId="9" hidden="1"/>
    <cellStyle name="Hipervínculo visitado" xfId="2832" builtinId="9" hidden="1"/>
    <cellStyle name="Hipervínculo visitado" xfId="7336" builtinId="9" hidden="1"/>
    <cellStyle name="Hipervínculo visitado" xfId="2480" builtinId="9" hidden="1"/>
    <cellStyle name="Hipervínculo visitado" xfId="10990" builtinId="9" hidden="1"/>
    <cellStyle name="Hipervínculo visitado" xfId="5166" builtinId="9" hidden="1"/>
    <cellStyle name="Hipervínculo visitado" xfId="8844" builtinId="9" hidden="1"/>
    <cellStyle name="Hipervínculo visitado" xfId="10916" builtinId="9" hidden="1"/>
    <cellStyle name="Hipervínculo visitado" xfId="7530" builtinId="9" hidden="1"/>
    <cellStyle name="Hipervínculo visitado" xfId="4948" builtinId="9" hidden="1"/>
    <cellStyle name="Hipervínculo visitado" xfId="8950" builtinId="9" hidden="1"/>
    <cellStyle name="Hipervínculo visitado" xfId="4722" builtinId="9" hidden="1"/>
    <cellStyle name="Hipervínculo visitado" xfId="8566" builtinId="9" hidden="1"/>
    <cellStyle name="Hipervínculo visitado" xfId="5636" builtinId="9" hidden="1"/>
    <cellStyle name="Hipervínculo visitado" xfId="1638" builtinId="9" hidden="1"/>
    <cellStyle name="Hipervínculo visitado" xfId="3716" builtinId="9" hidden="1"/>
    <cellStyle name="Hipervínculo visitado" xfId="1736" builtinId="9" hidden="1"/>
    <cellStyle name="Hipervínculo visitado" xfId="1882" builtinId="9" hidden="1"/>
    <cellStyle name="Hipervínculo visitado" xfId="4176" builtinId="9" hidden="1"/>
    <cellStyle name="Hipervínculo visitado" xfId="11028" builtinId="9" hidden="1"/>
    <cellStyle name="Hipervínculo visitado" xfId="7880" builtinId="9" hidden="1"/>
    <cellStyle name="Hipervínculo visitado" xfId="2700" builtinId="9" hidden="1"/>
    <cellStyle name="Hipervínculo visitado" xfId="5518" builtinId="9" hidden="1"/>
    <cellStyle name="Hipervínculo visitado" xfId="10382" builtinId="9" hidden="1"/>
    <cellStyle name="Hipervínculo visitado" xfId="6570" builtinId="9" hidden="1"/>
    <cellStyle name="Hipervínculo visitado" xfId="6490" builtinId="9" hidden="1"/>
    <cellStyle name="Hipervínculo visitado" xfId="9954" builtinId="9" hidden="1"/>
    <cellStyle name="Hipervínculo visitado" xfId="6792" builtinId="9" hidden="1"/>
    <cellStyle name="Hipervínculo visitado" xfId="9988" builtinId="9" hidden="1"/>
    <cellStyle name="Hipervínculo visitado" xfId="5376" builtinId="9" hidden="1"/>
    <cellStyle name="Hipervínculo visitado" xfId="466" builtinId="9" hidden="1"/>
    <cellStyle name="Hipervínculo visitado" xfId="7206" builtinId="9" hidden="1"/>
    <cellStyle name="Hipervínculo visitado" xfId="6778" builtinId="9" hidden="1"/>
    <cellStyle name="Hipervínculo visitado" xfId="302" builtinId="9" hidden="1"/>
    <cellStyle name="Hipervínculo visitado" xfId="3776" builtinId="9" hidden="1"/>
    <cellStyle name="Hipervínculo visitado" xfId="9606" builtinId="9" hidden="1"/>
    <cellStyle name="Hipervínculo visitado" xfId="5352" builtinId="9" hidden="1"/>
    <cellStyle name="Hipervínculo visitado" xfId="9150" builtinId="9" hidden="1"/>
    <cellStyle name="Hipervínculo visitado" xfId="6412" builtinId="9" hidden="1"/>
    <cellStyle name="Hipervínculo visitado" xfId="1190" builtinId="9" hidden="1"/>
    <cellStyle name="Hipervínculo visitado" xfId="2446" builtinId="9" hidden="1"/>
    <cellStyle name="Hipervínculo visitado" xfId="3340" builtinId="9" hidden="1"/>
    <cellStyle name="Hipervínculo visitado" xfId="2324" builtinId="9" hidden="1"/>
    <cellStyle name="Hipervínculo visitado" xfId="5354" builtinId="9" hidden="1"/>
    <cellStyle name="Hipervínculo visitado" xfId="9960" builtinId="9" hidden="1"/>
    <cellStyle name="Hipervínculo visitado" xfId="7632" builtinId="9" hidden="1"/>
    <cellStyle name="Hipervínculo visitado" xfId="1704" builtinId="9" hidden="1"/>
    <cellStyle name="Hipervínculo visitado" xfId="3534" builtinId="9" hidden="1"/>
    <cellStyle name="Hipervínculo visitado" xfId="6532" builtinId="9" hidden="1"/>
    <cellStyle name="Hipervínculo visitado" xfId="4004" builtinId="9" hidden="1"/>
    <cellStyle name="Hipervínculo visitado" xfId="5298" builtinId="9" hidden="1"/>
    <cellStyle name="Hipervínculo visitado" xfId="5500" builtinId="9" hidden="1"/>
    <cellStyle name="Hipervínculo visitado" xfId="2100" builtinId="9" hidden="1"/>
    <cellStyle name="Hipervínculo visitado" xfId="10442" builtinId="9" hidden="1"/>
    <cellStyle name="Hipervínculo visitado" xfId="2300" builtinId="9" hidden="1"/>
    <cellStyle name="Hipervínculo visitado" xfId="140" builtinId="9" hidden="1"/>
    <cellStyle name="Hipervínculo visitado" xfId="2310" builtinId="9" hidden="1"/>
    <cellStyle name="Hipervínculo visitado" xfId="7316" builtinId="9" hidden="1"/>
    <cellStyle name="Hipervínculo visitado" xfId="5654" builtinId="9" hidden="1"/>
    <cellStyle name="Hipervínculo visitado" xfId="8014" builtinId="9" hidden="1"/>
    <cellStyle name="Hipervínculo visitado" xfId="7472" builtinId="9" hidden="1"/>
    <cellStyle name="Hipervínculo visitado" xfId="7730" builtinId="9" hidden="1"/>
    <cellStyle name="Hipervínculo visitado" xfId="6254" builtinId="9" hidden="1"/>
    <cellStyle name="Hipervínculo visitado" xfId="5878" builtinId="9" hidden="1"/>
    <cellStyle name="Hipervínculo visitado" xfId="8774" builtinId="9" hidden="1"/>
    <cellStyle name="Hipervínculo visitado" xfId="960" builtinId="9" hidden="1"/>
    <cellStyle name="Hipervínculo visitado" xfId="10" builtinId="9" hidden="1"/>
    <cellStyle name="Hipervínculo visitado" xfId="6950" builtinId="9" hidden="1"/>
    <cellStyle name="Hipervínculo visitado" xfId="1904" builtinId="9" hidden="1"/>
    <cellStyle name="Hipervínculo visitado" xfId="4936" builtinId="9" hidden="1"/>
    <cellStyle name="Hipervínculo visitado" xfId="3470" builtinId="9" hidden="1"/>
    <cellStyle name="Hipervínculo visitado" xfId="7112" builtinId="9" hidden="1"/>
    <cellStyle name="Hipervínculo visitado" xfId="3546" builtinId="9" hidden="1"/>
    <cellStyle name="Hipervínculo visitado" xfId="7470" builtinId="9" hidden="1"/>
    <cellStyle name="Hipervínculo visitado" xfId="2914" builtinId="9" hidden="1"/>
    <cellStyle name="Hipervínculo visitado" xfId="3558" builtinId="9" hidden="1"/>
    <cellStyle name="Hipervínculo visitado" xfId="4082" builtinId="9" hidden="1"/>
    <cellStyle name="Hipervínculo visitado" xfId="4356" builtinId="9" hidden="1"/>
    <cellStyle name="Hipervínculo visitado" xfId="3120" builtinId="9" hidden="1"/>
    <cellStyle name="Hipervínculo visitado" xfId="840" builtinId="9" hidden="1"/>
    <cellStyle name="Hipervínculo visitado" xfId="3512" builtinId="9" hidden="1"/>
    <cellStyle name="Hipervínculo visitado" xfId="1068" builtinId="9" hidden="1"/>
    <cellStyle name="Hipervínculo visitado" xfId="5550" builtinId="9" hidden="1"/>
    <cellStyle name="Hipervínculo visitado" xfId="10400" builtinId="9" hidden="1"/>
    <cellStyle name="Hipervínculo visitado" xfId="4058" builtinId="9" hidden="1"/>
    <cellStyle name="Hipervínculo visitado" xfId="1246" builtinId="9" hidden="1"/>
    <cellStyle name="Hipervínculo visitado" xfId="9178" builtinId="9" hidden="1"/>
    <cellStyle name="Hipervínculo visitado" xfId="10574" builtinId="9" hidden="1"/>
    <cellStyle name="Hipervínculo visitado" xfId="740" builtinId="9" hidden="1"/>
    <cellStyle name="Hipervínculo visitado" xfId="6618" builtinId="9" hidden="1"/>
    <cellStyle name="Hipervínculo visitado" xfId="7514" builtinId="9" hidden="1"/>
    <cellStyle name="Hipervínculo visitado" xfId="7214" builtinId="9" hidden="1"/>
    <cellStyle name="Hipervínculo visitado" xfId="5896" builtinId="9" hidden="1"/>
    <cellStyle name="Hipervínculo visitado" xfId="624" builtinId="9" hidden="1"/>
    <cellStyle name="Hipervínculo visitado" xfId="7908" builtinId="9" hidden="1"/>
    <cellStyle name="Hipervínculo visitado" xfId="7432" builtinId="9" hidden="1"/>
    <cellStyle name="Hipervínculo visitado" xfId="2710" builtinId="9" hidden="1"/>
    <cellStyle name="Hipervínculo visitado" xfId="9998" builtinId="9" hidden="1"/>
    <cellStyle name="Hipervínculo visitado" xfId="566" builtinId="9" hidden="1"/>
    <cellStyle name="Hipervínculo visitado" xfId="7282" builtinId="9" hidden="1"/>
    <cellStyle name="Hipervínculo visitado" xfId="7972" builtinId="9" hidden="1"/>
    <cellStyle name="Hipervínculo visitado" xfId="9406" builtinId="9" hidden="1"/>
    <cellStyle name="Hipervínculo visitado" xfId="2214" builtinId="9" hidden="1"/>
    <cellStyle name="Hipervínculo visitado" xfId="3864" builtinId="9" hidden="1"/>
    <cellStyle name="Hipervínculo visitado" xfId="4236" builtinId="9" hidden="1"/>
    <cellStyle name="Hipervínculo visitado" xfId="1520" builtinId="9" hidden="1"/>
    <cellStyle name="Hipervínculo visitado" xfId="6600" builtinId="9" hidden="1"/>
    <cellStyle name="Hipervínculo visitado" xfId="174" builtinId="9" hidden="1"/>
    <cellStyle name="Hipervínculo visitado" xfId="9176" builtinId="9" hidden="1"/>
    <cellStyle name="Hipervínculo visitado" xfId="2764" builtinId="9" hidden="1"/>
    <cellStyle name="Hipervínculo visitado" xfId="5610" builtinId="9" hidden="1"/>
    <cellStyle name="Hipervínculo visitado" xfId="572" builtinId="9" hidden="1"/>
    <cellStyle name="Hipervínculo visitado" xfId="6288" builtinId="9" hidden="1"/>
    <cellStyle name="Hipervínculo visitado" xfId="5566" builtinId="9" hidden="1"/>
    <cellStyle name="Hipervínculo visitado" xfId="2188" builtinId="9" hidden="1"/>
    <cellStyle name="Hipervínculo visitado" xfId="8434" builtinId="9" hidden="1"/>
    <cellStyle name="Hipervínculo visitado" xfId="6932" builtinId="9" hidden="1"/>
    <cellStyle name="Hipervínculo visitado" xfId="7148" builtinId="9" hidden="1"/>
    <cellStyle name="Hipervínculo visitado" xfId="8436" builtinId="9" hidden="1"/>
    <cellStyle name="Hipervínculo visitado" xfId="9442" builtinId="9" hidden="1"/>
    <cellStyle name="Hipervínculo visitado" xfId="1398" builtinId="9" hidden="1"/>
    <cellStyle name="Hipervínculo visitado" xfId="10492" builtinId="9" hidden="1"/>
    <cellStyle name="Hipervínculo visitado" xfId="6348" builtinId="9" hidden="1"/>
    <cellStyle name="Hipervínculo visitado" xfId="6132" builtinId="9" hidden="1"/>
    <cellStyle name="Hipervínculo visitado" xfId="9532" builtinId="9" hidden="1"/>
    <cellStyle name="Hipervínculo visitado" xfId="4016" builtinId="9" hidden="1"/>
    <cellStyle name="Hipervínculo visitado" xfId="3906" builtinId="9" hidden="1"/>
    <cellStyle name="Hipervínculo visitado" xfId="7744" builtinId="9" hidden="1"/>
    <cellStyle name="Hipervínculo visitado" xfId="7624" builtinId="9" hidden="1"/>
    <cellStyle name="Hipervínculo visitado" xfId="1352" builtinId="9" hidden="1"/>
    <cellStyle name="Hipervínculo visitado" xfId="9014" builtinId="9" hidden="1"/>
    <cellStyle name="Hipervínculo visitado" xfId="6612" builtinId="9" hidden="1"/>
    <cellStyle name="Hipervínculo visitado" xfId="8908" builtinId="9" hidden="1"/>
    <cellStyle name="Hipervínculo visitado" xfId="5284" builtinId="9" hidden="1"/>
    <cellStyle name="Hipervínculo visitado" xfId="8786" builtinId="9" hidden="1"/>
    <cellStyle name="Hipervínculo visitado" xfId="3652" builtinId="9" hidden="1"/>
    <cellStyle name="Hipervínculo visitado" xfId="988" builtinId="9" hidden="1"/>
    <cellStyle name="Hipervínculo visitado" xfId="1922" builtinId="9" hidden="1"/>
    <cellStyle name="Hipervínculo visitado" xfId="3200" builtinId="9" hidden="1"/>
    <cellStyle name="Hipervínculo visitado" xfId="3896" builtinId="9" hidden="1"/>
    <cellStyle name="Hipervínculo visitado" xfId="3842" builtinId="9" hidden="1"/>
    <cellStyle name="Hipervínculo visitado" xfId="4052" builtinId="9" hidden="1"/>
    <cellStyle name="Hipervínculo visitado" xfId="1558" builtinId="9" hidden="1"/>
    <cellStyle name="Hipervínculo visitado" xfId="8096" builtinId="9" hidden="1"/>
    <cellStyle name="Hipervínculo visitado" xfId="5338" builtinId="9" hidden="1"/>
    <cellStyle name="Hipervínculo visitado" xfId="7580" builtinId="9" hidden="1"/>
    <cellStyle name="Hipervínculo visitado" xfId="8124" builtinId="9" hidden="1"/>
    <cellStyle name="Hipervínculo visitado" xfId="8088" builtinId="9" hidden="1"/>
    <cellStyle name="Hipervínculo visitado" xfId="3494" builtinId="9" hidden="1"/>
    <cellStyle name="Hipervínculo visitado" xfId="10394" builtinId="9" hidden="1"/>
    <cellStyle name="Hipervínculo visitado" xfId="1244" builtinId="9" hidden="1"/>
    <cellStyle name="Hipervínculo visitado" xfId="5102" builtinId="9" hidden="1"/>
    <cellStyle name="Hipervínculo visitado" xfId="9452" builtinId="9" hidden="1"/>
    <cellStyle name="Hipervínculo visitado" xfId="2152" builtinId="9" hidden="1"/>
    <cellStyle name="Hipervínculo visitado" xfId="8838" builtinId="9" hidden="1"/>
    <cellStyle name="Hipervínculo visitado" xfId="6486" builtinId="9" hidden="1"/>
    <cellStyle name="Hipervínculo visitado" xfId="5778" builtinId="9" hidden="1"/>
    <cellStyle name="Hipervínculo visitado" xfId="1594" builtinId="9" hidden="1"/>
    <cellStyle name="Hipervínculo visitado" xfId="6626" builtinId="9" hidden="1"/>
    <cellStyle name="Hipervínculo visitado" xfId="2738" builtinId="9" hidden="1"/>
    <cellStyle name="Hipervínculo visitado" xfId="5868" builtinId="9" hidden="1"/>
    <cellStyle name="Hipervínculo visitado" xfId="228" builtinId="9" hidden="1"/>
    <cellStyle name="Hipervínculo visitado" xfId="2638" builtinId="9" hidden="1"/>
    <cellStyle name="Hipervínculo visitado" xfId="4144" builtinId="9" hidden="1"/>
    <cellStyle name="Hipervínculo visitado" xfId="6176" builtinId="9" hidden="1"/>
    <cellStyle name="Hipervínculo visitado" xfId="4350" builtinId="9" hidden="1"/>
    <cellStyle name="Hipervínculo visitado" xfId="6934" builtinId="9" hidden="1"/>
    <cellStyle name="Hipervínculo visitado" xfId="1546" builtinId="9" hidden="1"/>
    <cellStyle name="Hipervínculo visitado" xfId="6186" builtinId="9" hidden="1"/>
    <cellStyle name="Hipervínculo visitado" xfId="10038" builtinId="9" hidden="1"/>
    <cellStyle name="Hipervínculo visitado" xfId="8658" builtinId="9" hidden="1"/>
    <cellStyle name="Hipervínculo visitado" xfId="10588" builtinId="9" hidden="1"/>
    <cellStyle name="Hipervínculo visitado" xfId="10260" builtinId="9" hidden="1"/>
    <cellStyle name="Hipervínculo visitado" xfId="1770" builtinId="9" hidden="1"/>
    <cellStyle name="Hipervínculo visitado" xfId="7726" builtinId="9" hidden="1"/>
    <cellStyle name="Hipervínculo visitado" xfId="7166" builtinId="9" hidden="1"/>
    <cellStyle name="Hipervínculo visitado" xfId="9086" builtinId="9" hidden="1"/>
    <cellStyle name="Hipervínculo visitado" xfId="10494" builtinId="9" hidden="1"/>
    <cellStyle name="Hipervínculo visitado" xfId="3878" builtinId="9" hidden="1"/>
    <cellStyle name="Hipervínculo visitado" xfId="9410" builtinId="9" hidden="1"/>
    <cellStyle name="Hipervínculo visitado" xfId="6368" builtinId="9" hidden="1"/>
    <cellStyle name="Hipervínculo visitado" xfId="3392" builtinId="9" hidden="1"/>
    <cellStyle name="Hipervínculo visitado" xfId="5300" builtinId="9" hidden="1"/>
    <cellStyle name="Hipervínculo visitado" xfId="6282" builtinId="9" hidden="1"/>
    <cellStyle name="Hipervínculo visitado" xfId="4268" builtinId="9" hidden="1"/>
    <cellStyle name="Hipervínculo visitado" xfId="2018" builtinId="9" hidden="1"/>
    <cellStyle name="Hipervínculo visitado" xfId="470" builtinId="9" hidden="1"/>
    <cellStyle name="Hipervínculo visitado" xfId="2510" builtinId="9" hidden="1"/>
    <cellStyle name="Hipervínculo visitado" xfId="9474" builtinId="9" hidden="1"/>
    <cellStyle name="Hipervínculo visitado" xfId="10510" builtinId="9" hidden="1"/>
    <cellStyle name="Hipervínculo visitado" xfId="9750" builtinId="9" hidden="1"/>
    <cellStyle name="Hipervínculo visitado" xfId="6680" builtinId="9" hidden="1"/>
    <cellStyle name="Hipervínculo visitado" xfId="482" builtinId="9" hidden="1"/>
    <cellStyle name="Hipervínculo visitado" xfId="8444" builtinId="9" hidden="1"/>
    <cellStyle name="Hipervínculo visitado" xfId="3170" builtinId="9" hidden="1"/>
    <cellStyle name="Hipervínculo visitado" xfId="2008" builtinId="9" hidden="1"/>
    <cellStyle name="Hipervínculo visitado" xfId="8420" builtinId="9" hidden="1"/>
    <cellStyle name="Hipervínculo visitado" xfId="6592" builtinId="9" hidden="1"/>
    <cellStyle name="Hipervínculo visitado" xfId="10124" builtinId="9" hidden="1"/>
    <cellStyle name="Hipervínculo visitado" xfId="6314" builtinId="9" hidden="1"/>
    <cellStyle name="Hipervínculo visitado" xfId="4320" builtinId="9" hidden="1"/>
    <cellStyle name="Hipervínculo visitado" xfId="8122" builtinId="9" hidden="1"/>
    <cellStyle name="Hipervínculo visitado" xfId="2628" builtinId="9" hidden="1"/>
    <cellStyle name="Hipervínculo visitado" xfId="6728" builtinId="9" hidden="1"/>
    <cellStyle name="Hipervínculo visitado" xfId="8424" builtinId="9" hidden="1"/>
    <cellStyle name="Hipervínculo visitado" xfId="6448" builtinId="9" hidden="1"/>
    <cellStyle name="Hipervínculo visitado" xfId="9500" builtinId="9" hidden="1"/>
    <cellStyle name="Hipervínculo visitado" xfId="278" builtinId="9" hidden="1"/>
    <cellStyle name="Hipervínculo visitado" xfId="2184" builtinId="9" hidden="1"/>
    <cellStyle name="Hipervínculo visitado" xfId="9024" builtinId="9" hidden="1"/>
    <cellStyle name="Hipervínculo visitado" xfId="3578" builtinId="9" hidden="1"/>
    <cellStyle name="Hipervínculo visitado" xfId="9100" builtinId="9" hidden="1"/>
    <cellStyle name="Hipervínculo visitado" xfId="1730" builtinId="9" hidden="1"/>
    <cellStyle name="Hipervínculo visitado" xfId="256" builtinId="9" hidden="1"/>
    <cellStyle name="Hipervínculo visitado" xfId="8190" builtinId="9" hidden="1"/>
    <cellStyle name="Hipervínculo visitado" xfId="798" builtinId="9" hidden="1"/>
    <cellStyle name="Hipervínculo visitado" xfId="7246" builtinId="9" hidden="1"/>
    <cellStyle name="Hipervínculo visitado" xfId="5954" builtinId="9" hidden="1"/>
    <cellStyle name="Hipervínculo visitado" xfId="6434" builtinId="9" hidden="1"/>
    <cellStyle name="Hipervínculo visitado" xfId="6142" builtinId="9" hidden="1"/>
    <cellStyle name="Hipervínculo visitado" xfId="10112" builtinId="9" hidden="1"/>
    <cellStyle name="Hipervínculo visitado" xfId="4370" builtinId="9" hidden="1"/>
    <cellStyle name="Hipervínculo visitado" xfId="7450" builtinId="9" hidden="1"/>
    <cellStyle name="Hipervínculo visitado" xfId="8812" builtinId="9" hidden="1"/>
    <cellStyle name="Hipervínculo visitado" xfId="4976" builtinId="9" hidden="1"/>
    <cellStyle name="Hipervínculo visitado" xfId="7940" builtinId="9" hidden="1"/>
    <cellStyle name="Hipervínculo visitado" xfId="7524" builtinId="9" hidden="1"/>
    <cellStyle name="Hipervínculo visitado" xfId="5836" builtinId="9" hidden="1"/>
    <cellStyle name="Hipervínculo visitado" xfId="6652" builtinId="9" hidden="1"/>
    <cellStyle name="Hipervínculo visitado" xfId="10926" builtinId="9" hidden="1"/>
    <cellStyle name="Hipervínculo visitado" xfId="3444" builtinId="9" hidden="1"/>
    <cellStyle name="Hipervínculo visitado" xfId="6526" builtinId="9" hidden="1"/>
    <cellStyle name="Hipervínculo visitado" xfId="4116" builtinId="9" hidden="1"/>
    <cellStyle name="Hipervínculo visitado" xfId="2096" builtinId="9" hidden="1"/>
    <cellStyle name="Hipervínculo visitado" xfId="2616" builtinId="9" hidden="1"/>
    <cellStyle name="Hipervínculo visitado" xfId="8824" builtinId="9" hidden="1"/>
    <cellStyle name="Hipervínculo visitado" xfId="2172" builtinId="9" hidden="1"/>
    <cellStyle name="Hipervínculo visitado" xfId="4394" builtinId="9" hidden="1"/>
    <cellStyle name="Hipervínculo visitado" xfId="7496" builtinId="9" hidden="1"/>
    <cellStyle name="Hipervínculo visitado" xfId="1820" builtinId="9" hidden="1"/>
    <cellStyle name="Hipervínculo visitado" xfId="1422" builtinId="9" hidden="1"/>
    <cellStyle name="Hipervínculo visitado" xfId="8628" builtinId="9" hidden="1"/>
    <cellStyle name="Hipervínculo visitado" xfId="1974" builtinId="9" hidden="1"/>
    <cellStyle name="Hipervínculo visitado" xfId="328" builtinId="9" hidden="1"/>
    <cellStyle name="Hipervínculo visitado" xfId="1498" builtinId="9" hidden="1"/>
    <cellStyle name="Hipervínculo visitado" xfId="10634" builtinId="9" hidden="1"/>
    <cellStyle name="Hipervínculo visitado" xfId="10174" builtinId="9" hidden="1"/>
    <cellStyle name="Hipervínculo visitado" xfId="6942" builtinId="9" hidden="1"/>
    <cellStyle name="Hipervínculo visitado" xfId="8390" builtinId="9" hidden="1"/>
    <cellStyle name="Hipervínculo visitado" xfId="6946" builtinId="9" hidden="1"/>
    <cellStyle name="Hipervínculo visitado" xfId="5006" builtinId="9" hidden="1"/>
    <cellStyle name="Hipervínculo visitado" xfId="10414" builtinId="9" hidden="1"/>
    <cellStyle name="Hipervínculo visitado" xfId="4578" builtinId="9" hidden="1"/>
    <cellStyle name="Hipervínculo visitado" xfId="1012" builtinId="9" hidden="1"/>
    <cellStyle name="Hipervínculo visitado" xfId="6202" builtinId="9" hidden="1"/>
    <cellStyle name="Hipervínculo visitado" xfId="638" builtinId="9" hidden="1"/>
    <cellStyle name="Hipervínculo visitado" xfId="984" builtinId="9" hidden="1"/>
    <cellStyle name="Hipervínculo visitado" xfId="792" builtinId="9" hidden="1"/>
    <cellStyle name="Hipervínculo visitado" xfId="10140" builtinId="9" hidden="1"/>
    <cellStyle name="Hipervínculo visitado" xfId="10014" builtinId="9" hidden="1"/>
    <cellStyle name="Hipervínculo visitado" xfId="1588" builtinId="9" hidden="1"/>
    <cellStyle name="Hipervínculo visitado" xfId="4100" builtinId="9" hidden="1"/>
    <cellStyle name="Hipervínculo visitado" xfId="8086" builtinId="9" hidden="1"/>
    <cellStyle name="Hipervínculo visitado" xfId="11030" builtinId="9" hidden="1"/>
    <cellStyle name="Hipervínculo visitado" xfId="836" builtinId="9" hidden="1"/>
    <cellStyle name="Hipervínculo visitado" xfId="2004" builtinId="9" hidden="1"/>
    <cellStyle name="Hipervínculo visitado" xfId="6418" builtinId="9" hidden="1"/>
    <cellStyle name="Hipervínculo visitado" xfId="7812" builtinId="9" hidden="1"/>
    <cellStyle name="Hipervínculo visitado" xfId="9434" builtinId="9" hidden="1"/>
    <cellStyle name="Hipervínculo visitado" xfId="2144" builtinId="9" hidden="1"/>
    <cellStyle name="Hipervínculo visitado" xfId="5744" builtinId="9" hidden="1"/>
    <cellStyle name="Hipervínculo visitado" xfId="192" builtinId="9" hidden="1"/>
    <cellStyle name="Hipervínculo visitado" xfId="1926" builtinId="9" hidden="1"/>
    <cellStyle name="Hipervínculo visitado" xfId="86" builtinId="9" hidden="1"/>
    <cellStyle name="Hipervínculo visitado" xfId="3324" builtinId="9" hidden="1"/>
    <cellStyle name="Hipervínculo visitado" xfId="9666" builtinId="9" hidden="1"/>
    <cellStyle name="Hipervínculo visitado" xfId="6974" builtinId="9" hidden="1"/>
    <cellStyle name="Hipervínculo visitado" xfId="10346" builtinId="9" hidden="1"/>
    <cellStyle name="Hipervínculo visitado" xfId="6744" builtinId="9" hidden="1"/>
    <cellStyle name="Hipervínculo visitado" xfId="6216" builtinId="9" hidden="1"/>
    <cellStyle name="Hipervínculo visitado" xfId="4414" builtinId="9" hidden="1"/>
    <cellStyle name="Hipervínculo visitado" xfId="6436" builtinId="9" hidden="1"/>
    <cellStyle name="Hipervínculo visitado" xfId="5328" builtinId="9" hidden="1"/>
    <cellStyle name="Hipervínculo visitado" xfId="3034" builtinId="9" hidden="1"/>
    <cellStyle name="Hipervínculo visitado" xfId="4740" builtinId="9" hidden="1"/>
    <cellStyle name="Hipervínculo visitado" xfId="7708" builtinId="9" hidden="1"/>
    <cellStyle name="Hipervínculo visitado" xfId="5572" builtinId="9" hidden="1"/>
    <cellStyle name="Hipervínculo visitado" xfId="7824" builtinId="9" hidden="1"/>
    <cellStyle name="Hipervínculo visitado" xfId="5466" builtinId="9" hidden="1"/>
    <cellStyle name="Hipervínculo visitado" xfId="3018" builtinId="9" hidden="1"/>
    <cellStyle name="Hipervínculo visitado" xfId="5770" builtinId="9" hidden="1"/>
    <cellStyle name="Hipervínculo visitado" xfId="4574" builtinId="9" hidden="1"/>
    <cellStyle name="Hipervínculo visitado" xfId="8736" builtinId="9" hidden="1"/>
    <cellStyle name="Hipervínculo visitado" xfId="1298" builtinId="9" hidden="1"/>
    <cellStyle name="Hipervínculo visitado" xfId="4716" builtinId="9" hidden="1"/>
    <cellStyle name="Hipervínculo visitado" xfId="8098" builtinId="9" hidden="1"/>
    <cellStyle name="Hipervínculo visitado" xfId="3088" builtinId="9" hidden="1"/>
    <cellStyle name="Hipervínculo visitado" xfId="4762" builtinId="9" hidden="1"/>
    <cellStyle name="Hipervínculo visitado" xfId="1312" builtinId="9" hidden="1"/>
    <cellStyle name="Hipervínculo visitado" xfId="9576" builtinId="9" hidden="1"/>
    <cellStyle name="Hipervínculo visitado" xfId="6928" builtinId="9" hidden="1"/>
    <cellStyle name="Hipervínculo visitado" xfId="9580" builtinId="9" hidden="1"/>
    <cellStyle name="Hipervínculo visitado" xfId="770" builtinId="9" hidden="1"/>
    <cellStyle name="Hipervínculo visitado" xfId="9826" builtinId="9" hidden="1"/>
    <cellStyle name="Hipervínculo visitado" xfId="1334" builtinId="9" hidden="1"/>
    <cellStyle name="Hipervínculo visitado" xfId="9296" builtinId="9" hidden="1"/>
    <cellStyle name="Hipervínculo visitado" xfId="6908" builtinId="9" hidden="1"/>
    <cellStyle name="Hipervínculo visitado" xfId="6714" builtinId="9" hidden="1"/>
    <cellStyle name="Hipervínculo visitado" xfId="9034" builtinId="9" hidden="1"/>
    <cellStyle name="Hipervínculo visitado" xfId="5746" builtinId="9" hidden="1"/>
    <cellStyle name="Hipervínculo visitado" xfId="11046" builtinId="9" hidden="1"/>
    <cellStyle name="Hipervínculo visitado" xfId="676" builtinId="9" hidden="1"/>
    <cellStyle name="Hipervínculo visitado" xfId="5892" builtinId="9" hidden="1"/>
    <cellStyle name="Hipervínculo visitado" xfId="1102" builtinId="9" hidden="1"/>
    <cellStyle name="Hipervínculo visitado" xfId="9070" builtinId="9" hidden="1"/>
    <cellStyle name="Hipervínculo visitado" xfId="10258" builtinId="9" hidden="1"/>
    <cellStyle name="Hipervínculo visitado" xfId="8100" builtinId="9" hidden="1"/>
    <cellStyle name="Hipervínculo visitado" xfId="9560" builtinId="9" hidden="1"/>
    <cellStyle name="Hipervínculo visitado" xfId="3270" builtinId="9" hidden="1"/>
    <cellStyle name="Hipervínculo visitado" xfId="3016" builtinId="9" hidden="1"/>
    <cellStyle name="Hipervínculo visitado" xfId="8644" builtinId="9" hidden="1"/>
    <cellStyle name="Hipervínculo visitado" xfId="7000" builtinId="9" hidden="1"/>
    <cellStyle name="Hipervínculo visitado" xfId="6582" builtinId="9" hidden="1"/>
    <cellStyle name="Hipervínculo visitado" xfId="10378" builtinId="9" hidden="1"/>
    <cellStyle name="Hipervínculo visitado" xfId="10092" builtinId="9" hidden="1"/>
    <cellStyle name="Hipervínculo visitado" xfId="5606" builtinId="9" hidden="1"/>
    <cellStyle name="Hipervínculo visitado" xfId="10028" builtinId="9" hidden="1"/>
    <cellStyle name="Hipervínculo visitado" xfId="1350" builtinId="9" hidden="1"/>
    <cellStyle name="Hipervínculo visitado" xfId="2518" builtinId="9" hidden="1"/>
    <cellStyle name="Hipervínculo visitado" xfId="7258" builtinId="9" hidden="1"/>
    <cellStyle name="Hipervínculo visitado" xfId="7152" builtinId="9" hidden="1"/>
    <cellStyle name="Hipervínculo visitado" xfId="3904" builtinId="9" hidden="1"/>
    <cellStyle name="Hipervínculo visitado" xfId="4054" builtinId="9" hidden="1"/>
    <cellStyle name="Hipervínculo visitado" xfId="10432" builtinId="9" hidden="1"/>
    <cellStyle name="Hipervínculo visitado" xfId="10862" builtinId="9" hidden="1"/>
    <cellStyle name="Hipervínculo visitado" xfId="6210" builtinId="9" hidden="1"/>
    <cellStyle name="Hipervínculo visitado" xfId="8888" builtinId="9" hidden="1"/>
    <cellStyle name="Hipervínculo visitado" xfId="6236" builtinId="9" hidden="1"/>
    <cellStyle name="Hipervínculo visitado" xfId="2098" builtinId="9" hidden="1"/>
    <cellStyle name="Hipervínculo visitado" xfId="8684" builtinId="9" hidden="1"/>
    <cellStyle name="Hipervínculo visitado" xfId="6512" builtinId="9" hidden="1"/>
    <cellStyle name="Hipervínculo visitado" xfId="2824" builtinId="9" hidden="1"/>
    <cellStyle name="Hipervínculo visitado" xfId="1082" builtinId="9" hidden="1"/>
    <cellStyle name="Hipervínculo visitado" xfId="14" builtinId="9" hidden="1"/>
    <cellStyle name="Hipervínculo visitado" xfId="4286" builtinId="9" hidden="1"/>
    <cellStyle name="Hipervínculo visitado" xfId="8380" builtinId="9" hidden="1"/>
    <cellStyle name="Hipervínculo visitado" xfId="4622" builtinId="9" hidden="1"/>
    <cellStyle name="Hipervínculo visitado" xfId="3430" builtinId="9" hidden="1"/>
    <cellStyle name="Hipervínculo visitado" xfId="4050" builtinId="9" hidden="1"/>
    <cellStyle name="Hipervínculo visitado" xfId="5452" builtinId="9" hidden="1"/>
    <cellStyle name="Hipervínculo visitado" xfId="3612" builtinId="9" hidden="1"/>
    <cellStyle name="Hipervínculo visitado" xfId="5544" builtinId="9" hidden="1"/>
    <cellStyle name="Hipervínculo visitado" xfId="946" builtinId="9" hidden="1"/>
    <cellStyle name="Hipervínculo visitado" xfId="3500" builtinId="9" hidden="1"/>
    <cellStyle name="Hipervínculo visitado" xfId="10966" builtinId="9" hidden="1"/>
    <cellStyle name="Hipervínculo visitado" xfId="7898" builtinId="9" hidden="1"/>
    <cellStyle name="Hipervínculo visitado" xfId="2424" builtinId="9" hidden="1"/>
    <cellStyle name="Hipervínculo visitado" xfId="618" builtinId="9" hidden="1"/>
    <cellStyle name="Hipervínculo visitado" xfId="5302" builtinId="9" hidden="1"/>
    <cellStyle name="Hipervínculo visitado" xfId="966" builtinId="9" hidden="1"/>
    <cellStyle name="Hipervínculo visitado" xfId="3662" builtinId="9" hidden="1"/>
    <cellStyle name="Hipervínculo visitado" xfId="3068" builtinId="9" hidden="1"/>
    <cellStyle name="Hipervínculo visitado" xfId="2828" builtinId="9" hidden="1"/>
    <cellStyle name="Hipervínculo visitado" xfId="2770" builtinId="9" hidden="1"/>
    <cellStyle name="Hipervínculo visitado" xfId="5236" builtinId="9" hidden="1"/>
    <cellStyle name="Hipervínculo visitado" xfId="5120" builtinId="9" hidden="1"/>
    <cellStyle name="Hipervínculo visitado" xfId="4942" builtinId="9" hidden="1"/>
    <cellStyle name="Hipervínculo visitado" xfId="4802" builtinId="9" hidden="1"/>
    <cellStyle name="Hipervínculo visitado" xfId="10342" builtinId="9" hidden="1"/>
    <cellStyle name="Hipervínculo visitado" xfId="1860" builtinId="9" hidden="1"/>
    <cellStyle name="Hipervínculo visitado" xfId="4000" builtinId="9" hidden="1"/>
    <cellStyle name="Hipervínculo visitado" xfId="7716" builtinId="9" hidden="1"/>
    <cellStyle name="Hipervínculo visitado" xfId="8512" builtinId="9" hidden="1"/>
    <cellStyle name="Hipervínculo visitado" xfId="6746" builtinId="9" hidden="1"/>
    <cellStyle name="Hipervínculo visitado" xfId="7508" builtinId="9" hidden="1"/>
    <cellStyle name="Hipervínculo visitado" xfId="4154" builtinId="9" hidden="1"/>
    <cellStyle name="Hipervínculo visitado" xfId="2302" builtinId="9" hidden="1"/>
    <cellStyle name="Hipervínculo visitado" xfId="1774" builtinId="9" hidden="1"/>
    <cellStyle name="Hipervínculo visitado" xfId="4282" builtinId="9" hidden="1"/>
    <cellStyle name="Hipervínculo visitado" xfId="9850" builtinId="9" hidden="1"/>
    <cellStyle name="Hipervínculo visitado" xfId="2436" builtinId="9" hidden="1"/>
    <cellStyle name="Hipervínculo visitado" xfId="2774" builtinId="9" hidden="1"/>
    <cellStyle name="Hipervínculo visitado" xfId="4252" builtinId="9" hidden="1"/>
    <cellStyle name="Hipervínculo visitado" xfId="712" builtinId="9" hidden="1"/>
    <cellStyle name="Hipervínculo visitado" xfId="6086" builtinId="9" hidden="1"/>
    <cellStyle name="Hipervínculo visitado" xfId="8338" builtinId="9" hidden="1"/>
    <cellStyle name="Hipervínculo visitado" xfId="9528" builtinId="9" hidden="1"/>
    <cellStyle name="Hipervínculo visitado" xfId="7562" builtinId="9" hidden="1"/>
    <cellStyle name="Hipervínculo visitado" xfId="4444" builtinId="9" hidden="1"/>
    <cellStyle name="Hipervínculo visitado" xfId="4924" builtinId="9" hidden="1"/>
    <cellStyle name="Hipervínculo visitado" xfId="1762" builtinId="9" hidden="1"/>
    <cellStyle name="Hipervínculo visitado" xfId="266" builtinId="9" hidden="1"/>
    <cellStyle name="Hipervínculo visitado" xfId="10230" builtinId="9" hidden="1"/>
    <cellStyle name="Hipervínculo visitado" xfId="5918" builtinId="9" hidden="1"/>
    <cellStyle name="Hipervínculo visitado" xfId="4966" builtinId="9" hidden="1"/>
    <cellStyle name="Hipervínculo visitado" xfId="10584" builtinId="9" hidden="1"/>
    <cellStyle name="Hipervínculo visitado" xfId="5002" builtinId="9" hidden="1"/>
    <cellStyle name="Hipervínculo visitado" xfId="9216" builtinId="9" hidden="1"/>
    <cellStyle name="Hipervínculo visitado" xfId="2318" builtinId="9" hidden="1"/>
    <cellStyle name="Hipervínculo visitado" xfId="9536" builtinId="9" hidden="1"/>
    <cellStyle name="Hipervínculo visitado" xfId="9526" builtinId="9" hidden="1"/>
    <cellStyle name="Hipervínculo visitado" xfId="3582" builtinId="9" hidden="1"/>
    <cellStyle name="Hipervínculo visitado" xfId="8240" builtinId="9" hidden="1"/>
    <cellStyle name="Hipervínculo visitado" xfId="4852" builtinId="9" hidden="1"/>
    <cellStyle name="Hipervínculo visitado" xfId="3580" builtinId="9" hidden="1"/>
    <cellStyle name="Hipervínculo visitado" xfId="5084" builtinId="9" hidden="1"/>
    <cellStyle name="Hipervínculo visitado" xfId="7234" builtinId="9" hidden="1"/>
    <cellStyle name="Hipervínculo visitado" xfId="4970" builtinId="9" hidden="1"/>
    <cellStyle name="Hipervínculo visitado" xfId="8858" builtinId="9" hidden="1"/>
    <cellStyle name="Hipervínculo visitado" xfId="8018" builtinId="9" hidden="1"/>
    <cellStyle name="Hipervínculo visitado" xfId="4736" builtinId="9" hidden="1"/>
    <cellStyle name="Hipervínculo visitado" xfId="8126" builtinId="9" hidden="1"/>
    <cellStyle name="Hipervínculo visitado" xfId="1656" builtinId="9" hidden="1"/>
    <cellStyle name="Hipervínculo visitado" xfId="7930" builtinId="9" hidden="1"/>
    <cellStyle name="Hipervínculo visitado" xfId="7110" builtinId="9" hidden="1"/>
    <cellStyle name="Hipervínculo visitado" xfId="364" builtinId="9" hidden="1"/>
    <cellStyle name="Hipervínculo visitado" xfId="182" builtinId="9" hidden="1"/>
    <cellStyle name="Hipervínculo visitado" xfId="6820" builtinId="9" hidden="1"/>
    <cellStyle name="Hipervínculo visitado" xfId="7430" builtinId="9" hidden="1"/>
    <cellStyle name="Hipervínculo visitado" xfId="7952" builtinId="9" hidden="1"/>
    <cellStyle name="Hipervínculo visitado" xfId="2814" builtinId="9" hidden="1"/>
    <cellStyle name="Hipervínculo visitado" xfId="8752" builtinId="9" hidden="1"/>
    <cellStyle name="Hipervínculo visitado" xfId="5600" builtinId="9" hidden="1"/>
    <cellStyle name="Hipervínculo visitado" xfId="4416" builtinId="9" hidden="1"/>
    <cellStyle name="Hipervínculo visitado" xfId="9874" builtinId="9" hidden="1"/>
    <cellStyle name="Hipervínculo visitado" xfId="8860" builtinId="9" hidden="1"/>
    <cellStyle name="Hipervínculo visitado" xfId="4288" builtinId="9" hidden="1"/>
    <cellStyle name="Hipervínculo visitado" xfId="9344" builtinId="9" hidden="1"/>
    <cellStyle name="Hipervínculo visitado" xfId="8010" builtinId="9" hidden="1"/>
    <cellStyle name="Hipervínculo visitado" xfId="156" builtinId="9" hidden="1"/>
    <cellStyle name="Hipervínculo visitado" xfId="9592" builtinId="9" hidden="1"/>
    <cellStyle name="Hipervínculo visitado" xfId="608" builtinId="9" hidden="1"/>
    <cellStyle name="Hipervínculo visitado" xfId="3574" builtinId="9" hidden="1"/>
    <cellStyle name="Hipervínculo visitado" xfId="3004" builtinId="9" hidden="1"/>
    <cellStyle name="Hipervínculo visitado" xfId="1170" builtinId="9" hidden="1"/>
    <cellStyle name="Hipervínculo visitado" xfId="6372" builtinId="9" hidden="1"/>
    <cellStyle name="Hipervínculo visitado" xfId="6366" builtinId="9" hidden="1"/>
    <cellStyle name="Hipervínculo visitado" xfId="2936" builtinId="9" hidden="1"/>
    <cellStyle name="Hipervínculo visitado" xfId="8176" builtinId="9" hidden="1"/>
    <cellStyle name="Hipervínculo visitado" xfId="5358" builtinId="9" hidden="1"/>
    <cellStyle name="Hipervínculo visitado" xfId="2020" builtinId="9" hidden="1"/>
    <cellStyle name="Hipervínculo visitado" xfId="9038" builtinId="9" hidden="1"/>
    <cellStyle name="Hipervínculo visitado" xfId="4900" builtinId="9" hidden="1"/>
    <cellStyle name="Hipervínculo visitado" xfId="3092" builtinId="9" hidden="1"/>
    <cellStyle name="Hipervínculo visitado" xfId="1870" builtinId="9" hidden="1"/>
    <cellStyle name="Hipervínculo visitado" xfId="3960" builtinId="9" hidden="1"/>
    <cellStyle name="Hipervínculo visitado" xfId="1058" builtinId="9" hidden="1"/>
    <cellStyle name="Hipervínculo visitado" xfId="9226" builtinId="9" hidden="1"/>
    <cellStyle name="Hipervínculo visitado" xfId="7836" builtinId="9" hidden="1"/>
    <cellStyle name="Hipervínculo visitado" xfId="9922" builtinId="9" hidden="1"/>
    <cellStyle name="Hipervínculo visitado" xfId="2548" builtinId="9" hidden="1"/>
    <cellStyle name="Hipervínculo visitado" xfId="4836" builtinId="9" hidden="1"/>
    <cellStyle name="Hipervínculo visitado" xfId="10872" builtinId="9" hidden="1"/>
    <cellStyle name="Hipervínculo visitado" xfId="3310" builtinId="9" hidden="1"/>
    <cellStyle name="Hipervínculo visitado" xfId="8570" builtinId="9" hidden="1"/>
    <cellStyle name="Hipervínculo visitado" xfId="8584" builtinId="9" hidden="1"/>
    <cellStyle name="Hipervínculo visitado" xfId="1726" builtinId="9" hidden="1"/>
    <cellStyle name="Hipervínculo visitado" xfId="5436" builtinId="9" hidden="1"/>
    <cellStyle name="Hipervínculo visitado" xfId="1538" builtinId="9" hidden="1"/>
    <cellStyle name="Hipervínculo visitado" xfId="2758" builtinId="9" hidden="1"/>
    <cellStyle name="Hipervínculo visitado" xfId="7832" builtinId="9" hidden="1"/>
    <cellStyle name="Hipervínculo visitado" xfId="2502" builtinId="9" hidden="1"/>
    <cellStyle name="Hipervínculo visitado" xfId="1370" builtinId="9" hidden="1"/>
    <cellStyle name="Hipervínculo visitado" xfId="7828" builtinId="9" hidden="1"/>
    <cellStyle name="Hipervínculo visitado" xfId="3128" builtinId="9" hidden="1"/>
    <cellStyle name="Hipervínculo visitado" xfId="6902" builtinId="9" hidden="1"/>
    <cellStyle name="Hipervínculo visitado" xfId="2276" builtinId="9" hidden="1"/>
    <cellStyle name="Hipervínculo visitado" xfId="9382" builtinId="9" hidden="1"/>
    <cellStyle name="Hipervínculo visitado" xfId="10022" builtinId="9" hidden="1"/>
    <cellStyle name="Hipervínculo visitado" xfId="10020" builtinId="9" hidden="1"/>
    <cellStyle name="Hipervínculo visitado" xfId="10636" builtinId="9" hidden="1"/>
    <cellStyle name="Hipervínculo visitado" xfId="8016" builtinId="9" hidden="1"/>
    <cellStyle name="Hipervínculo visitado" xfId="3410" builtinId="9" hidden="1"/>
    <cellStyle name="Hipervínculo visitado" xfId="9918" builtinId="9" hidden="1"/>
    <cellStyle name="Hipervínculo visitado" xfId="10996" builtinId="9" hidden="1"/>
    <cellStyle name="Hipervínculo visitado" xfId="5898" builtinId="9" hidden="1"/>
    <cellStyle name="Hipervínculo visitado" xfId="5074" builtinId="9" hidden="1"/>
    <cellStyle name="Hipervínculo visitado" xfId="8060" builtinId="9" hidden="1"/>
    <cellStyle name="Hipervínculo visitado" xfId="8516" builtinId="9" hidden="1"/>
    <cellStyle name="Hipervínculo visitado" xfId="8324" builtinId="9" hidden="1"/>
    <cellStyle name="Hipervínculo visitado" xfId="6608" builtinId="9" hidden="1"/>
    <cellStyle name="Hipervínculo visitado" xfId="9892" builtinId="9" hidden="1"/>
    <cellStyle name="Hipervínculo visitado" xfId="5008" builtinId="9" hidden="1"/>
    <cellStyle name="Hipervínculo visitado" xfId="5790" builtinId="9" hidden="1"/>
    <cellStyle name="Hipervínculo visitado" xfId="232" builtinId="9" hidden="1"/>
    <cellStyle name="Hipervínculo visitado" xfId="2952" builtinId="9" hidden="1"/>
    <cellStyle name="Hipervínculo visitado" xfId="5234" builtinId="9" hidden="1"/>
    <cellStyle name="Hipervínculo visitado" xfId="2458" builtinId="9" hidden="1"/>
    <cellStyle name="Hipervínculo visitado" xfId="3928" builtinId="9" hidden="1"/>
    <cellStyle name="Hipervínculo visitado" xfId="3300" builtinId="9" hidden="1"/>
    <cellStyle name="Hipervínculo visitado" xfId="7950" builtinId="9" hidden="1"/>
    <cellStyle name="Hipervínculo visitado" xfId="3538" builtinId="9" hidden="1"/>
    <cellStyle name="Hipervínculo visitado" xfId="4650" builtinId="9" hidden="1"/>
    <cellStyle name="Hipervínculo visitado" xfId="7826" builtinId="9" hidden="1"/>
    <cellStyle name="Hipervínculo visitado" xfId="1234" builtinId="9" hidden="1"/>
    <cellStyle name="Hipervínculo visitado" xfId="4780" builtinId="9" hidden="1"/>
    <cellStyle name="Hipervínculo visitado" xfId="930" builtinId="9" hidden="1"/>
    <cellStyle name="Hipervínculo visitado" xfId="8798" builtinId="9" hidden="1"/>
    <cellStyle name="Hipervínculo visitado" xfId="2876" builtinId="9" hidden="1"/>
    <cellStyle name="Hipervínculo visitado" xfId="2854" builtinId="9" hidden="1"/>
    <cellStyle name="Hipervínculo visitado" xfId="6696" builtinId="9" hidden="1"/>
    <cellStyle name="Hipervínculo visitado" xfId="3934" builtinId="9" hidden="1"/>
    <cellStyle name="Hipervínculo visitado" xfId="10616" builtinId="9" hidden="1"/>
    <cellStyle name="Hipervínculo visitado" xfId="1114" builtinId="9" hidden="1"/>
    <cellStyle name="Hipervínculo visitado" xfId="542" builtinId="9" hidden="1"/>
    <cellStyle name="Hipervínculo visitado" xfId="5080" builtinId="9" hidden="1"/>
    <cellStyle name="Hipervínculo visitado" xfId="9214" builtinId="9" hidden="1"/>
    <cellStyle name="Hipervínculo visitado" xfId="7348" builtinId="9" hidden="1"/>
    <cellStyle name="Hipervínculo visitado" xfId="7672" builtinId="9" hidden="1"/>
    <cellStyle name="Hipervínculo visitado" xfId="3802" builtinId="9" hidden="1"/>
    <cellStyle name="Hipervínculo visitado" xfId="10336" builtinId="9" hidden="1"/>
    <cellStyle name="Hipervínculo visitado" xfId="8580" builtinId="9" hidden="1"/>
    <cellStyle name="Hipervínculo visitado" xfId="3146" builtinId="9" hidden="1"/>
    <cellStyle name="Hipervínculo visitado" xfId="6380" builtinId="9" hidden="1"/>
    <cellStyle name="Hipervínculo visitado" xfId="6396" builtinId="9" hidden="1"/>
    <cellStyle name="Hipervínculo visitado" xfId="9040" builtinId="9" hidden="1"/>
    <cellStyle name="Hipervínculo visitado" xfId="1628" builtinId="9" hidden="1"/>
    <cellStyle name="Hipervínculo visitado" xfId="6442" builtinId="9" hidden="1"/>
    <cellStyle name="Hipervínculo visitado" xfId="10908" builtinId="9" hidden="1"/>
    <cellStyle name="Hipervínculo visitado" xfId="8988" builtinId="9" hidden="1"/>
    <cellStyle name="Hipervínculo visitado" xfId="6564" builtinId="9" hidden="1"/>
    <cellStyle name="Hipervínculo visitado" xfId="5078" builtinId="9" hidden="1"/>
    <cellStyle name="Hipervínculo visitado" xfId="10558" builtinId="9" hidden="1"/>
    <cellStyle name="Hipervínculo visitado" xfId="3368" builtinId="9" hidden="1"/>
    <cellStyle name="Hipervínculo visitado" xfId="3986" builtinId="9" hidden="1"/>
    <cellStyle name="Hipervínculo visitado" xfId="944" builtinId="9" hidden="1"/>
    <cellStyle name="Hipervínculo visitado" xfId="10010" builtinId="9" hidden="1"/>
    <cellStyle name="Hipervínculo visitado" xfId="6136" builtinId="9" hidden="1"/>
    <cellStyle name="Hipervínculo visitado" xfId="7710" builtinId="9" hidden="1"/>
    <cellStyle name="Hipervínculo visitado" xfId="10190" builtinId="9" hidden="1"/>
    <cellStyle name="Hipervínculo visitado" xfId="1264" builtinId="9" hidden="1"/>
    <cellStyle name="Hipervínculo visitado" xfId="7184" builtinId="9" hidden="1"/>
    <cellStyle name="Hipervínculo visitado" xfId="1534" builtinId="9" hidden="1"/>
    <cellStyle name="Hipervínculo visitado" xfId="3586" builtinId="9" hidden="1"/>
    <cellStyle name="Hipervínculo visitado" xfId="3250" builtinId="9" hidden="1"/>
    <cellStyle name="Hipervínculo visitado" xfId="6976" builtinId="9" hidden="1"/>
    <cellStyle name="Hipervínculo visitado" xfId="4186" builtinId="9" hidden="1"/>
    <cellStyle name="Hipervínculo visitado" xfId="7292" builtinId="9" hidden="1"/>
    <cellStyle name="Hipervínculo visitado" xfId="9510" builtinId="9" hidden="1"/>
    <cellStyle name="Hipervínculo visitado" xfId="5808" builtinId="9" hidden="1"/>
    <cellStyle name="Hipervínculo visitado" xfId="10976" builtinId="9" hidden="1"/>
    <cellStyle name="Hipervínculo visitado" xfId="4804" builtinId="9" hidden="1"/>
    <cellStyle name="Hipervínculo visitado" xfId="7410" builtinId="9" hidden="1"/>
    <cellStyle name="Hipervínculo visitado" xfId="6122" builtinId="9" hidden="1"/>
    <cellStyle name="Hipervínculo visitado" xfId="8042" builtinId="9" hidden="1"/>
    <cellStyle name="Hipervínculo visitado" xfId="7816" builtinId="9" hidden="1"/>
    <cellStyle name="Hipervínculo visitado" xfId="9788" builtinId="9" hidden="1"/>
    <cellStyle name="Hipervínculo visitado" xfId="10334" builtinId="9" hidden="1"/>
    <cellStyle name="Hipervínculo visitado" xfId="6108" builtinId="9" hidden="1"/>
    <cellStyle name="Hipervínculo visitado" xfId="3070" builtinId="9" hidden="1"/>
    <cellStyle name="Hipervínculo visitado" xfId="3466" builtinId="9" hidden="1"/>
    <cellStyle name="Hipervínculo visitado" xfId="9006" builtinId="9" hidden="1"/>
    <cellStyle name="Hipervínculo visitado" xfId="808" builtinId="9" hidden="1"/>
    <cellStyle name="Hipervínculo visitado" xfId="2892" builtinId="9" hidden="1"/>
    <cellStyle name="Hipervínculo visitado" xfId="5386" builtinId="9" hidden="1"/>
    <cellStyle name="Hipervínculo visitado" xfId="5212" builtinId="9" hidden="1"/>
    <cellStyle name="Hipervínculo visitado" xfId="7574" builtinId="9" hidden="1"/>
    <cellStyle name="Hipervínculo visitado" xfId="7850" builtinId="9" hidden="1"/>
    <cellStyle name="Hipervínculo visitado" xfId="6754" builtinId="9" hidden="1"/>
    <cellStyle name="Hipervínculo visitado" xfId="6192" builtinId="9" hidden="1"/>
    <cellStyle name="Hipervínculo visitado" xfId="10362" builtinId="9" hidden="1"/>
    <cellStyle name="Hipervínculo visitado" xfId="5834" builtinId="9" hidden="1"/>
    <cellStyle name="Hipervínculo visitado" xfId="658" builtinId="9" hidden="1"/>
    <cellStyle name="Hipervínculo visitado" xfId="5900" builtinId="9" hidden="1"/>
    <cellStyle name="Hipervínculo visitado" xfId="8136" builtinId="9" hidden="1"/>
    <cellStyle name="Hipervínculo visitado" xfId="8966" builtinId="9" hidden="1"/>
    <cellStyle name="Hipervínculo visitado" xfId="4726" builtinId="9" hidden="1"/>
    <cellStyle name="Hipervínculo visitado" xfId="3882" builtinId="9" hidden="1"/>
    <cellStyle name="Hipervínculo visitado" xfId="5258" builtinId="9" hidden="1"/>
    <cellStyle name="Hipervínculo visitado" xfId="5754" builtinId="9" hidden="1"/>
    <cellStyle name="Hipervínculo visitado" xfId="5480" builtinId="9" hidden="1"/>
    <cellStyle name="Hipervínculo visitado" xfId="970" builtinId="9" hidden="1"/>
    <cellStyle name="Hipervínculo visitado" xfId="6488" builtinId="9" hidden="1"/>
    <cellStyle name="Hipervínculo visitado" xfId="10008" builtinId="9" hidden="1"/>
    <cellStyle name="Hipervínculo visitado" xfId="8604" builtinId="9" hidden="1"/>
    <cellStyle name="Hipervínculo visitado" xfId="9108" builtinId="9" hidden="1"/>
    <cellStyle name="Hipervínculo visitado" xfId="26" builtinId="9" hidden="1"/>
    <cellStyle name="Hipervínculo visitado" xfId="100" builtinId="9" hidden="1"/>
    <cellStyle name="Hipervínculo visitado" xfId="7364" builtinId="9" hidden="1"/>
    <cellStyle name="Hipervínculo visitado" xfId="10564" builtinId="9" hidden="1"/>
    <cellStyle name="Hipervínculo visitado" xfId="158" builtinId="9" hidden="1"/>
    <cellStyle name="Hipervínculo visitado" xfId="34" builtinId="9" hidden="1"/>
    <cellStyle name="Hipervínculo visitado" xfId="2734" builtinId="9" hidden="1"/>
    <cellStyle name="Hipervínculo visitado" xfId="1230" builtinId="9" hidden="1"/>
    <cellStyle name="Hipervínculo visitado" xfId="5070" builtinId="9" hidden="1"/>
    <cellStyle name="Hipervínculo visitado" xfId="5292" builtinId="9" hidden="1"/>
    <cellStyle name="Hipervínculo visitado" xfId="5998" builtinId="9" hidden="1"/>
    <cellStyle name="Hipervínculo visitado" xfId="3000" builtinId="9" hidden="1"/>
    <cellStyle name="Hipervínculo visitado" xfId="7466" builtinId="9" hidden="1"/>
    <cellStyle name="Hipervínculo visitado" xfId="7982" builtinId="9" hidden="1"/>
    <cellStyle name="Hipervínculo visitado" xfId="5720" builtinId="9" hidden="1"/>
    <cellStyle name="Hipervínculo visitado" xfId="2922" builtinId="9" hidden="1"/>
    <cellStyle name="Hipervínculo visitado" xfId="7782" builtinId="9" hidden="1"/>
    <cellStyle name="Hipervínculo visitado" xfId="8354" builtinId="9" hidden="1"/>
    <cellStyle name="Hipervínculo visitado" xfId="88" builtinId="9" hidden="1"/>
    <cellStyle name="Hipervínculo visitado" xfId="8386" builtinId="9" hidden="1"/>
    <cellStyle name="Hipervínculo visitado" xfId="4424" builtinId="9" hidden="1"/>
    <cellStyle name="Hipervínculo visitado" xfId="4568" builtinId="9" hidden="1"/>
    <cellStyle name="Hipervínculo visitado" xfId="6016" builtinId="9" hidden="1"/>
    <cellStyle name="Hipervínculo visitado" xfId="9802" builtinId="9" hidden="1"/>
    <cellStyle name="Hipervínculo visitado" xfId="6752" builtinId="9" hidden="1"/>
    <cellStyle name="Hipervínculo visitado" xfId="9090" builtinId="9" hidden="1"/>
    <cellStyle name="Hipervínculo visitado" xfId="7980" builtinId="9" hidden="1"/>
    <cellStyle name="Hipervínculo visitado" xfId="3010" builtinId="9" hidden="1"/>
    <cellStyle name="Hipervínculo visitado" xfId="8536" builtinId="9" hidden="1"/>
    <cellStyle name="Hipervínculo visitado" xfId="10576" builtinId="9" hidden="1"/>
    <cellStyle name="Hipervínculo visitado" xfId="5412" builtinId="9" hidden="1"/>
    <cellStyle name="Hipervínculo visitado" xfId="856" builtinId="9" hidden="1"/>
    <cellStyle name="Hipervínculo visitado" xfId="1754" builtinId="9" hidden="1"/>
    <cellStyle name="Hipervínculo visitado" xfId="10868" builtinId="9" hidden="1"/>
    <cellStyle name="Hipervínculo visitado" xfId="4380" builtinId="9" hidden="1"/>
    <cellStyle name="Hipervínculo visitado" xfId="11036" builtinId="9" hidden="1"/>
    <cellStyle name="Hipervínculo visitado" xfId="1888" builtinId="9" hidden="1"/>
    <cellStyle name="Hipervínculo visitado" xfId="4432" builtinId="9" hidden="1"/>
    <cellStyle name="Hipervínculo visitado" xfId="1106" builtinId="9" hidden="1"/>
    <cellStyle name="Hipervínculo visitado" xfId="7566" builtinId="9" hidden="1"/>
    <cellStyle name="Hipervínculo visitado" xfId="6064" builtinId="9" hidden="1"/>
    <cellStyle name="Hipervínculo visitado" xfId="10670" builtinId="9" hidden="1"/>
    <cellStyle name="Hipervínculo visitado" xfId="8184" builtinId="9" hidden="1"/>
    <cellStyle name="Hipervínculo visitado" xfId="8458" builtinId="9" hidden="1"/>
    <cellStyle name="Hipervínculo visitado" xfId="1716" builtinId="9" hidden="1"/>
    <cellStyle name="Hipervínculo visitado" xfId="2038" builtinId="9" hidden="1"/>
    <cellStyle name="Hipervínculo visitado" xfId="8850" builtinId="9" hidden="1"/>
    <cellStyle name="Hipervínculo visitado" xfId="1268" builtinId="9" hidden="1"/>
    <cellStyle name="Hipervínculo visitado" xfId="9936" builtinId="9" hidden="1"/>
    <cellStyle name="Hipervínculo visitado" xfId="4938" builtinId="9" hidden="1"/>
    <cellStyle name="Hipervínculo visitado" xfId="3910" builtinId="9" hidden="1"/>
    <cellStyle name="Hipervínculo visitado" xfId="1838" builtinId="9" hidden="1"/>
    <cellStyle name="Hipervínculo visitado" xfId="4534" builtinId="9" hidden="1"/>
    <cellStyle name="Hipervínculo visitado" xfId="11074" builtinId="9" hidden="1"/>
    <cellStyle name="Hipervínculo visitado" xfId="2244" builtinId="9" hidden="1"/>
    <cellStyle name="Hipervínculo visitado" xfId="7080" builtinId="9" hidden="1"/>
    <cellStyle name="Hipervínculo visitado" xfId="2994" builtinId="9" hidden="1"/>
    <cellStyle name="Hipervínculo visitado" xfId="7910" builtinId="9" hidden="1"/>
    <cellStyle name="Hipervínculo visitado" xfId="5340" builtinId="9" hidden="1"/>
    <cellStyle name="Hipervínculo visitado" xfId="8862" builtinId="9" hidden="1"/>
    <cellStyle name="Hipervínculo visitado" xfId="5958" builtinId="9" hidden="1"/>
    <cellStyle name="Hipervínculo visitado" xfId="7366" builtinId="9" hidden="1"/>
    <cellStyle name="Hipervínculo visitado" xfId="682" builtinId="9" hidden="1"/>
    <cellStyle name="Hipervínculo visitado" xfId="2602" builtinId="9" hidden="1"/>
    <cellStyle name="Hipervínculo visitado" xfId="1022" builtinId="9" hidden="1"/>
    <cellStyle name="Hipervínculo visitado" xfId="8394" builtinId="9" hidden="1"/>
    <cellStyle name="Hipervínculo visitado" xfId="4514" builtinId="9" hidden="1"/>
    <cellStyle name="Hipervínculo visitado" xfId="1502" builtinId="9" hidden="1"/>
    <cellStyle name="Hipervínculo visitado" xfId="4646" builtinId="9" hidden="1"/>
    <cellStyle name="Hipervínculo visitado" xfId="7074" builtinId="9" hidden="1"/>
    <cellStyle name="Hipervínculo visitado" xfId="2158" builtinId="9" hidden="1"/>
    <cellStyle name="Hipervínculo visitado" xfId="2784" builtinId="9" hidden="1"/>
    <cellStyle name="Hipervínculo visitado" xfId="7622" builtinId="9" hidden="1"/>
    <cellStyle name="Hipervínculo visitado" xfId="8004" builtinId="9" hidden="1"/>
    <cellStyle name="Hipervínculo visitado" xfId="6846" builtinId="9" hidden="1"/>
    <cellStyle name="Hipervínculo visitado" xfId="8208" builtinId="9" hidden="1"/>
    <cellStyle name="Hipervínculo visitado" xfId="6388" builtinId="9" hidden="1"/>
    <cellStyle name="Hipervínculo visitado" xfId="3406" builtinId="9" hidden="1"/>
    <cellStyle name="Hipervínculo visitado" xfId="10892" builtinId="9" hidden="1"/>
    <cellStyle name="Hipervínculo visitado" xfId="1958" builtinId="9" hidden="1"/>
    <cellStyle name="Hipervínculo visitado" xfId="10504" builtinId="9" hidden="1"/>
    <cellStyle name="Hipervínculo visitado" xfId="7752" builtinId="9" hidden="1"/>
    <cellStyle name="Hipervínculo visitado" xfId="7700" builtinId="9" hidden="1"/>
    <cellStyle name="Hipervínculo visitado" xfId="7004" builtinId="9" hidden="1"/>
    <cellStyle name="Hipervínculo visitado" xfId="4420" builtinId="9" hidden="1"/>
    <cellStyle name="Hipervínculo visitado" xfId="720" builtinId="9" hidden="1"/>
    <cellStyle name="Hipervínculo visitado" xfId="6356" builtinId="9" hidden="1"/>
    <cellStyle name="Hipervínculo visitado" xfId="5726" builtinId="9" hidden="1"/>
    <cellStyle name="Hipervínculo visitado" xfId="7862" builtinId="9" hidden="1"/>
    <cellStyle name="Hipervínculo visitado" xfId="6922" builtinId="9" hidden="1"/>
    <cellStyle name="Hipervínculo visitado" xfId="2130" builtinId="9" hidden="1"/>
    <cellStyle name="Hipervínculo visitado" xfId="3360" builtinId="9" hidden="1"/>
    <cellStyle name="Hipervínculo visitado" xfId="5068" builtinId="9" hidden="1"/>
    <cellStyle name="Hipervínculo visitado" xfId="814" builtinId="9" hidden="1"/>
    <cellStyle name="Hipervínculo visitado" xfId="360" builtinId="9" hidden="1"/>
    <cellStyle name="Hipervínculo visitado" xfId="9468" builtinId="9" hidden="1"/>
    <cellStyle name="Hipervínculo visitado" xfId="6232" builtinId="9" hidden="1"/>
    <cellStyle name="Hipervínculo visitado" xfId="3194" builtinId="9" hidden="1"/>
    <cellStyle name="Hipervínculo visitado" xfId="8118" builtinId="9" hidden="1"/>
    <cellStyle name="Hipervínculo visitado" xfId="8928" builtinId="9" hidden="1"/>
    <cellStyle name="Hipervínculo visitado" xfId="6000" builtinId="9" hidden="1"/>
    <cellStyle name="Hipervínculo visitado" xfId="3820" builtinId="9" hidden="1"/>
    <cellStyle name="Hipervínculo visitado" xfId="7328" builtinId="9" hidden="1"/>
    <cellStyle name="Hipervínculo visitado" xfId="4830" builtinId="9" hidden="1"/>
    <cellStyle name="Hipervínculo visitado" xfId="4098" builtinId="9" hidden="1"/>
    <cellStyle name="Hipervínculo visitado" xfId="1676" builtinId="9" hidden="1"/>
    <cellStyle name="Hipervínculo visitado" xfId="9404" builtinId="9" hidden="1"/>
    <cellStyle name="Hipervínculo visitado" xfId="8804" builtinId="9" hidden="1"/>
    <cellStyle name="Hipervínculo visitado" xfId="9180" builtinId="9" hidden="1"/>
    <cellStyle name="Hipervínculo visitado" xfId="632" builtinId="9" hidden="1"/>
    <cellStyle name="Hipervínculo visitado" xfId="462" builtinId="9" hidden="1"/>
    <cellStyle name="Hipervínculo visitado" xfId="3712" builtinId="9" hidden="1"/>
    <cellStyle name="Hipervínculo visitado" xfId="42" builtinId="9" hidden="1"/>
    <cellStyle name="Hipervínculo visitado" xfId="6092" builtinId="9" hidden="1"/>
    <cellStyle name="Hipervínculo visitado" xfId="940" builtinId="9" hidden="1"/>
    <cellStyle name="Hipervínculo visitado" xfId="1780" builtinId="9" hidden="1"/>
    <cellStyle name="Hipervínculo visitado" xfId="706" builtinId="9" hidden="1"/>
    <cellStyle name="Hipervínculo visitado" xfId="9866" builtinId="9" hidden="1"/>
    <cellStyle name="Hipervínculo visitado" xfId="874" builtinId="9" hidden="1"/>
    <cellStyle name="Hipervínculo visitado" xfId="2306" builtinId="9" hidden="1"/>
    <cellStyle name="Hipervínculo visitado" xfId="2016" builtinId="9" hidden="1"/>
    <cellStyle name="Hipervínculo visitado" xfId="8528" builtinId="9" hidden="1"/>
    <cellStyle name="Hipervínculo visitado" xfId="8072" builtinId="9" hidden="1"/>
    <cellStyle name="Hipervínculo visitado" xfId="6944" builtinId="9" hidden="1"/>
    <cellStyle name="Hipervínculo visitado" xfId="3828" builtinId="9" hidden="1"/>
    <cellStyle name="Hipervínculo visitado" xfId="10256" builtinId="9" hidden="1"/>
    <cellStyle name="Hipervínculo visitado" xfId="6382" builtinId="9" hidden="1"/>
    <cellStyle name="Hipervínculo visitado" xfId="3242" builtinId="9" hidden="1"/>
    <cellStyle name="Hipervínculo visitado" xfId="3096" builtinId="9" hidden="1"/>
    <cellStyle name="Hipervínculo visitado" xfId="1326" builtinId="9" hidden="1"/>
    <cellStyle name="Hipervínculo visitado" xfId="10210" builtinId="9" hidden="1"/>
    <cellStyle name="Hipervínculo visitado" xfId="1070" builtinId="9" hidden="1"/>
    <cellStyle name="Hipervínculo visitado" xfId="8682" builtinId="9" hidden="1"/>
    <cellStyle name="Hipervínculo visitado" xfId="5040" builtinId="9" hidden="1"/>
    <cellStyle name="Hipervínculo visitado" xfId="2294" builtinId="9" hidden="1"/>
    <cellStyle name="Hipervínculo visitado" xfId="2752" builtinId="9" hidden="1"/>
    <cellStyle name="Hipervínculo visitado" xfId="1468" builtinId="9" hidden="1"/>
    <cellStyle name="Hipervínculo visitado" xfId="5108" builtinId="9" hidden="1"/>
    <cellStyle name="Hipervínculo visitado" xfId="8660" builtinId="9" hidden="1"/>
    <cellStyle name="Hipervínculo visitado" xfId="7570" builtinId="9" hidden="1"/>
    <cellStyle name="Hipervínculo visitado" xfId="7902" builtinId="9" hidden="1"/>
    <cellStyle name="Hipervínculo visitado" xfId="3026" builtinId="9" hidden="1"/>
    <cellStyle name="Hipervínculo visitado" xfId="4034" builtinId="9" hidden="1"/>
    <cellStyle name="Hipervínculo visitado" xfId="4270" builtinId="9" hidden="1"/>
    <cellStyle name="Hipervínculo visitado" xfId="8346" builtinId="9" hidden="1"/>
    <cellStyle name="Hipervínculo visitado" xfId="2330" builtinId="9" hidden="1"/>
    <cellStyle name="Hipervínculo visitado" xfId="6824" builtinId="9" hidden="1"/>
    <cellStyle name="Hipervínculo visitado" xfId="1790" builtinId="9" hidden="1"/>
    <cellStyle name="Hipervínculo visitado" xfId="7844" builtinId="9" hidden="1"/>
    <cellStyle name="Hipervínculo visitado" xfId="9286" builtinId="9" hidden="1"/>
    <cellStyle name="Hipervínculo visitado" xfId="7912" builtinId="9" hidden="1"/>
    <cellStyle name="Hipervínculo visitado" xfId="2026" builtinId="9" hidden="1"/>
    <cellStyle name="Hipervínculo visitado" xfId="8954" builtinId="9" hidden="1"/>
    <cellStyle name="Hipervínculo visitado" xfId="2642" builtinId="9" hidden="1"/>
    <cellStyle name="Hipervínculo visitado" xfId="1410" builtinId="9" hidden="1"/>
    <cellStyle name="Hipervínculo visitado" xfId="8754" builtinId="9" hidden="1"/>
    <cellStyle name="Hipervínculo visitado" xfId="7462" builtinId="9" hidden="1"/>
    <cellStyle name="Hipervínculo visitado" xfId="6970" builtinId="9" hidden="1"/>
    <cellStyle name="Hipervínculo visitado" xfId="5462" builtinId="9" hidden="1"/>
    <cellStyle name="Hipervínculo visitado" xfId="7284" builtinId="9" hidden="1"/>
    <cellStyle name="Hipervínculo visitado" xfId="9994" builtinId="9" hidden="1"/>
    <cellStyle name="Hipervínculo visitado" xfId="3076" builtinId="9" hidden="1"/>
    <cellStyle name="Hipervínculo visitado" xfId="5668" builtinId="9" hidden="1"/>
    <cellStyle name="Hipervínculo visitado" xfId="7468" builtinId="9" hidden="1"/>
    <cellStyle name="Hipervínculo visitado" xfId="7326" builtinId="9" hidden="1"/>
    <cellStyle name="Hipervínculo visitado" xfId="2870" builtinId="9" hidden="1"/>
    <cellStyle name="Hipervínculo visitado" xfId="1906" builtinId="9" hidden="1"/>
    <cellStyle name="Hipervínculo visitado" xfId="9044" builtinId="9" hidden="1"/>
    <cellStyle name="Hipervínculo visitado" xfId="8972" builtinId="9" hidden="1"/>
    <cellStyle name="Hipervínculo visitado" xfId="1168" builtinId="9" hidden="1"/>
    <cellStyle name="Hipervínculo visitado" xfId="10220" builtinId="9" hidden="1"/>
    <cellStyle name="Hipervínculo visitado" xfId="6704" builtinId="9" hidden="1"/>
    <cellStyle name="Hipervínculo visitado" xfId="1682" builtinId="9" hidden="1"/>
    <cellStyle name="Hipervínculo visitado" xfId="10238" builtinId="9" hidden="1"/>
    <cellStyle name="Hipervínculo visitado" xfId="8880" builtinId="9" hidden="1"/>
    <cellStyle name="Hipervínculo visitado" xfId="3302" builtinId="9" hidden="1"/>
    <cellStyle name="Hipervínculo visitado" xfId="1038" builtinId="9" hidden="1"/>
    <cellStyle name="Hipervínculo visitado" xfId="9834" builtinId="9" hidden="1"/>
    <cellStyle name="Hipervínculo visitado" xfId="3022" builtinId="9" hidden="1"/>
    <cellStyle name="Hipervínculo visitado" xfId="6634" builtinId="9" hidden="1"/>
    <cellStyle name="Hipervínculo visitado" xfId="5404" builtinId="9" hidden="1"/>
    <cellStyle name="Hipervínculo visitado" xfId="2464" builtinId="9" hidden="1"/>
    <cellStyle name="Hipervínculo visitado" xfId="6672" builtinId="9" hidden="1"/>
    <cellStyle name="Hipervínculo visitado" xfId="9758" builtinId="9" hidden="1"/>
    <cellStyle name="Hipervínculo visitado" xfId="610" builtinId="9" hidden="1"/>
    <cellStyle name="Hipervínculo visitado" xfId="446" builtinId="9" hidden="1"/>
    <cellStyle name="Hipervínculo visitado" xfId="190" builtinId="9" hidden="1"/>
    <cellStyle name="Hipervínculo visitado" xfId="5346" builtinId="9" hidden="1"/>
    <cellStyle name="Hipervínculo visitado" xfId="200" builtinId="9" hidden="1"/>
    <cellStyle name="Hipervínculo visitado" xfId="10540" builtinId="9" hidden="1"/>
    <cellStyle name="Hipervínculo visitado" xfId="2766" builtinId="9" hidden="1"/>
    <cellStyle name="Hipervínculo visitado" xfId="10824" builtinId="9" hidden="1"/>
    <cellStyle name="Hipervínculo visitado" xfId="5168" builtinId="9" hidden="1"/>
    <cellStyle name="Hipervínculo visitado" xfId="4108" builtinId="9" hidden="1"/>
    <cellStyle name="Hipervínculo visitado" xfId="8534" builtinId="9" hidden="1"/>
    <cellStyle name="Hipervínculo visitado" xfId="9784" builtinId="9" hidden="1"/>
    <cellStyle name="Hipervínculo visitado" xfId="420" builtinId="9" hidden="1"/>
    <cellStyle name="Hipervínculo visitado" xfId="3982" builtinId="9" hidden="1"/>
    <cellStyle name="Hipervínculo visitado" xfId="2820" builtinId="9" hidden="1"/>
    <cellStyle name="Hipervínculo visitado" xfId="4008" builtinId="9" hidden="1"/>
    <cellStyle name="Hipervínculo visitado" xfId="10664" builtinId="9" hidden="1"/>
    <cellStyle name="Hipervínculo visitado" xfId="7182" builtinId="9" hidden="1"/>
    <cellStyle name="Hipervínculo visitado" xfId="5994" builtinId="9" hidden="1"/>
    <cellStyle name="Hipervínculo visitado" xfId="7354" builtinId="9" hidden="1"/>
    <cellStyle name="Hipervínculo visitado" xfId="2778" builtinId="9" hidden="1"/>
    <cellStyle name="Hipervínculo visitado" xfId="748" builtinId="9" hidden="1"/>
    <cellStyle name="Hipervínculo visitado" xfId="10698" builtinId="9" hidden="1"/>
    <cellStyle name="Hipervínculo visitado" xfId="8340" builtinId="9" hidden="1"/>
    <cellStyle name="Hipervínculo visitado" xfId="7400" builtinId="9" hidden="1"/>
    <cellStyle name="Hipervínculo visitado" xfId="8914" builtinId="9" hidden="1"/>
    <cellStyle name="Hipervínculo visitado" xfId="2218" builtinId="9" hidden="1"/>
    <cellStyle name="Hipervínculo visitado" xfId="7446" builtinId="9" hidden="1"/>
    <cellStyle name="Hipervínculo visitado" xfId="646" builtinId="9" hidden="1"/>
    <cellStyle name="Hipervínculo visitado" xfId="5402" builtinId="9" hidden="1"/>
    <cellStyle name="Hipervínculo visitado" xfId="9030" builtinId="9" hidden="1"/>
    <cellStyle name="Hipervínculo visitado" xfId="8500" builtinId="9" hidden="1"/>
    <cellStyle name="Hipervínculo visitado" xfId="7056" builtinId="9" hidden="1"/>
    <cellStyle name="Hipervínculo visitado" xfId="9966" builtinId="9" hidden="1"/>
    <cellStyle name="Hipervínculo visitado" xfId="1226" builtinId="9" hidden="1"/>
    <cellStyle name="Hipervínculo visitado" xfId="10208" builtinId="9" hidden="1"/>
    <cellStyle name="Hipervínculo visitado" xfId="2370" builtinId="9" hidden="1"/>
    <cellStyle name="Hipervínculo visitado" xfId="4894" builtinId="9" hidden="1"/>
    <cellStyle name="Hipervínculo visitado" xfId="8932" builtinId="9" hidden="1"/>
    <cellStyle name="Hipervínculo visitado" xfId="7254" builtinId="9" hidden="1"/>
    <cellStyle name="Hipervínculo visitado" xfId="10826" builtinId="9" hidden="1"/>
    <cellStyle name="Hipervínculo visitado" xfId="9974" builtinId="9" hidden="1"/>
    <cellStyle name="Hipervínculo visitado" xfId="9820" builtinId="9" hidden="1"/>
    <cellStyle name="Hipervínculo visitado" xfId="5342" builtinId="9" hidden="1"/>
    <cellStyle name="Hipervínculo visitado" xfId="3098" builtinId="9" hidden="1"/>
    <cellStyle name="Hipervínculo visitado" xfId="9340" builtinId="9" hidden="1"/>
    <cellStyle name="Hipervínculo visitado" xfId="6" builtinId="9" hidden="1"/>
    <cellStyle name="Hipervínculo visitado" xfId="3686" builtinId="9" hidden="1"/>
    <cellStyle name="Hipervínculo visitado" xfId="9354" builtinId="9" hidden="1"/>
    <cellStyle name="Hipervínculo visitado" xfId="10762" builtinId="9" hidden="1"/>
    <cellStyle name="Hipervínculo visitado" xfId="4630" builtinId="9" hidden="1"/>
    <cellStyle name="Hipervínculo visitado" xfId="2102" builtinId="9" hidden="1"/>
    <cellStyle name="Hipervínculo visitado" xfId="9790" builtinId="9" hidden="1"/>
    <cellStyle name="Hipervínculo visitado" xfId="1608" builtinId="9" hidden="1"/>
    <cellStyle name="Hipervínculo visitado" xfId="8368" builtinId="9" hidden="1"/>
    <cellStyle name="Hipervínculo visitado" xfId="10280" builtinId="9" hidden="1"/>
    <cellStyle name="Hipervínculo visitado" xfId="10066" builtinId="9" hidden="1"/>
    <cellStyle name="Hipervínculo visitado" xfId="1910" builtinId="9" hidden="1"/>
    <cellStyle name="Hipervínculo visitado" xfId="1574" builtinId="9" hidden="1"/>
    <cellStyle name="Hipervínculo visitado" xfId="8110" builtinId="9" hidden="1"/>
    <cellStyle name="Hipervínculo visitado" xfId="5034" builtinId="9" hidden="1"/>
    <cellStyle name="Hipervínculo visitado" xfId="3426" builtinId="9" hidden="1"/>
    <cellStyle name="Hipervínculo visitado" xfId="2326" builtinId="9" hidden="1"/>
    <cellStyle name="Hipervínculo visitado" xfId="2592" builtinId="9" hidden="1"/>
    <cellStyle name="Hipervínculo visitado" xfId="3690" builtinId="9" hidden="1"/>
    <cellStyle name="Hipervínculo visitado" xfId="5916" builtinId="9" hidden="1"/>
    <cellStyle name="Hipervínculo visitado" xfId="1606" builtinId="9" hidden="1"/>
    <cellStyle name="Hipervínculo visitado" xfId="2014" builtinId="9" hidden="1"/>
    <cellStyle name="Hipervínculo visitado" xfId="1008" builtinId="9" hidden="1"/>
    <cellStyle name="Hipervínculo visitado" xfId="5316" builtinId="9" hidden="1"/>
    <cellStyle name="Hipervínculo visitado" xfId="9908" builtinId="9" hidden="1"/>
    <cellStyle name="Hipervínculo visitado" xfId="6426" builtinId="9" hidden="1"/>
    <cellStyle name="Hipervínculo visitado" xfId="8116" builtinId="9" hidden="1"/>
    <cellStyle name="Hipervínculo visitado" xfId="1784" builtinId="9" hidden="1"/>
    <cellStyle name="Hipervínculo visitado" xfId="4508" builtinId="9" hidden="1"/>
    <cellStyle name="Hipervínculo visitado" xfId="6298" builtinId="9" hidden="1"/>
    <cellStyle name="Hipervínculo visitado" xfId="3336" builtinId="9" hidden="1"/>
    <cellStyle name="Hipervínculo visitado" xfId="1294" builtinId="9" hidden="1"/>
    <cellStyle name="Hipervínculo visitado" xfId="6316" builtinId="9" hidden="1"/>
    <cellStyle name="Hipervínculo visitado" xfId="1450" builtinId="9" hidden="1"/>
    <cellStyle name="Hipervínculo visitado" xfId="4218" builtinId="9" hidden="1"/>
    <cellStyle name="Hipervínculo visitado" xfId="3888" builtinId="9" hidden="1"/>
    <cellStyle name="Hipervínculo visitado" xfId="1290" builtinId="9" hidden="1"/>
    <cellStyle name="Hipervínculo visitado" xfId="8092" builtinId="9" hidden="1"/>
    <cellStyle name="Hipervínculo visitado" xfId="10168" builtinId="9" hidden="1"/>
    <cellStyle name="Hipervínculo visitado" xfId="7746" builtinId="9" hidden="1"/>
    <cellStyle name="Hipervínculo visitado" xfId="4316" builtinId="9" hidden="1"/>
    <cellStyle name="Hipervínculo visitado" xfId="9684" builtinId="9" hidden="1"/>
    <cellStyle name="Hipervínculo visitado" xfId="7240" builtinId="9" hidden="1"/>
    <cellStyle name="Hipervínculo visitado" xfId="8952" builtinId="9" hidden="1"/>
    <cellStyle name="Hipervínculo visitado" xfId="5226" builtinId="9" hidden="1"/>
    <cellStyle name="Hipervínculo visitado" xfId="1204" builtinId="9" hidden="1"/>
    <cellStyle name="Hipervínculo visitado" xfId="1540" builtinId="9" hidden="1"/>
    <cellStyle name="Hipervínculo visitado" xfId="5206" builtinId="9" hidden="1"/>
    <cellStyle name="Hipervínculo visitado" xfId="3316" builtinId="9" hidden="1"/>
    <cellStyle name="Hipervínculo visitado" xfId="4192" builtinId="9" hidden="1"/>
    <cellStyle name="Hipervínculo visitado" xfId="3718" builtinId="9" hidden="1"/>
    <cellStyle name="Hipervínculo visitado" xfId="3862" builtinId="9" hidden="1"/>
    <cellStyle name="Hipervínculo visitado" xfId="7536" builtinId="9" hidden="1"/>
    <cellStyle name="Hipervínculo visitado" xfId="9486" builtinId="9" hidden="1"/>
    <cellStyle name="Hipervínculo visitado" xfId="10090" builtinId="9" hidden="1"/>
    <cellStyle name="Hipervínculo visitado" xfId="998" builtinId="9" hidden="1"/>
    <cellStyle name="Hipervínculo visitado" xfId="5050" builtinId="9" hidden="1"/>
    <cellStyle name="Hipervínculo visitado" xfId="5762" builtinId="9" hidden="1"/>
    <cellStyle name="Hipervínculo visitado" xfId="7682" builtinId="9" hidden="1"/>
    <cellStyle name="Hipervínculo visitado" xfId="8654" builtinId="9" hidden="1"/>
    <cellStyle name="Hipervínculo visitado" xfId="6504" builtinId="9" hidden="1"/>
    <cellStyle name="Hipervínculo visitado" xfId="9342" builtinId="9" hidden="1"/>
    <cellStyle name="Hipervínculo visitado" xfId="5424" builtinId="9" hidden="1"/>
    <cellStyle name="Hipervínculo visitado" xfId="10516" builtinId="9" hidden="1"/>
    <cellStyle name="Hipervínculo visitado" xfId="7100" builtinId="9" hidden="1"/>
    <cellStyle name="Hipervínculo visitado" xfId="7928" builtinId="9" hidden="1"/>
    <cellStyle name="Hipervínculo visitado" xfId="2750" builtinId="9" hidden="1"/>
    <cellStyle name="Hipervínculo visitado" xfId="1844" builtinId="9" hidden="1"/>
    <cellStyle name="Hipervínculo visitado" xfId="8228" builtinId="9" hidden="1"/>
    <cellStyle name="Hipervínculo visitado" xfId="736" builtinId="9" hidden="1"/>
    <cellStyle name="Hipervínculo visitado" xfId="246" builtinId="9" hidden="1"/>
    <cellStyle name="Hipervínculo visitado" xfId="9456" builtinId="9" hidden="1"/>
    <cellStyle name="Hipervínculo visitado" xfId="9506" builtinId="9" hidden="1"/>
    <cellStyle name="Hipervínculo visitado" xfId="6580" builtinId="9" hidden="1"/>
    <cellStyle name="Hipervínculo visitado" xfId="9780" builtinId="9" hidden="1"/>
    <cellStyle name="Hipervínculo visitado" xfId="5448" builtinId="9" hidden="1"/>
    <cellStyle name="Hipervínculo visitado" xfId="7230" builtinId="9" hidden="1"/>
    <cellStyle name="Hipervínculo visitado" xfId="1720" builtinId="9" hidden="1"/>
    <cellStyle name="Hipervínculo visitado" xfId="3734" builtinId="9" hidden="1"/>
    <cellStyle name="Hipervínculo visitado" xfId="684" builtinId="9" hidden="1"/>
    <cellStyle name="Hipervínculo visitado" xfId="7510" builtinId="9" hidden="1"/>
    <cellStyle name="Hipervínculo visitado" xfId="9004" builtinId="9" hidden="1"/>
    <cellStyle name="Hipervínculo visitado" xfId="2590" builtinId="9" hidden="1"/>
    <cellStyle name="Hipervínculo visitado" xfId="9492" builtinId="9" hidden="1"/>
    <cellStyle name="Hipervínculo visitado" xfId="1744" builtinId="9" hidden="1"/>
    <cellStyle name="Hipervínculo visitado" xfId="9402" builtinId="9" hidden="1"/>
    <cellStyle name="Hipervínculo visitado" xfId="5092" builtinId="9" hidden="1"/>
    <cellStyle name="Hipervínculo visitado" xfId="2176" builtinId="9" hidden="1"/>
    <cellStyle name="Hipervínculo visitado" xfId="280" builtinId="9" hidden="1"/>
    <cellStyle name="Hipervínculo visitado" xfId="1136" builtinId="9" hidden="1"/>
    <cellStyle name="Hipervínculo visitado" xfId="9688" builtinId="9" hidden="1"/>
    <cellStyle name="Hipervínculo visitado" xfId="3594" builtinId="9" hidden="1"/>
    <cellStyle name="Hipervínculo visitado" xfId="9234" builtinId="9" hidden="1"/>
    <cellStyle name="Hipervínculo visitado" xfId="8520" builtinId="9" hidden="1"/>
    <cellStyle name="Hipervínculo visitado" xfId="8586" builtinId="9" hidden="1"/>
    <cellStyle name="Hipervínculo visitado" xfId="6374" builtinId="9" hidden="1"/>
    <cellStyle name="Hipervínculo visitado" xfId="10434" builtinId="9" hidden="1"/>
    <cellStyle name="Hipervínculo visitado" xfId="2656" builtinId="9" hidden="1"/>
    <cellStyle name="Hipervínculo visitado" xfId="10930" builtinId="9" hidden="1"/>
    <cellStyle name="Hipervínculo visitado" xfId="8080" builtinId="9" hidden="1"/>
    <cellStyle name="Hipervínculo visitado" xfId="5512" builtinId="9" hidden="1"/>
    <cellStyle name="Hipervínculo visitado" xfId="3516" builtinId="9" hidden="1"/>
    <cellStyle name="Hipervínculo visitado" xfId="8832" builtinId="9" hidden="1"/>
    <cellStyle name="Hipervínculo visitado" xfId="7934" builtinId="9" hidden="1"/>
    <cellStyle name="Hipervínculo visitado" xfId="8330" builtinId="9" hidden="1"/>
    <cellStyle name="Hipervínculo visitado" xfId="1566" builtinId="9" hidden="1"/>
    <cellStyle name="Hipervínculo visitado" xfId="1078" builtinId="9" hidden="1"/>
    <cellStyle name="Hipervínculo visitado" xfId="7706" builtinId="9" hidden="1"/>
    <cellStyle name="Hipervínculo visitado" xfId="7964" builtinId="9" hidden="1"/>
    <cellStyle name="Hipervínculo visitado" xfId="4240" builtinId="9" hidden="1"/>
    <cellStyle name="Hipervínculo visitado" xfId="2216" builtinId="9" hidden="1"/>
    <cellStyle name="Hipervínculo visitado" xfId="6668" builtinId="9" hidden="1"/>
    <cellStyle name="Hipervínculo visitado" xfId="10164" builtinId="9" hidden="1"/>
    <cellStyle name="Hipervínculo visitado" xfId="7554" builtinId="9" hidden="1"/>
    <cellStyle name="Hipervínculo visitado" xfId="9302" builtinId="9" hidden="1"/>
    <cellStyle name="Hipervínculo visitado" xfId="10830" builtinId="9" hidden="1"/>
    <cellStyle name="Hipervínculo visitado" xfId="8276" builtinId="9" hidden="1"/>
    <cellStyle name="Hipervínculo visitado" xfId="10176" builtinId="9" hidden="1"/>
    <cellStyle name="Hipervínculo visitado" xfId="10154" builtinId="9" hidden="1"/>
    <cellStyle name="Hipervínculo visitado" xfId="5344" builtinId="9" hidden="1"/>
    <cellStyle name="Hipervínculo visitado" xfId="162" builtinId="9" hidden="1"/>
    <cellStyle name="Hipervínculo visitado" xfId="7208" builtinId="9" hidden="1"/>
    <cellStyle name="Hipervínculo visitado" xfId="2724" builtinId="9" hidden="1"/>
    <cellStyle name="Hipervínculo visitado" xfId="6760" builtinId="9" hidden="1"/>
    <cellStyle name="Hipervínculo visitado" xfId="9924" builtinId="9" hidden="1"/>
    <cellStyle name="Hipervínculo visitado" xfId="20" builtinId="9" hidden="1"/>
    <cellStyle name="Hipervínculo visitado" xfId="10216" builtinId="9" hidden="1"/>
    <cellStyle name="Hipervínculo visitado" xfId="1062" builtinId="9" hidden="1"/>
    <cellStyle name="Hipervínculo visitado" xfId="922" builtinId="9" hidden="1"/>
    <cellStyle name="Hipervínculo visitado" xfId="170" builtinId="9" hidden="1"/>
    <cellStyle name="Hipervínculo visitado" xfId="526" builtinId="9" hidden="1"/>
    <cellStyle name="Hipervínculo visitado" xfId="7408" builtinId="9" hidden="1"/>
    <cellStyle name="Hipervínculo visitado" xfId="10772" builtinId="9" hidden="1"/>
    <cellStyle name="Hipervínculo visitado" xfId="434" builtinId="9" hidden="1"/>
    <cellStyle name="Hipervínculo visitado" xfId="8334" builtinId="9" hidden="1"/>
    <cellStyle name="Hipervínculo visitado" xfId="5238" builtinId="9" hidden="1"/>
    <cellStyle name="Hipervínculo visitado" xfId="5290" builtinId="9" hidden="1"/>
    <cellStyle name="Hipervínculo visitado" xfId="354" builtinId="9" hidden="1"/>
    <cellStyle name="Hipervínculo visitado" xfId="3196" builtinId="9" hidden="1"/>
    <cellStyle name="Hipervínculo visitado" xfId="7768" builtinId="9" hidden="1"/>
    <cellStyle name="Hipervínculo visitado" xfId="222" builtinId="9" hidden="1"/>
    <cellStyle name="Hipervínculo visitado" xfId="2156" builtinId="9" hidden="1"/>
    <cellStyle name="Hipervínculo visitado" xfId="2120" builtinId="9" hidden="1"/>
    <cellStyle name="Hipervínculo visitado" xfId="9768" builtinId="9" hidden="1"/>
    <cellStyle name="Hipervínculo visitado" xfId="2928" builtinId="9" hidden="1"/>
    <cellStyle name="Hipervínculo visitado" xfId="9842" builtinId="9" hidden="1"/>
    <cellStyle name="Hipervínculo visitado" xfId="8594" builtinId="9" hidden="1"/>
    <cellStyle name="Hipervínculo visitado" xfId="1242" builtinId="9" hidden="1"/>
    <cellStyle name="Hipervínculo visitado" xfId="430" builtinId="9" hidden="1"/>
    <cellStyle name="Hipervínculo visitado" xfId="2822" builtinId="9" hidden="1"/>
    <cellStyle name="Hipervínculo visitado" xfId="9144" builtinId="9" hidden="1"/>
    <cellStyle name="Hipervínculo visitado" xfId="10738" builtinId="9" hidden="1"/>
    <cellStyle name="Hipervínculo visitado" xfId="5348" builtinId="9" hidden="1"/>
    <cellStyle name="Hipervínculo visitado" xfId="854" builtinId="9" hidden="1"/>
    <cellStyle name="Hipervínculo visitado" xfId="366" builtinId="9" hidden="1"/>
    <cellStyle name="Hipervínculo visitado" xfId="1252" builtinId="9" hidden="1"/>
    <cellStyle name="Hipervínculo visitado" xfId="2904" builtinId="9" hidden="1"/>
    <cellStyle name="Hipervínculo visitado" xfId="6294" builtinId="9" hidden="1"/>
    <cellStyle name="Hipervínculo visitado" xfId="8358" builtinId="9" hidden="1"/>
    <cellStyle name="Hipervínculo visitado" xfId="7018" builtinId="9" hidden="1"/>
    <cellStyle name="Hipervínculo visitado" xfId="4524" builtinId="9" hidden="1"/>
    <cellStyle name="Hipervínculo visitado" xfId="4140" builtinId="9" hidden="1"/>
    <cellStyle name="Hipervínculo visitado" xfId="4112" builtinId="9" hidden="1"/>
    <cellStyle name="Hipervínculo visitado" xfId="1880" builtinId="9" hidden="1"/>
    <cellStyle name="Hipervínculo visitado" xfId="2882" builtinId="9" hidden="1"/>
    <cellStyle name="Hipervínculo visitado" xfId="6682" builtinId="9" hidden="1"/>
    <cellStyle name="Hipervínculo visitado" xfId="4618" builtinId="9" hidden="1"/>
    <cellStyle name="Hipervínculo visitado" xfId="4662" builtinId="9" hidden="1"/>
    <cellStyle name="Hipervínculo visitado" xfId="10352" builtinId="9" hidden="1"/>
    <cellStyle name="Hipervínculo visitado" xfId="5144" builtinId="9" hidden="1"/>
    <cellStyle name="Hipervínculo visitado" xfId="1572" builtinId="9" hidden="1"/>
    <cellStyle name="Hipervínculo visitado" xfId="10330" builtinId="9" hidden="1"/>
    <cellStyle name="Hipervínculo visitado" xfId="5692" builtinId="9" hidden="1"/>
    <cellStyle name="Hipervínculo visitado" xfId="6088" builtinId="9" hidden="1"/>
    <cellStyle name="Hipervínculo visitado" xfId="8610" builtinId="9" hidden="1"/>
    <cellStyle name="Hipervínculo visitado" xfId="6010" builtinId="9" hidden="1"/>
    <cellStyle name="Hipervínculo visitado" xfId="9074" builtinId="9" hidden="1"/>
    <cellStyle name="Hipervínculo visitado" xfId="11014" builtinId="9" hidden="1"/>
    <cellStyle name="Hipervínculo visitado" xfId="5514" builtinId="9" hidden="1"/>
    <cellStyle name="Hipervínculo visitado" xfId="4906" builtinId="9" hidden="1"/>
    <cellStyle name="Hipervínculo visitado" xfId="3894" builtinId="9" hidden="1"/>
    <cellStyle name="Hipervínculo visitado" xfId="4202" builtinId="9" hidden="1"/>
    <cellStyle name="Hipervínculo visitado" xfId="5644" builtinId="9" hidden="1"/>
    <cellStyle name="Hipervínculo visitado" xfId="9590" builtinId="9" hidden="1"/>
    <cellStyle name="Hipervínculo visitado" xfId="3332" builtinId="9" hidden="1"/>
    <cellStyle name="Hipervínculo visitado" xfId="2362" builtinId="9" hidden="1"/>
    <cellStyle name="Hipervínculo visitado" xfId="10392" builtinId="9" hidden="1"/>
    <cellStyle name="Hipervínculo visitado" xfId="4244" builtinId="9" hidden="1"/>
    <cellStyle name="Hipervínculo visitado" xfId="308" builtinId="9" hidden="1"/>
    <cellStyle name="Hipervínculo visitado" xfId="4846" builtinId="9" hidden="1"/>
    <cellStyle name="Hipervínculo visitado" xfId="7654" builtinId="9" hidden="1"/>
    <cellStyle name="Hipervínculo visitado" xfId="9728" builtinId="9" hidden="1"/>
    <cellStyle name="Hipervínculo visitado" xfId="804" builtinId="9" hidden="1"/>
    <cellStyle name="Hipervínculo visitado" xfId="11040" builtinId="9" hidden="1"/>
    <cellStyle name="Hipervínculo visitado" xfId="5530" builtinId="9" hidden="1"/>
    <cellStyle name="Hipervínculo visitado" xfId="6542" builtinId="9" hidden="1"/>
    <cellStyle name="Hipervínculo visitado" xfId="4334" builtinId="9" hidden="1"/>
    <cellStyle name="Hipervínculo visitado" xfId="7374" builtinId="9" hidden="1"/>
    <cellStyle name="Hipervínculo visitado" xfId="5194" builtinId="9" hidden="1"/>
    <cellStyle name="Hipervínculo visitado" xfId="3620" builtinId="9" hidden="1"/>
    <cellStyle name="Hipervínculo visitado" xfId="4246" builtinId="9" hidden="1"/>
    <cellStyle name="Hipervínculo visitado" xfId="7794" builtinId="9" hidden="1"/>
    <cellStyle name="Hipervínculo visitado" xfId="2608" builtinId="9" hidden="1"/>
    <cellStyle name="Hipervínculo visitado" xfId="6610" builtinId="9" hidden="1"/>
    <cellStyle name="Hipervínculo visitado" xfId="9358" builtinId="9" hidden="1"/>
    <cellStyle name="Hipervínculo visitado" xfId="1552" builtinId="9" hidden="1"/>
    <cellStyle name="Hipervínculo visitado" xfId="1548" builtinId="9" hidden="1"/>
    <cellStyle name="Hipervínculo visitado" xfId="11022" builtinId="9" hidden="1"/>
    <cellStyle name="Hipervínculo visitado" xfId="10314" builtinId="9" hidden="1"/>
    <cellStyle name="Hipervínculo visitado" xfId="7864" builtinId="9" hidden="1"/>
    <cellStyle name="Hipervínculo visitado" xfId="9634" builtinId="9" hidden="1"/>
    <cellStyle name="Hipervínculo visitado" xfId="10448" builtinId="9" hidden="1"/>
    <cellStyle name="Hipervínculo visitado" xfId="1982" builtinId="9" hidden="1"/>
    <cellStyle name="Hipervínculo visitado" xfId="7564" builtinId="9" hidden="1"/>
    <cellStyle name="Hipervínculo visitado" xfId="510" builtinId="9" hidden="1"/>
    <cellStyle name="Hipervínculo visitado" xfId="10460" builtinId="9" hidden="1"/>
    <cellStyle name="Hipervínculo visitado" xfId="4972" builtinId="9" hidden="1"/>
    <cellStyle name="Hipervínculo visitado" xfId="9094" builtinId="9" hidden="1"/>
    <cellStyle name="Hipervínculo visitado" xfId="6838" builtinId="9" hidden="1"/>
    <cellStyle name="Hipervínculo visitado" xfId="10446" builtinId="9" hidden="1"/>
    <cellStyle name="Hipervínculo visitado" xfId="7518" builtinId="9" hidden="1"/>
    <cellStyle name="Hipervínculo visitado" xfId="11058" builtinId="9" hidden="1"/>
    <cellStyle name="Hipervínculo visitado" xfId="9766" builtinId="9" hidden="1"/>
    <cellStyle name="Hipervínculo visitado" xfId="1156" builtinId="9" hidden="1"/>
    <cellStyle name="Hipervínculo visitado" xfId="1028" builtinId="9" hidden="1"/>
    <cellStyle name="Hipervínculo visitado" xfId="10614" builtinId="9" hidden="1"/>
    <cellStyle name="Hipervínculo visitado" xfId="1776" builtinId="9" hidden="1"/>
    <cellStyle name="Hipervínculo visitado" xfId="2484" builtinId="9" hidden="1"/>
    <cellStyle name="Hipervínculo visitado" xfId="3622" builtinId="9" hidden="1"/>
    <cellStyle name="Hipervínculo visitado" xfId="3780" builtinId="9" hidden="1"/>
    <cellStyle name="Hipervínculo visitado" xfId="7998" builtinId="9" hidden="1"/>
    <cellStyle name="Hipervínculo visitado" xfId="112" builtinId="9" hidden="1"/>
    <cellStyle name="Hipervínculo visitado" xfId="10482" builtinId="9" hidden="1"/>
    <cellStyle name="Hipervínculo visitado" xfId="3210" builtinId="9" hidden="1"/>
    <cellStyle name="Hipervínculo visitado" xfId="8560" builtinId="9" hidden="1"/>
    <cellStyle name="Hipervínculo visitado" xfId="2264" builtinId="9" hidden="1"/>
    <cellStyle name="Hipervínculo visitado" xfId="8674" builtinId="9" hidden="1"/>
    <cellStyle name="Hipervínculo visitado" xfId="10128" builtinId="9" hidden="1"/>
    <cellStyle name="Hipervínculo visitado" xfId="10094" builtinId="9" hidden="1"/>
    <cellStyle name="Hipervínculo visitado" xfId="626" builtinId="9" hidden="1"/>
    <cellStyle name="Hipervínculo visitado" xfId="6640" builtinId="9" hidden="1"/>
    <cellStyle name="Hipervínculo visitado" xfId="8448" builtinId="9" hidden="1"/>
    <cellStyle name="Hipervínculo visitado" xfId="6678" builtinId="9" hidden="1"/>
    <cellStyle name="Hipervínculo visitado" xfId="7256" builtinId="9" hidden="1"/>
    <cellStyle name="Hipervínculo visitado" xfId="3604" builtinId="9" hidden="1"/>
    <cellStyle name="Hipervínculo visitado" xfId="3936" builtinId="9" hidden="1"/>
    <cellStyle name="Hipervínculo visitado" xfId="8438" builtinId="9" hidden="1"/>
    <cellStyle name="Hipervínculo visitado" xfId="9978" builtinId="9" hidden="1"/>
    <cellStyle name="Hipervínculo visitado" xfId="6474" builtinId="9" hidden="1"/>
    <cellStyle name="Hipervínculo visitado" xfId="6566" builtinId="9" hidden="1"/>
    <cellStyle name="Hipervínculo visitado" xfId="8650" builtinId="9" hidden="1"/>
    <cellStyle name="Hipervínculo visitado" xfId="4198" builtinId="9" hidden="1"/>
    <cellStyle name="Hipervínculo visitado" xfId="8026" builtinId="9" hidden="1"/>
    <cellStyle name="Hipervínculo visitado" xfId="6574" builtinId="9" hidden="1"/>
    <cellStyle name="Hipervínculo visitado" xfId="2240" builtinId="9" hidden="1"/>
    <cellStyle name="Hipervínculo visitado" xfId="10508" builtinId="9" hidden="1"/>
    <cellStyle name="Hipervínculo visitado" xfId="4964" builtinId="9" hidden="1"/>
    <cellStyle name="Hipervínculo visitado" xfId="1130" builtinId="9" hidden="1"/>
    <cellStyle name="Hipervínculo visitado" xfId="1614" builtinId="9" hidden="1"/>
    <cellStyle name="Hipervínculo visitado" xfId="6014" builtinId="9" hidden="1"/>
    <cellStyle name="Hipervínculo visitado" xfId="630" builtinId="9" hidden="1"/>
    <cellStyle name="Hipervínculo visitado" xfId="3496" builtinId="9" hidden="1"/>
    <cellStyle name="Hipervínculo visitado" xfId="1824" builtinId="9" hidden="1"/>
    <cellStyle name="Hipervínculo visitado" xfId="5020" builtinId="9" hidden="1"/>
    <cellStyle name="Hipervínculo visitado" xfId="1382" builtinId="9" hidden="1"/>
    <cellStyle name="Hipervínculo visitado" xfId="4412" builtinId="9" hidden="1"/>
    <cellStyle name="Hipervínculo visitado" xfId="2022" builtinId="9" hidden="1"/>
    <cellStyle name="Hipervínculo visitado" xfId="8456" builtinId="9" hidden="1"/>
    <cellStyle name="Hipervínculo visitado" xfId="9126" builtinId="9" hidden="1"/>
    <cellStyle name="Hipervínculo visitado" xfId="1434" builtinId="9" hidden="1"/>
    <cellStyle name="Hipervínculo visitado" xfId="10608" builtinId="9" hidden="1"/>
    <cellStyle name="Hipervínculo visitado" xfId="1142" builtinId="9" hidden="1"/>
    <cellStyle name="Hipervínculo visitado" xfId="3160" builtinId="9" hidden="1"/>
    <cellStyle name="Hipervínculo visitado" xfId="1232" builtinId="9" hidden="1"/>
    <cellStyle name="Hipervínculo visitado" xfId="3048" builtinId="9" hidden="1"/>
    <cellStyle name="Hipervínculo visitado" xfId="1088" builtinId="9" hidden="1"/>
    <cellStyle name="Hipervínculo visitado" xfId="8592" builtinId="9" hidden="1"/>
    <cellStyle name="Hipervínculo visitado" xfId="3292" builtinId="9" hidden="1"/>
    <cellStyle name="Hipervínculo visitado" xfId="1786" builtinId="9" hidden="1"/>
    <cellStyle name="Hipervínculo visitado" xfId="3202" builtinId="9" hidden="1"/>
    <cellStyle name="Hipervínculo visitado" xfId="7162" builtinId="9" hidden="1"/>
    <cellStyle name="Hipervínculo visitado" xfId="1274" builtinId="9" hidden="1"/>
    <cellStyle name="Hipervínculo visitado" xfId="2236" builtinId="9" hidden="1"/>
    <cellStyle name="Hipervínculo visitado" xfId="4678" builtinId="9" hidden="1"/>
    <cellStyle name="Hipervínculo visitado" xfId="4882" builtinId="9" hidden="1"/>
    <cellStyle name="Hipervínculo visitado" xfId="4022" builtinId="9" hidden="1"/>
    <cellStyle name="Hipervínculo visitado" xfId="9906" builtinId="9" hidden="1"/>
    <cellStyle name="Hipervínculo visitado" xfId="1494" builtinId="9" hidden="1"/>
    <cellStyle name="Hipervínculo visitado" xfId="6924" builtinId="9" hidden="1"/>
    <cellStyle name="Hipervínculo visitado" xfId="9060" builtinId="9" hidden="1"/>
    <cellStyle name="Hipervínculo visitado" xfId="10368" builtinId="9" hidden="1"/>
    <cellStyle name="Hipervínculo visitado" xfId="2838" builtinId="9" hidden="1"/>
    <cellStyle name="Hipervínculo visitado" xfId="1626" builtinId="9" hidden="1"/>
    <cellStyle name="Hipervínculo visitado" xfId="5742" builtinId="9" hidden="1"/>
    <cellStyle name="Hipervínculo visitado" xfId="3188" builtinId="9" hidden="1"/>
    <cellStyle name="Hipervínculo visitado" xfId="1668" builtinId="9" hidden="1"/>
    <cellStyle name="Hipervínculo visitado" xfId="3344" builtinId="9" hidden="1"/>
    <cellStyle name="Hipervínculo visitado" xfId="7490" builtinId="9" hidden="1"/>
    <cellStyle name="Hipervínculo visitado" xfId="6200" builtinId="9" hidden="1"/>
    <cellStyle name="Hipervínculo visitado" xfId="8766" builtinId="9" hidden="1"/>
    <cellStyle name="Hipervínculo visitado" xfId="5232" builtinId="9" hidden="1"/>
    <cellStyle name="Hipervínculo visitado" xfId="380" builtinId="9" hidden="1"/>
    <cellStyle name="Hipervínculo visitado" xfId="2666" builtinId="9" hidden="1"/>
    <cellStyle name="Hipervínculo visitado" xfId="10744" builtinId="9" hidden="1"/>
    <cellStyle name="Hipervínculo visitado" xfId="10714" builtinId="9" hidden="1"/>
    <cellStyle name="Hipervínculo visitado" xfId="700" builtinId="9" hidden="1"/>
    <cellStyle name="Hipervínculo visitado" xfId="9662" builtinId="9" hidden="1"/>
    <cellStyle name="Hipervínculo visitado" xfId="4856" builtinId="9" hidden="1"/>
    <cellStyle name="Hipervínculo visitado" xfId="4718" builtinId="9" hidden="1"/>
    <cellStyle name="Hipervínculo visitado" xfId="8706" builtinId="9" hidden="1"/>
    <cellStyle name="Hipervínculo visitado" xfId="7916" builtinId="9" hidden="1"/>
    <cellStyle name="Hipervínculo visitado" xfId="3448" builtinId="9" hidden="1"/>
    <cellStyle name="Hipervínculo visitado" xfId="1368" builtinId="9" hidden="1"/>
    <cellStyle name="Hipervínculo visitado" xfId="2732" builtinId="9" hidden="1"/>
    <cellStyle name="Hipervínculo visitado" xfId="2042" builtinId="9" hidden="1"/>
    <cellStyle name="Hipervínculo visitado" xfId="7648" builtinId="9" hidden="1"/>
    <cellStyle name="Hipervínculo visitado" xfId="5978" builtinId="9" hidden="1"/>
    <cellStyle name="Hipervínculo visitado" xfId="7188" builtinId="9" hidden="1"/>
    <cellStyle name="Hipervínculo visitado" xfId="5724" builtinId="9" hidden="1"/>
    <cellStyle name="Hipervínculo visitado" xfId="7046" builtinId="9" hidden="1"/>
    <cellStyle name="Hipervínculo visitado" xfId="1696" builtinId="9" hidden="1"/>
    <cellStyle name="Hipervínculo visitado" xfId="106" builtinId="9" hidden="1"/>
    <cellStyle name="Hipervínculo visitado" xfId="4664" builtinId="9" hidden="1"/>
    <cellStyle name="Hipervínculo visitado" xfId="1362" builtinId="9" hidden="1"/>
    <cellStyle name="Hipervínculo visitado" xfId="8260" builtinId="9" hidden="1"/>
    <cellStyle name="Hipervínculo visitado" xfId="2498" builtinId="9" hidden="1"/>
    <cellStyle name="Hipervínculo visitado" xfId="8582" builtinId="9" hidden="1"/>
    <cellStyle name="Hipervínculo visitado" xfId="10108" builtinId="9" hidden="1"/>
    <cellStyle name="Hipervínculo visitado" xfId="3370" builtinId="9" hidden="1"/>
    <cellStyle name="Hipervínculo visitado" xfId="5984" builtinId="9" hidden="1"/>
    <cellStyle name="Hipervínculo visitado" xfId="10458" builtinId="9" hidden="1"/>
    <cellStyle name="Hipervínculo visitado" xfId="4466" builtinId="9" hidden="1"/>
    <cellStyle name="Hipervínculo visitado" xfId="6762" builtinId="9" hidden="1"/>
    <cellStyle name="Hipervínculo visitado" xfId="6794" builtinId="9" hidden="1"/>
    <cellStyle name="Hipervínculo visitado" xfId="4002" builtinId="9" hidden="1"/>
    <cellStyle name="Hipervínculo visitado" xfId="10910" builtinId="9" hidden="1"/>
    <cellStyle name="Hipervínculo visitado" xfId="9910" builtinId="9" hidden="1"/>
    <cellStyle name="Hipervínculo visitado" xfId="10562" builtinId="9" hidden="1"/>
    <cellStyle name="Hipervínculo visitado" xfId="5184" builtinId="9" hidden="1"/>
    <cellStyle name="Hipervínculo visitado" xfId="6212" builtinId="9" hidden="1"/>
    <cellStyle name="Hipervínculo visitado" xfId="10822" builtinId="9" hidden="1"/>
    <cellStyle name="Hipervínculo visitado" xfId="284" builtinId="9" hidden="1"/>
    <cellStyle name="Hipervínculo visitado" xfId="3280" builtinId="9" hidden="1"/>
    <cellStyle name="Hipervínculo visitado" xfId="1174" builtinId="9" hidden="1"/>
    <cellStyle name="Hipervínculo visitado" xfId="5780" builtinId="9" hidden="1"/>
    <cellStyle name="Hipervínculo visitado" xfId="9082" builtinId="9" hidden="1"/>
    <cellStyle name="Hipervínculo visitado" xfId="4314" builtinId="9" hidden="1"/>
    <cellStyle name="Hipervínculo visitado" xfId="6966" builtinId="9" hidden="1"/>
    <cellStyle name="Hipervínculo visitado" xfId="5190" builtinId="9" hidden="1"/>
    <cellStyle name="Hipervínculo visitado" xfId="8750" builtinId="9" hidden="1"/>
    <cellStyle name="Hipervínculo visitado" xfId="4814" builtinId="9" hidden="1"/>
    <cellStyle name="Hipervínculo visitado" xfId="6140" builtinId="9" hidden="1"/>
    <cellStyle name="Hipervínculo visitado" xfId="3726" builtinId="9" hidden="1"/>
    <cellStyle name="Hipervínculo visitado" xfId="2486" builtinId="9" hidden="1"/>
    <cellStyle name="Hipervínculo visitado" xfId="7792" builtinId="9" hidden="1"/>
    <cellStyle name="Hipervínculo visitado" xfId="6802" builtinId="9" hidden="1"/>
    <cellStyle name="Hipervínculo visitado" xfId="5038" builtinId="9" hidden="1"/>
    <cellStyle name="Hipervínculo visitado" xfId="6698" builtinId="9" hidden="1"/>
    <cellStyle name="Hipervínculo visitado" xfId="1678" builtinId="9" hidden="1"/>
    <cellStyle name="Hipervínculo visitado" xfId="10390" builtinId="9" hidden="1"/>
    <cellStyle name="Hipervínculo visitado" xfId="5822" builtinId="9" hidden="1"/>
    <cellStyle name="Hipervínculo visitado" xfId="2836" builtinId="9" hidden="1"/>
    <cellStyle name="Hipervínculo visitado" xfId="10924" builtinId="9" hidden="1"/>
    <cellStyle name="Hipervínculo visitado" xfId="660" builtinId="9" hidden="1"/>
    <cellStyle name="Hipervínculo visitado" xfId="3278" builtinId="9" hidden="1"/>
    <cellStyle name="Hipervínculo visitado" xfId="3748" builtinId="9" hidden="1"/>
    <cellStyle name="Hipervínculo visitado" xfId="560" builtinId="9" hidden="1"/>
    <cellStyle name="Hipervínculo visitado" xfId="1482" builtinId="9" hidden="1"/>
    <cellStyle name="Hipervínculo visitado" xfId="10856" builtinId="9" hidden="1"/>
    <cellStyle name="Hipervínculo visitado" xfId="9754" builtinId="9" hidden="1"/>
    <cellStyle name="Hipervínculo visitado" xfId="3262" builtinId="9" hidden="1"/>
    <cellStyle name="Hipervínculo visitado" xfId="2776" builtinId="9" hidden="1"/>
    <cellStyle name="Hipervínculo visitado" xfId="1664" builtinId="9" hidden="1"/>
    <cellStyle name="Hipervínculo visitado" xfId="2140" builtinId="9" hidden="1"/>
    <cellStyle name="Hipervínculo visitado" xfId="2648" builtinId="9" hidden="1"/>
    <cellStyle name="Hipervínculo visitado" xfId="10904" builtinId="9" hidden="1"/>
    <cellStyle name="Hipervínculo visitado" xfId="10844" builtinId="9" hidden="1"/>
    <cellStyle name="Hipervínculo visitado" xfId="6228" builtinId="9" hidden="1"/>
    <cellStyle name="Hipervínculo visitado" xfId="5870" builtinId="9" hidden="1"/>
    <cellStyle name="Hipervínculo visitado" xfId="3154" builtinId="9" hidden="1"/>
    <cellStyle name="Hipervínculo visitado" xfId="6276" builtinId="9" hidden="1"/>
    <cellStyle name="Hipervínculo visitado" xfId="6836" builtinId="9" hidden="1"/>
    <cellStyle name="Hipervínculo visitado" xfId="6206" builtinId="9" hidden="1"/>
    <cellStyle name="Hipervínculo visitado" xfId="2958" builtinId="9" hidden="1"/>
    <cellStyle name="Hipervínculo visitado" xfId="6342" builtinId="9" hidden="1"/>
    <cellStyle name="Hipervínculo visitado" xfId="9424" builtinId="9" hidden="1"/>
    <cellStyle name="Hipervínculo visitado" xfId="6644" builtinId="9" hidden="1"/>
    <cellStyle name="Hipervínculo visitado" xfId="7398" builtinId="9" hidden="1"/>
    <cellStyle name="Hipervínculo visitado" xfId="5336" builtinId="9" hidden="1"/>
    <cellStyle name="Hipervínculo visitado" xfId="2810" builtinId="9" hidden="1"/>
    <cellStyle name="Hipervínculo visitado" xfId="4610" builtinId="9" hidden="1"/>
    <cellStyle name="Hipervínculo visitado" xfId="1406" builtinId="9" hidden="1"/>
    <cellStyle name="Hipervínculo visitado" xfId="10464" builtinId="9" hidden="1"/>
    <cellStyle name="Hipervínculo visitado" xfId="8856" builtinId="9" hidden="1"/>
    <cellStyle name="Hipervínculo visitado" xfId="5044" builtinId="9" hidden="1"/>
    <cellStyle name="Hipervínculo visitado" xfId="3204" builtinId="9" hidden="1"/>
    <cellStyle name="Hipervínculo visitado" xfId="9722" builtinId="9" hidden="1"/>
    <cellStyle name="Hipervínculo visitado" xfId="8800" builtinId="9" hidden="1"/>
    <cellStyle name="Hipervínculo visitado" xfId="9628" builtinId="9" hidden="1"/>
    <cellStyle name="Hipervínculo visitado" xfId="304" builtinId="9" hidden="1"/>
    <cellStyle name="Hipervínculo visitado" xfId="3116" builtinId="9" hidden="1"/>
    <cellStyle name="Hipervínculo visitado" xfId="4438" builtinId="9" hidden="1"/>
    <cellStyle name="Hipervínculo visitado" xfId="3532" builtinId="9" hidden="1"/>
    <cellStyle name="Hipervínculo visitado" xfId="9894" builtinId="9" hidden="1"/>
    <cellStyle name="Hipervínculo visitado" xfId="1542" builtinId="9" hidden="1"/>
    <cellStyle name="Hipervínculo visitado" xfId="8718" builtinId="9" hidden="1"/>
    <cellStyle name="Hipervínculo visitado" xfId="6770" builtinId="9" hidden="1"/>
    <cellStyle name="Hipervínculo visitado" xfId="7484" builtinId="9" hidden="1"/>
    <cellStyle name="Hipervínculo visitado" xfId="6002" builtinId="9" hidden="1"/>
    <cellStyle name="Hipervínculo visitado" xfId="9158" builtinId="9" hidden="1"/>
    <cellStyle name="Hipervínculo visitado" xfId="742" builtinId="9" hidden="1"/>
    <cellStyle name="Hipervínculo visitado" xfId="2086" builtinId="9" hidden="1"/>
    <cellStyle name="Hipervínculo visitado" xfId="7936" builtinId="9" hidden="1"/>
    <cellStyle name="Hipervínculo visitado" xfId="6724" builtinId="9" hidden="1"/>
    <cellStyle name="Hipervínculo visitado" xfId="8474" builtinId="9" hidden="1"/>
    <cellStyle name="Hipervínculo visitado" xfId="11078" builtinId="9" hidden="1"/>
    <cellStyle name="Hipervínculo visitado" xfId="7266" builtinId="9" hidden="1"/>
    <cellStyle name="Hipervínculo visitado" xfId="7434" builtinId="9" hidden="1"/>
    <cellStyle name="Hipervínculo visitado" xfId="5064" builtinId="9" hidden="1"/>
    <cellStyle name="Hipervínculo visitado" xfId="6106" builtinId="9" hidden="1"/>
    <cellStyle name="Hipervínculo visitado" xfId="9806" builtinId="9" hidden="1"/>
    <cellStyle name="Hipervínculo visitado" xfId="8608" builtinId="9" hidden="1"/>
    <cellStyle name="Hipervínculo visitado" xfId="5672" builtinId="9" hidden="1"/>
    <cellStyle name="Hipervínculo visitado" xfId="8616" builtinId="9" hidden="1"/>
    <cellStyle name="Hipervínculo visitado" xfId="6364" builtinId="9" hidden="1"/>
    <cellStyle name="Hipervínculo visitado" xfId="5252" builtinId="9" hidden="1"/>
    <cellStyle name="Hipervínculo visitado" xfId="2618" builtinId="9" hidden="1"/>
    <cellStyle name="Hipervínculo visitado" xfId="1164" builtinId="9" hidden="1"/>
    <cellStyle name="Hipervínculo visitado" xfId="8770" builtinId="9" hidden="1"/>
    <cellStyle name="Hipervínculo visitado" xfId="2342" builtinId="9" hidden="1"/>
    <cellStyle name="Hipervínculo visitado" xfId="9312" builtinId="9" hidden="1"/>
    <cellStyle name="Hipervínculo visitado" xfId="10896" builtinId="9" hidden="1"/>
    <cellStyle name="Hipervínculo visitado" xfId="5802" builtinId="9" hidden="1"/>
    <cellStyle name="Hipervínculo visitado" xfId="3884" builtinId="9" hidden="1"/>
    <cellStyle name="Hipervínculo visitado" xfId="10224" builtinId="9" hidden="1"/>
    <cellStyle name="Hipervínculo visitado" xfId="7040" builtinId="9" hidden="1"/>
    <cellStyle name="Hipervínculo visitado" xfId="7252" builtinId="9" hidden="1"/>
    <cellStyle name="Hipervínculo visitado" xfId="3144" builtinId="9" hidden="1"/>
    <cellStyle name="Hipervínculo visitado" xfId="1014" builtinId="9" hidden="1"/>
    <cellStyle name="Hipervínculo visitado" xfId="3740" builtinId="9" hidden="1"/>
    <cellStyle name="Hipervínculo visitado" xfId="8704" builtinId="9" hidden="1"/>
    <cellStyle name="Hipervínculo visitado" xfId="8242" builtinId="9" hidden="1"/>
    <cellStyle name="Hipervínculo visitado" xfId="9950" builtinId="9" hidden="1"/>
    <cellStyle name="Hipervínculo visitado" xfId="964" builtinId="9" hidden="1"/>
    <cellStyle name="Hipervínculo visitado" xfId="2034" builtinId="9" hidden="1"/>
    <cellStyle name="Hipervínculo visitado" xfId="4554" builtinId="9" hidden="1"/>
    <cellStyle name="Hipervínculo visitado" xfId="9280" builtinId="9" hidden="1"/>
    <cellStyle name="Hipervínculo visitado" xfId="5872" builtinId="9" hidden="1"/>
    <cellStyle name="Hipervínculo visitado" xfId="1952" builtinId="9" hidden="1"/>
    <cellStyle name="Hipervínculo visitado" xfId="3400" builtinId="9" hidden="1"/>
    <cellStyle name="Hipervínculo visitado" xfId="6258" builtinId="9" hidden="1"/>
    <cellStyle name="Hipervínculo visitado" xfId="3158" builtinId="9" hidden="1"/>
    <cellStyle name="Hipervínculo visitado" xfId="1830" builtinId="9" hidden="1"/>
    <cellStyle name="Hipervínculo visitado" xfId="774" builtinId="9" hidden="1"/>
    <cellStyle name="Hipervínculo visitado" xfId="3924" builtinId="9" hidden="1"/>
    <cellStyle name="Hipervínculo visitado" xfId="3648" builtinId="9" hidden="1"/>
    <cellStyle name="Hipervínculo visitado" xfId="444" builtinId="9" hidden="1"/>
    <cellStyle name="Hipervínculo visitado" xfId="9242" builtinId="9" hidden="1"/>
    <cellStyle name="Hipervínculo visitado" xfId="2902" builtinId="9" hidden="1"/>
    <cellStyle name="Hipervínculo visitado" xfId="7670" builtinId="9" hidden="1"/>
    <cellStyle name="Hipervínculo visitado" xfId="9072" builtinId="9" hidden="1"/>
    <cellStyle name="Hipervínculo visitado" xfId="8006" builtinId="9" hidden="1"/>
    <cellStyle name="Hipervínculo visitado" xfId="8442" builtinId="9" hidden="1"/>
    <cellStyle name="Hipervínculo visitado" xfId="4896" builtinId="9" hidden="1"/>
    <cellStyle name="Hipervínculo visitado" xfId="8494" builtinId="9" hidden="1"/>
    <cellStyle name="Hipervínculo visitado" xfId="7760" builtinId="9" hidden="1"/>
    <cellStyle name="Hipervínculo visitado" xfId="9938" builtinId="9" hidden="1"/>
    <cellStyle name="Hipervínculo visitado" xfId="1128" builtinId="9" hidden="1"/>
    <cellStyle name="Hipervínculo visitado" xfId="8978" builtinId="9" hidden="1"/>
    <cellStyle name="Hipervínculo visitado" xfId="7738" builtinId="9" hidden="1"/>
    <cellStyle name="Hipervínculo visitado" xfId="2970" builtinId="9" hidden="1"/>
    <cellStyle name="Hipervínculo visitado" xfId="4478" builtinId="9" hidden="1"/>
    <cellStyle name="Hipervínculo visitado" xfId="1610" builtinId="9" hidden="1"/>
    <cellStyle name="Hipervínculo visitado" xfId="7688" builtinId="9" hidden="1"/>
    <cellStyle name="Hipervínculo visitado" xfId="7660" builtinId="9" hidden="1"/>
    <cellStyle name="Hipervínculo visitado" xfId="2804" builtinId="9" hidden="1"/>
    <cellStyle name="Hipervínculo visitado" xfId="11000" builtinId="9" hidden="1"/>
    <cellStyle name="Hipervínculo visitado" xfId="9470" builtinId="9" hidden="1"/>
    <cellStyle name="Hipervínculo visitado" xfId="4840" builtinId="9" hidden="1"/>
    <cellStyle name="Hipervínculo visitado" xfId="1512" builtinId="9" hidden="1"/>
    <cellStyle name="Hipervínculo visitado" xfId="194" builtinId="9" hidden="1"/>
    <cellStyle name="Hipervínculo visitado" xfId="4822" builtinId="9" hidden="1"/>
    <cellStyle name="Hipervínculo visitado" xfId="9622" builtinId="9" hidden="1"/>
    <cellStyle name="Hipervínculo visitado" xfId="4982" builtinId="9" hidden="1"/>
    <cellStyle name="Hipervínculo visitado" xfId="5556" builtinId="9" hidden="1"/>
    <cellStyle name="Hipervínculo visitado" xfId="1822" builtinId="9" hidden="1"/>
    <cellStyle name="Hipervínculo visitado" xfId="5690" builtinId="9" hidden="1"/>
    <cellStyle name="Hipervínculo visitado" xfId="9118" builtinId="9" hidden="1"/>
    <cellStyle name="Hipervínculo visitado" xfId="10626" builtinId="9" hidden="1"/>
    <cellStyle name="Hipervínculo visitado" xfId="9542" builtinId="9" hidden="1"/>
    <cellStyle name="Hipervínculo visitado" xfId="10932" builtinId="9" hidden="1"/>
    <cellStyle name="Hipervínculo visitado" xfId="6930" builtinId="9" hidden="1"/>
    <cellStyle name="Hipervínculo visitado" xfId="9968" builtinId="9" hidden="1"/>
    <cellStyle name="Hipervínculo visitado" xfId="10638" builtinId="9" hidden="1"/>
    <cellStyle name="Hipervínculo visitado" xfId="10160" builtinId="9" hidden="1"/>
    <cellStyle name="Hipervínculo visitado" xfId="10566" builtinId="9" hidden="1"/>
    <cellStyle name="Hipervínculo visitado" xfId="4540" builtinId="9" hidden="1"/>
    <cellStyle name="Hipervínculo visitado" xfId="7896" builtinId="9" hidden="1"/>
    <cellStyle name="Hipervínculo visitado" xfId="3230" builtinId="9" hidden="1"/>
    <cellStyle name="Hipervínculo visitado" xfId="4124" builtinId="9" hidden="1"/>
    <cellStyle name="Hipervínculo visitado" xfId="8326" builtinId="9" hidden="1"/>
    <cellStyle name="Hipervínculo visitado" xfId="10372" builtinId="9" hidden="1"/>
    <cellStyle name="Hipervínculo visitado" xfId="10784" builtinId="9" hidden="1"/>
    <cellStyle name="Hipervínculo visitado" xfId="2058" builtinId="9" hidden="1"/>
    <cellStyle name="Hipervínculo visitado" xfId="2206" builtinId="9" hidden="1"/>
    <cellStyle name="Hipervínculo visitado" xfId="3108" builtinId="9" hidden="1"/>
    <cellStyle name="Hipervínculo visitado" xfId="9778" builtinId="9" hidden="1"/>
    <cellStyle name="Hipervínculo visitado" xfId="5774" builtinId="9" hidden="1"/>
    <cellStyle name="Hipervínculo visitado" xfId="7424" builtinId="9" hidden="1"/>
    <cellStyle name="Hipervínculo visitado" xfId="3138" builtinId="9" hidden="1"/>
    <cellStyle name="Hipervínculo visitado" xfId="1706" builtinId="9" hidden="1"/>
    <cellStyle name="Hipervínculo visitado" xfId="1964" builtinId="9" hidden="1"/>
    <cellStyle name="Hipervínculo visitado" xfId="5154" builtinId="9" hidden="1"/>
    <cellStyle name="Hipervínculo visitado" xfId="7204" builtinId="9" hidden="1"/>
    <cellStyle name="Hipervínculo visitado" xfId="570" builtinId="9" hidden="1"/>
    <cellStyle name="Hipervínculo visitado" xfId="4878" builtinId="9" hidden="1"/>
    <cellStyle name="Hipervínculo visitado" xfId="240" builtinId="9" hidden="1"/>
    <cellStyle name="Hipervínculo visitado" xfId="7560" builtinId="9" hidden="1"/>
    <cellStyle name="Hipervínculo visitado" xfId="74" builtinId="9" hidden="1"/>
    <cellStyle name="Hipervínculo visitado" xfId="4750" builtinId="9" hidden="1"/>
    <cellStyle name="Hipervínculo visitado" xfId="6604" builtinId="9" hidden="1"/>
    <cellStyle name="Hipervínculo visitado" xfId="440" builtinId="9" hidden="1"/>
    <cellStyle name="Hipervínculo visitado" xfId="5282" builtinId="9" hidden="1"/>
    <cellStyle name="Hipervínculo visitado" xfId="3752" builtinId="9" hidden="1"/>
    <cellStyle name="Hipervínculo visitado" xfId="10088" builtinId="9" hidden="1"/>
    <cellStyle name="Hipervínculo visitado" xfId="7606" builtinId="9" hidden="1"/>
    <cellStyle name="Hipervínculo visitado" xfId="1848" builtinId="9" hidden="1"/>
    <cellStyle name="Hipervínculo visitado" xfId="6456" builtinId="9" hidden="1"/>
    <cellStyle name="Hipervínculo visitado" xfId="8934" builtinId="9" hidden="1"/>
    <cellStyle name="Hipervínculo visitado" xfId="4998" builtinId="9" hidden="1"/>
    <cellStyle name="Hipervínculo visitado" xfId="4238" builtinId="9" hidden="1"/>
    <cellStyle name="Hipervínculo visitado" xfId="3366" builtinId="9" hidden="1"/>
    <cellStyle name="Hipervínculo visitado" xfId="5758" builtinId="9" hidden="1"/>
    <cellStyle name="Hipervínculo visitado" xfId="2720" builtinId="9" hidden="1"/>
    <cellStyle name="Hipervínculo visitado" xfId="1260" builtinId="9" hidden="1"/>
    <cellStyle name="Hipervínculo visitado" xfId="1686" builtinId="9" hidden="1"/>
    <cellStyle name="Hipervínculo visitado" xfId="9710" builtinId="9" hidden="1"/>
    <cellStyle name="Hipervínculo visitado" xfId="7506" builtinId="9" hidden="1"/>
    <cellStyle name="Hipervínculo visitado" xfId="10882" builtinId="9" hidden="1"/>
    <cellStyle name="Hipervínculo visitado" xfId="6024" builtinId="9" hidden="1"/>
    <cellStyle name="Hipervínculo visitado" xfId="7900" builtinId="9" hidden="1"/>
    <cellStyle name="Hipervínculo visitado" xfId="588" builtinId="9" hidden="1"/>
    <cellStyle name="Hipervínculo visitado" xfId="2082" builtinId="9" hidden="1"/>
    <cellStyle name="Hipervínculo visitado" xfId="1980" builtinId="9" hidden="1"/>
    <cellStyle name="Hipervínculo visitado" xfId="912" builtinId="9" hidden="1"/>
    <cellStyle name="Hipervínculo visitado" xfId="4582" builtinId="9" hidden="1"/>
    <cellStyle name="Hipervínculo visitado" xfId="3714" builtinId="9" hidden="1"/>
    <cellStyle name="Hipervínculo visitado" xfId="4038" builtinId="9" hidden="1"/>
    <cellStyle name="Hipervínculo visitado" xfId="402" builtinId="9" hidden="1"/>
    <cellStyle name="Hipervínculo visitado" xfId="4460" builtinId="9" hidden="1"/>
    <cellStyle name="Hipervínculo visitado" xfId="1202" builtinId="9" hidden="1"/>
    <cellStyle name="Hipervínculo visitado" xfId="2636" builtinId="9" hidden="1"/>
    <cellStyle name="Hipervínculo visitado" xfId="2852" builtinId="9" hidden="1"/>
    <cellStyle name="Hipervínculo visitado" xfId="10374" builtinId="9" hidden="1"/>
    <cellStyle name="Hipervínculo visitado" xfId="7810" builtinId="9" hidden="1"/>
    <cellStyle name="Hipervínculo visitado" xfId="9238" builtinId="9" hidden="1"/>
    <cellStyle name="Hipervínculo visitado" xfId="7764" builtinId="9" hidden="1"/>
    <cellStyle name="Hipervínculo visitado" xfId="2644" builtinId="9" hidden="1"/>
    <cellStyle name="Hipervínculo visitado" xfId="2384" builtinId="9" hidden="1"/>
    <cellStyle name="Hipervínculo visitado" xfId="3630" builtinId="9" hidden="1"/>
    <cellStyle name="Hipervínculo visitado" xfId="236" builtinId="9" hidden="1"/>
    <cellStyle name="Hipervínculo visitado" xfId="7218" builtinId="9" hidden="1"/>
    <cellStyle name="Hipervínculo visitado" xfId="7454" builtinId="9" hidden="1"/>
    <cellStyle name="Hipervínculo visitado" xfId="1890" builtinId="9" hidden="1"/>
    <cellStyle name="Hipervínculo visitado" xfId="1724" builtinId="9" hidden="1"/>
    <cellStyle name="Hipervínculo visitado" xfId="7442" builtinId="9" hidden="1"/>
    <cellStyle name="Hipervínculo visitado" xfId="3074" builtinId="9" hidden="1"/>
    <cellStyle name="Hipervínculo visitado" xfId="2948" builtinId="9" hidden="1"/>
    <cellStyle name="Hipervínculo visitado" xfId="674" builtinId="9" hidden="1"/>
    <cellStyle name="Hipervínculo visitado" xfId="3268" builtinId="9" hidden="1"/>
    <cellStyle name="Hipervínculo visitado" xfId="9152" builtinId="9" hidden="1"/>
    <cellStyle name="Hipervínculo visitado" xfId="538" builtinId="9" hidden="1"/>
    <cellStyle name="Hipervínculo visitado" xfId="8264" builtinId="9" hidden="1"/>
    <cellStyle name="Hipervínculo visitado" xfId="6572" builtinId="9" hidden="1"/>
    <cellStyle name="Hipervínculo visitado" xfId="552" builtinId="9" hidden="1"/>
    <cellStyle name="Hipervínculo visitado" xfId="1990" builtinId="9" hidden="1"/>
    <cellStyle name="Hipervínculo visitado" xfId="6554" builtinId="9" hidden="1"/>
    <cellStyle name="Hipervínculo visitado" xfId="9022" builtinId="9" hidden="1"/>
    <cellStyle name="Hipervínculo visitado" xfId="1798" builtinId="9" hidden="1"/>
    <cellStyle name="Hipervínculo visitado" xfId="2512" builtinId="9" hidden="1"/>
    <cellStyle name="Hipervínculo visitado" xfId="9786" builtinId="9" hidden="1"/>
    <cellStyle name="Hipervínculo visitado" xfId="8738" builtinId="9" hidden="1"/>
    <cellStyle name="Hipervínculo visitado" xfId="4786" builtinId="9" hidden="1"/>
    <cellStyle name="Hipervínculo visitado" xfId="4384" builtinId="9" hidden="1"/>
    <cellStyle name="Hipervínculo visitado" xfId="4792" builtinId="9" hidden="1"/>
    <cellStyle name="Hipervínculo visitado" xfId="4224" builtinId="9" hidden="1"/>
    <cellStyle name="Hipervínculo visitado" xfId="4306" builtinId="9" hidden="1"/>
    <cellStyle name="Hipervínculo visitado" xfId="5278" builtinId="9" hidden="1"/>
    <cellStyle name="Hipervínculo visitado" xfId="7380" builtinId="9" hidden="1"/>
    <cellStyle name="Hipervínculo visitado" xfId="3014" builtinId="9" hidden="1"/>
    <cellStyle name="Hipervínculo visitado" xfId="3040" builtinId="9" hidden="1"/>
    <cellStyle name="Hipervínculo visitado" xfId="832" builtinId="9" hidden="1"/>
    <cellStyle name="Hipervínculo visitado" xfId="2912" builtinId="9" hidden="1"/>
    <cellStyle name="Hipervínculo visitado" xfId="3258" builtinId="9" hidden="1"/>
    <cellStyle name="Hipervínculo visitado" xfId="5750" builtinId="9" hidden="1"/>
    <cellStyle name="Hipervínculo visitado" xfId="2336" builtinId="9" hidden="1"/>
    <cellStyle name="Hipervínculo visitado" xfId="92" builtinId="9" hidden="1"/>
    <cellStyle name="Hipervínculo visitado" xfId="7174" builtinId="9" hidden="1"/>
    <cellStyle name="Hipervínculo visitado" xfId="6738" builtinId="9" hidden="1"/>
    <cellStyle name="Hipervínculo visitado" xfId="9200" builtinId="9" hidden="1"/>
    <cellStyle name="Hipervínculo visitado" xfId="8740" builtinId="9" hidden="1"/>
    <cellStyle name="Hipervínculo visitado" xfId="10486" builtinId="9" hidden="1"/>
    <cellStyle name="Hipervínculo visitado" xfId="5612" builtinId="9" hidden="1"/>
    <cellStyle name="Hipervínculo visitado" xfId="7904" builtinId="9" hidden="1"/>
    <cellStyle name="Hipervínculo visitado" xfId="5792" builtinId="9" hidden="1"/>
    <cellStyle name="Hipervínculo visitado" xfId="3560" builtinId="9" hidden="1"/>
    <cellStyle name="Hipervínculo visitado" xfId="764" builtinId="9" hidden="1"/>
    <cellStyle name="Hipervínculo visitado" xfId="9544" builtinId="9" hidden="1"/>
    <cellStyle name="Hipervínculo visitado" xfId="4538" builtinId="9" hidden="1"/>
    <cellStyle name="Hipervínculo visitado" xfId="6528" builtinId="9" hidden="1"/>
    <cellStyle name="Hipervínculo visitado" xfId="1054" builtinId="9" hidden="1"/>
    <cellStyle name="Hipervínculo visitado" xfId="3446" builtinId="9" hidden="1"/>
    <cellStyle name="Hipervínculo visitado" xfId="10380" builtinId="9" hidden="1"/>
    <cellStyle name="Hipervínculo visitado" xfId="7198" builtinId="9" hidden="1"/>
    <cellStyle name="Hipervínculo visitado" xfId="3208" builtinId="9" hidden="1"/>
    <cellStyle name="Hipervínculo visitado" xfId="2646" builtinId="9" hidden="1"/>
    <cellStyle name="Hipervínculo visitado" xfId="10292" builtinId="9" hidden="1"/>
    <cellStyle name="Hipervínculo visitado" xfId="3860" builtinId="9" hidden="1"/>
    <cellStyle name="Hipervínculo visitado" xfId="4866" builtinId="9" hidden="1"/>
    <cellStyle name="Hipervínculo visitado" xfId="5434" builtinId="9" hidden="1"/>
    <cellStyle name="Hipervínculo visitado" xfId="9272" builtinId="9" hidden="1"/>
    <cellStyle name="Hipervínculo visitado" xfId="812" builtinId="9" hidden="1"/>
    <cellStyle name="Hipervínculo visitado" xfId="5266" builtinId="9" hidden="1"/>
    <cellStyle name="Hipervínculo visitado" xfId="2368" builtinId="9" hidden="1"/>
    <cellStyle name="Hipervínculo visitado" xfId="6198" builtinId="9" hidden="1"/>
    <cellStyle name="Hipervínculo visitado" xfId="5450" builtinId="9" hidden="1"/>
    <cellStyle name="Hipervínculo visitado" xfId="3356" builtinId="9" hidden="1"/>
    <cellStyle name="Hipervínculo visitado" xfId="8552" builtinId="9" hidden="1"/>
    <cellStyle name="Hipervínculo visitado" xfId="8316" builtinId="9" hidden="1"/>
    <cellStyle name="Hipervínculo visitado" xfId="5926" builtinId="9" hidden="1"/>
    <cellStyle name="Hipervínculo visitado" xfId="8854" builtinId="9" hidden="1"/>
    <cellStyle name="Hipervínculo visitado" xfId="2036" builtinId="9" hidden="1"/>
    <cellStyle name="Hipervínculo visitado" xfId="5740" builtinId="9" hidden="1"/>
    <cellStyle name="Hipervínculo visitado" xfId="2690" builtinId="9" hidden="1"/>
    <cellStyle name="Hipervínculo visitado" xfId="6182" builtinId="9" hidden="1"/>
    <cellStyle name="Hipervínculo visitado" xfId="486" builtinId="9" hidden="1"/>
    <cellStyle name="Hipervínculo visitado" xfId="1084" builtinId="9" hidden="1"/>
    <cellStyle name="Hipervínculo visitado" xfId="4388" builtinId="9" hidden="1"/>
    <cellStyle name="Hipervínculo visitado" xfId="4770" builtinId="9" hidden="1"/>
    <cellStyle name="Hipervínculo visitado" xfId="5646" builtinId="9" hidden="1"/>
    <cellStyle name="Hipervínculo visitado" xfId="5478" builtinId="9" hidden="1"/>
    <cellStyle name="Hipervínculo visitado" xfId="5222" builtinId="9" hidden="1"/>
    <cellStyle name="Hipervínculo visitado" xfId="7264" builtinId="9" hidden="1"/>
    <cellStyle name="Hipervínculo visitado" xfId="7118" builtinId="9" hidden="1"/>
    <cellStyle name="Hipervínculo visitado" xfId="1624" builtinId="9" hidden="1"/>
    <cellStyle name="Hipervínculo visitado" xfId="8808" builtinId="9" hidden="1"/>
    <cellStyle name="Hipervínculo visitado" xfId="1516" builtinId="9" hidden="1"/>
    <cellStyle name="Hipervínculo visitado" xfId="7634" builtinId="9" hidden="1"/>
    <cellStyle name="Hipervínculo visitado" xfId="4450" builtinId="9" hidden="1"/>
    <cellStyle name="Hipervínculo visitado" xfId="6956" builtinId="9" hidden="1"/>
    <cellStyle name="Hipervínculo visitado" xfId="9184" builtinId="9" hidden="1"/>
    <cellStyle name="Hipervínculo visitado" xfId="8646" builtinId="9" hidden="1"/>
    <cellStyle name="Hipervínculo visitado" xfId="4152" builtinId="9" hidden="1"/>
    <cellStyle name="Hipervínculo visitado" xfId="110" builtinId="9" hidden="1"/>
    <cellStyle name="Hipervínculo visitado" xfId="6290" builtinId="9" hidden="1"/>
    <cellStyle name="Hipervínculo visitado" xfId="6336" builtinId="9" hidden="1"/>
    <cellStyle name="Hipervínculo visitado" xfId="8044" builtinId="9" hidden="1"/>
    <cellStyle name="Hipervínculo visitado" xfId="4892" builtinId="9" hidden="1"/>
    <cellStyle name="Hipervínculo visitado" xfId="3824" builtinId="9" hidden="1"/>
    <cellStyle name="Hipervínculo visitado" xfId="7402" builtinId="9" hidden="1"/>
    <cellStyle name="Hipervínculo visitado" xfId="8406" builtinId="9" hidden="1"/>
    <cellStyle name="Hipervínculo visitado" xfId="10796" builtinId="9" hidden="1"/>
    <cellStyle name="Hipervínculo visitado" xfId="5326" builtinId="9" hidden="1"/>
    <cellStyle name="Hipervínculo visitado" xfId="3938" builtinId="9" hidden="1"/>
    <cellStyle name="Hipervínculo visitado" xfId="5854" builtinId="9" hidden="1"/>
    <cellStyle name="Hipervínculo visitado" xfId="3926" builtinId="9" hidden="1"/>
    <cellStyle name="Hipervínculo visitado" xfId="8430" builtinId="9" hidden="1"/>
    <cellStyle name="Hipervínculo visitado" xfId="9856" builtinId="9" hidden="1"/>
    <cellStyle name="Hipervínculo visitado" xfId="172" builtinId="9" hidden="1"/>
    <cellStyle name="Hipervínculo visitado" xfId="1454" builtinId="9" hidden="1"/>
    <cellStyle name="Hipervínculo visitado" xfId="8648" builtinId="9" hidden="1"/>
    <cellStyle name="Hipervínculo visitado" xfId="1492" builtinId="9" hidden="1"/>
    <cellStyle name="Hipervínculo visitado" xfId="2926" builtinId="9" hidden="1"/>
    <cellStyle name="Hipervínculo visitado" xfId="7140" builtinId="9" hidden="1"/>
    <cellStyle name="Hipervínculo visitado" xfId="4026" builtinId="9" hidden="1"/>
    <cellStyle name="Hipervínculo visitado" xfId="7668" builtinId="9" hidden="1"/>
    <cellStyle name="Hipervínculo visitado" xfId="4542" builtinId="9" hidden="1"/>
    <cellStyle name="Hipervínculo visitado" xfId="942" builtinId="9" hidden="1"/>
    <cellStyle name="Hipervínculo visitado" xfId="2866" builtinId="9" hidden="1"/>
    <cellStyle name="Hipervínculo visitado" xfId="10968" builtinId="9" hidden="1"/>
    <cellStyle name="Hipervínculo visitado" xfId="11070" builtinId="9" hidden="1"/>
    <cellStyle name="Hipervínculo visitado" xfId="5580" builtinId="9" hidden="1"/>
    <cellStyle name="Hipervínculo visitado" xfId="9332" builtinId="9" hidden="1"/>
    <cellStyle name="Hipervínculo visitado" xfId="464" builtinId="9" hidden="1"/>
    <cellStyle name="Hipervínculo visitado" xfId="8178" builtinId="9" hidden="1"/>
    <cellStyle name="Hipervínculo visitado" xfId="1484" builtinId="9" hidden="1"/>
    <cellStyle name="Hipervínculo visitado" xfId="9458" builtinId="9" hidden="1"/>
    <cellStyle name="Hipervínculo visitado" xfId="3682" builtinId="9" hidden="1"/>
    <cellStyle name="Hipervínculo visitado" xfId="9292" builtinId="9" hidden="1"/>
    <cellStyle name="Hipervínculo visitado" xfId="10418" builtinId="9" hidden="1"/>
    <cellStyle name="Hipervínculo visitado" xfId="7942" builtinId="9" hidden="1"/>
    <cellStyle name="Hipervínculo visitado" xfId="7154" builtinId="9" hidden="1"/>
    <cellStyle name="Hipervínculo visitado" xfId="11068" builtinId="9" hidden="1"/>
    <cellStyle name="Hipervínculo visitado" xfId="10068" builtinId="9" hidden="1"/>
    <cellStyle name="Hipervínculo visitado" xfId="7740" builtinId="9" hidden="1"/>
    <cellStyle name="Hipervínculo visitado" xfId="11008" builtinId="9" hidden="1"/>
    <cellStyle name="Hipervínculo visitado" xfId="6876" builtinId="9" hidden="1"/>
    <cellStyle name="Hipervínculo visitado" xfId="7428" builtinId="9" hidden="1"/>
    <cellStyle name="Hipervínculo visitado" xfId="314" builtinId="9" hidden="1"/>
    <cellStyle name="Hipervínculo visitado" xfId="7222" builtinId="9" hidden="1"/>
    <cellStyle name="Hipervínculo visitado" xfId="5294" builtinId="9" hidden="1"/>
    <cellStyle name="Hipervínculo visitado" xfId="5390" builtinId="9" hidden="1"/>
    <cellStyle name="Hipervínculo visitado" xfId="5072" builtinId="9" hidden="1"/>
    <cellStyle name="Hipervínculo visitado" xfId="986" builtinId="9" hidden="1"/>
    <cellStyle name="Hipervínculo visitado" xfId="10242" builtinId="9" hidden="1"/>
    <cellStyle name="Hipervínculo visitado" xfId="6164" builtinId="9" hidden="1"/>
    <cellStyle name="Hipervínculo visitado" xfId="902" builtinId="9" hidden="1"/>
    <cellStyle name="Hipervínculo visitado" xfId="9654" builtinId="9" hidden="1"/>
    <cellStyle name="Hipervínculo visitado" xfId="8470" builtinId="9" hidden="1"/>
    <cellStyle name="Hipervínculo visitado" xfId="1760" builtinId="9" hidden="1"/>
    <cellStyle name="Hipervínculo visitado" xfId="9400" builtinId="9" hidden="1"/>
    <cellStyle name="Hipervínculo visitado" xfId="7058" builtinId="9" hidden="1"/>
    <cellStyle name="Hipervínculo visitado" xfId="9224" builtinId="9" hidden="1"/>
    <cellStyle name="Hipervínculo visitado" xfId="5730" builtinId="9" hidden="1"/>
    <cellStyle name="Hipervínculo visitado" xfId="4040" builtinId="9" hidden="1"/>
    <cellStyle name="Hipervínculo visitado" xfId="2708" builtinId="9" hidden="1"/>
    <cellStyle name="Hipervínculo visitado" xfId="5880" builtinId="9" hidden="1"/>
    <cellStyle name="Hipervínculo visitado" xfId="6154" builtinId="9" hidden="1"/>
    <cellStyle name="Hipervínculo visitado" xfId="858" builtinId="9" hidden="1"/>
    <cellStyle name="Hipervínculo visitado" xfId="5022" builtinId="9" hidden="1"/>
    <cellStyle name="Hipervínculo visitado" xfId="7576" builtinId="9" hidden="1"/>
    <cellStyle name="Hipervínculo visitado" xfId="5440" builtinId="9" hidden="1"/>
    <cellStyle name="Hipervínculo visitado" xfId="10506" builtinId="9" hidden="1"/>
    <cellStyle name="Hipervínculo visitado" xfId="4254" builtinId="9" hidden="1"/>
    <cellStyle name="Hipervínculo visitado" xfId="9636" builtinId="9" hidden="1"/>
    <cellStyle name="Hipervínculo visitado" xfId="2182" builtinId="9" hidden="1"/>
    <cellStyle name="Hipervínculo visitado" xfId="10680" builtinId="9" hidden="1"/>
    <cellStyle name="Hipervínculo visitado" xfId="5804" builtinId="9" hidden="1"/>
    <cellStyle name="Hipervínculo visitado" xfId="6716" builtinId="9" hidden="1"/>
    <cellStyle name="Hipervínculo visitado" xfId="10702" builtinId="9" hidden="1"/>
    <cellStyle name="Hipervínculo visitado" xfId="5042" builtinId="9" hidden="1"/>
    <cellStyle name="Hipervínculo visitado" xfId="9914" builtinId="9" hidden="1"/>
    <cellStyle name="Hipervínculo visitado" xfId="8192" builtinId="9" hidden="1"/>
    <cellStyle name="Hipervínculo visitado" xfId="4744" builtinId="9" hidden="1"/>
    <cellStyle name="Hipervínculo visitado" xfId="9408" builtinId="9" hidden="1"/>
    <cellStyle name="Hipervínculo visitado" xfId="8666" builtinId="9" hidden="1"/>
    <cellStyle name="Hipervínculo visitado" xfId="4592" builtinId="9" hidden="1"/>
    <cellStyle name="Hipervínculo visitado" xfId="4648" builtinId="9" hidden="1"/>
    <cellStyle name="Hipervínculo visitado" xfId="6764" builtinId="9" hidden="1"/>
    <cellStyle name="Hipervínculo visitado" xfId="9642" builtinId="9" hidden="1"/>
    <cellStyle name="Hipervínculo visitado" xfId="9478" builtinId="9" hidden="1"/>
    <cellStyle name="Hipervínculo visitado" xfId="3636" builtinId="9" hidden="1"/>
    <cellStyle name="Hipervínculo visitado" xfId="3078" builtinId="9" hidden="1"/>
    <cellStyle name="Hipervínculo visitado" xfId="2934" builtinId="9" hidden="1"/>
    <cellStyle name="Hipervínculo visitado" xfId="1144" builtinId="9" hidden="1"/>
    <cellStyle name="Hipervínculo visitado" xfId="5826" builtinId="9" hidden="1"/>
    <cellStyle name="Hipervínculo visitado" xfId="898" builtinId="9" hidden="1"/>
    <cellStyle name="Hipervínculo visitado" xfId="9036" builtinId="9" hidden="1"/>
    <cellStyle name="Hipervínculo visitado" xfId="2848" builtinId="9" hidden="1"/>
    <cellStyle name="Hipervínculo visitado" xfId="890" builtinId="9" hidden="1"/>
    <cellStyle name="Hipervínculo visitado" xfId="6822" builtinId="9" hidden="1"/>
    <cellStyle name="Hipervínculo visitado" xfId="10050" builtinId="9" hidden="1"/>
    <cellStyle name="Hipervínculo visitado" xfId="6244" builtinId="9" hidden="1"/>
    <cellStyle name="Hipervínculo visitado" xfId="1564" builtinId="9" hidden="1"/>
    <cellStyle name="Hipervínculo visitado" xfId="6694" builtinId="9" hidden="1"/>
    <cellStyle name="Hipervínculo visitado" xfId="10974" builtinId="9" hidden="1"/>
    <cellStyle name="Hipervínculo visitado" xfId="3384" builtinId="9" hidden="1"/>
    <cellStyle name="Hipervínculo visitado" xfId="260" builtinId="9" hidden="1"/>
    <cellStyle name="Hipervínculo visitado" xfId="4042" builtinId="9" hidden="1"/>
    <cellStyle name="Hipervínculo visitado" xfId="3696" builtinId="9" hidden="1"/>
    <cellStyle name="Hipervínculo visitado" xfId="1432" builtinId="9" hidden="1"/>
    <cellStyle name="Hipervínculo visitado" xfId="2104" builtinId="9" hidden="1"/>
    <cellStyle name="Hipervínculo visitado" xfId="7106" builtinId="9" hidden="1"/>
    <cellStyle name="Hipervínculo visitado" xfId="4652" builtinId="9" hidden="1"/>
    <cellStyle name="Hipervínculo visitado" xfId="60" builtinId="9" hidden="1"/>
    <cellStyle name="Hipervínculo visitado" xfId="8318" builtinId="9" hidden="1"/>
    <cellStyle name="Hipervínculo visitado" xfId="78" builtinId="9" hidden="1"/>
    <cellStyle name="Hipervínculo visitado" xfId="9996" builtinId="9" hidden="1"/>
    <cellStyle name="Hipervínculo visitado" xfId="3346" builtinId="9" hidden="1"/>
    <cellStyle name="Hipervínculo visitado" xfId="11064" builtinId="9" hidden="1"/>
    <cellStyle name="Hipervínculo visitado" xfId="4150" builtinId="9" hidden="1"/>
    <cellStyle name="Hipervínculo visitado" xfId="7042" builtinId="9" hidden="1"/>
    <cellStyle name="Hipervínculo visitado" xfId="6188" builtinId="9" hidden="1"/>
    <cellStyle name="Hipervínculo visitado" xfId="694" builtinId="9" hidden="1"/>
    <cellStyle name="Hipervínculo visitado" xfId="5312" builtinId="9" hidden="1"/>
    <cellStyle name="Hipervínculo visitado" xfId="9212" builtinId="9" hidden="1"/>
    <cellStyle name="Hipervínculo visitado" xfId="6312" builtinId="9" hidden="1"/>
    <cellStyle name="Hipervínculo visitado" xfId="6994" builtinId="9" hidden="1"/>
    <cellStyle name="Hipervínculo visitado" xfId="6898" builtinId="9" hidden="1"/>
    <cellStyle name="Hipervínculo visitado" xfId="458" builtinId="9" hidden="1"/>
    <cellStyle name="Hipervínculo visitado" xfId="4888" builtinId="9" hidden="1"/>
    <cellStyle name="Hipervínculo visitado" xfId="4362" builtinId="9" hidden="1"/>
    <cellStyle name="Hipervínculo visitado" xfId="8454" builtinId="9" hidden="1"/>
    <cellStyle name="Hipervínculo visitado" xfId="4352" builtinId="9" hidden="1"/>
    <cellStyle name="Hipervínculo visitado" xfId="5682" builtinId="9" hidden="1"/>
    <cellStyle name="Hipervínculo visitado" xfId="10444" builtinId="9" hidden="1"/>
    <cellStyle name="Hipervínculo visitado" xfId="6718" builtinId="9" hidden="1"/>
    <cellStyle name="Hipervínculo visitado" xfId="9882" builtinId="9" hidden="1"/>
    <cellStyle name="Hipervínculo visitado" xfId="6812" builtinId="9" hidden="1"/>
    <cellStyle name="Hipervínculo visitado" xfId="4338" builtinId="9" hidden="1"/>
    <cellStyle name="Hipervínculo visitado" xfId="6816" builtinId="9" hidden="1"/>
    <cellStyle name="Hipervínculo visitado" xfId="9484" builtinId="9" hidden="1"/>
    <cellStyle name="Hipervínculo visitado" xfId="472" builtinId="9" hidden="1"/>
    <cellStyle name="Hipervínculo visitado" xfId="4406" builtinId="9" hidden="1"/>
    <cellStyle name="Hipervínculo visitado" xfId="4130" builtinId="9" hidden="1"/>
    <cellStyle name="Hipervínculo visitado" xfId="7324" builtinId="9" hidden="1"/>
    <cellStyle name="Hipervínculo visitado" xfId="3314" builtinId="9" hidden="1"/>
    <cellStyle name="Hipervínculo visitado" xfId="3486" builtinId="9" hidden="1"/>
    <cellStyle name="Hipervínculo visitado" xfId="1842" builtinId="9" hidden="1"/>
    <cellStyle name="Hipervínculo visitado" xfId="3256" builtinId="9" hidden="1"/>
    <cellStyle name="Hipervínculo visitado" xfId="8106" builtinId="9" hidden="1"/>
    <cellStyle name="Hipervínculo visitado" xfId="7138" builtinId="9" hidden="1"/>
    <cellStyle name="Hipervínculo visitado" xfId="2286" builtinId="9" hidden="1"/>
    <cellStyle name="Hipervínculo visitado" xfId="2340" builtinId="9" hidden="1"/>
    <cellStyle name="Hipervínculo visitado" xfId="11066" builtinId="9" hidden="1"/>
    <cellStyle name="Hipervínculo visitado" xfId="6508" builtinId="9" hidden="1"/>
    <cellStyle name="Hipervínculo visitado" xfId="10060" builtinId="9" hidden="1"/>
    <cellStyle name="Hipervínculo visitado" xfId="9054" builtinId="9" hidden="1"/>
    <cellStyle name="Hipervínculo visitado" xfId="8230" builtinId="9" hidden="1"/>
    <cellStyle name="Hipervínculo visitado" xfId="6666" builtinId="9" hidden="1"/>
    <cellStyle name="Hipervínculo visitado" xfId="10302" builtinId="9" hidden="1"/>
    <cellStyle name="Hipervínculo visitado" xfId="8624" builtinId="9" hidden="1"/>
    <cellStyle name="Hipervínculo visitado" xfId="9132" builtinId="9" hidden="1"/>
    <cellStyle name="Hipervínculo visitado" xfId="6230" builtinId="9" hidden="1"/>
    <cellStyle name="Hipervínculo visitado" xfId="3818" builtinId="9" hidden="1"/>
    <cellStyle name="Hipervínculo visitado" xfId="974" builtinId="9" hidden="1"/>
    <cellStyle name="Hipervínculo visitado" xfId="184" builtinId="9" hidden="1"/>
    <cellStyle name="Hipervínculo visitado" xfId="5946" builtinId="9" hidden="1"/>
    <cellStyle name="Hipervínculo visitado" xfId="4734" builtinId="9" hidden="1"/>
    <cellStyle name="Hipervínculo visitado" xfId="7088" builtinId="9" hidden="1"/>
    <cellStyle name="Hipervínculo visitado" xfId="3908" builtinId="9" hidden="1"/>
    <cellStyle name="Hipervínculo visitado" xfId="2674" builtinId="9" hidden="1"/>
    <cellStyle name="Hipervínculo visitado" xfId="3054" builtinId="9" hidden="1"/>
    <cellStyle name="Hipervínculo visitado" xfId="1500" builtinId="9" hidden="1"/>
    <cellStyle name="Hipervínculo visitado" xfId="9714" builtinId="9" hidden="1"/>
    <cellStyle name="Hipervínculo visitado" xfId="1992" builtinId="9" hidden="1"/>
    <cellStyle name="Hipervínculo visitado" xfId="5062" builtinId="9" hidden="1"/>
    <cellStyle name="Hipervínculo visitado" xfId="9444" builtinId="9" hidden="1"/>
    <cellStyle name="Hipervínculo visitado" xfId="1632" builtinId="9" hidden="1"/>
    <cellStyle name="Hipervínculo visitado" xfId="7404" builtinId="9" hidden="1"/>
    <cellStyle name="Hipervínculo visitado" xfId="8166" builtinId="9" hidden="1"/>
    <cellStyle name="Hipervínculo visitado" xfId="7092" builtinId="9" hidden="1"/>
    <cellStyle name="Hipervínculo visitado" xfId="3266" builtinId="9" hidden="1"/>
    <cellStyle name="Hipervínculo visitado" xfId="10270" builtinId="9" hidden="1"/>
    <cellStyle name="Hipervínculo visitado" xfId="4374" builtinId="9" hidden="1"/>
    <cellStyle name="Hipervínculo visitado" xfId="342" builtinId="9" hidden="1"/>
    <cellStyle name="Hipervínculo visitado" xfId="10218" builtinId="9" hidden="1"/>
    <cellStyle name="Hipervínculo visitado" xfId="5850" builtinId="9" hidden="1"/>
    <cellStyle name="Hipervínculo visitado" xfId="3072" builtinId="9" hidden="1"/>
    <cellStyle name="Hipervínculo visitado" xfId="10178" builtinId="9" hidden="1"/>
    <cellStyle name="Hipervínculo visitado" xfId="10816" builtinId="9" hidden="1"/>
    <cellStyle name="Hipervínculo visitado" xfId="4206" builtinId="9" hidden="1"/>
    <cellStyle name="Hipervínculo visitado" xfId="3796" builtinId="9" hidden="1"/>
    <cellStyle name="Hipervínculo visitado" xfId="9884" builtinId="9" hidden="1"/>
    <cellStyle name="Hipervínculo visitado" xfId="1562" builtinId="9" hidden="1"/>
    <cellStyle name="Hipervínculo visitado" xfId="650" builtinId="9" hidden="1"/>
    <cellStyle name="Hipervínculo visitado" xfId="1672" builtinId="9" hidden="1"/>
    <cellStyle name="Hipervínculo visitado" xfId="5974" builtinId="9" hidden="1"/>
    <cellStyle name="Hipervínculo visitado" xfId="10376" builtinId="9" hidden="1"/>
    <cellStyle name="Hipervínculo visitado" xfId="10658" builtinId="9" hidden="1"/>
    <cellStyle name="Hipervínculo visitado" xfId="1140" builtinId="9" hidden="1"/>
    <cellStyle name="Hipervínculo visitado" xfId="1496" builtinId="9" hidden="1"/>
    <cellStyle name="Hipervínculo visitado" xfId="10472" builtinId="9" hidden="1"/>
    <cellStyle name="Hipervínculo visitado" xfId="9300" builtinId="9" hidden="1"/>
    <cellStyle name="Hipervínculo visitado" xfId="7172" builtinId="9" hidden="1"/>
    <cellStyle name="Hipervínculo visitado" xfId="2002" builtinId="9" hidden="1"/>
    <cellStyle name="Hipervínculo visitado" xfId="6044" builtinId="9" hidden="1"/>
    <cellStyle name="Hipervínculo visitado" xfId="920" builtinId="9" hidden="1"/>
    <cellStyle name="Hipervínculo visitado" xfId="10350" builtinId="9" hidden="1"/>
    <cellStyle name="Hipervínculo visitado" xfId="4332" builtinId="9" hidden="1"/>
    <cellStyle name="Hipervínculo visitado" xfId="8270" builtinId="9" hidden="1"/>
    <cellStyle name="Hipervínculo visitado" xfId="6060" builtinId="9" hidden="1"/>
    <cellStyle name="Hipervínculo visitado" xfId="860" builtinId="9" hidden="1"/>
    <cellStyle name="Hipervínculo visitado" xfId="4292" builtinId="9" hidden="1"/>
    <cellStyle name="Hipervínculo visitado" xfId="5150" builtinId="9" hidden="1"/>
    <cellStyle name="Hipervínculo visitado" xfId="10890" builtinId="9" hidden="1"/>
    <cellStyle name="Hipervínculo visitado" xfId="1794" builtinId="9" hidden="1"/>
    <cellStyle name="Hipervínculo visitado" xfId="10820" builtinId="9" hidden="1"/>
    <cellStyle name="Hipervínculo visitado" xfId="9992" builtinId="9" hidden="1"/>
    <cellStyle name="Hipervínculo visitado" xfId="2234" builtinId="9" hidden="1"/>
    <cellStyle name="Hipervínculo visitado" xfId="5174" builtinId="9" hidden="1"/>
    <cellStyle name="Hipervínculo visitado" xfId="8938" builtinId="9" hidden="1"/>
    <cellStyle name="Hipervínculo visitado" xfId="9418" builtinId="9" hidden="1"/>
    <cellStyle name="Hipervínculo visitado" xfId="4470" builtinId="9" hidden="1"/>
    <cellStyle name="Hipervínculo visitado" xfId="704" builtinId="9" hidden="1"/>
    <cellStyle name="Hipervínculo visitado" xfId="7232" builtinId="9" hidden="1"/>
    <cellStyle name="Hipervínculo visitado" xfId="9644" builtinId="9" hidden="1"/>
    <cellStyle name="Hipervínculo visitado" xfId="214" builtinId="9" hidden="1"/>
    <cellStyle name="Hipervínculo visitado" xfId="9504" builtinId="9" hidden="1"/>
    <cellStyle name="Hipervínculo visitado" xfId="7922" builtinId="9" hidden="1"/>
    <cellStyle name="Hipervínculo visitado" xfId="9162" builtinId="9" hidden="1"/>
    <cellStyle name="Hipervínculo visitado" xfId="5944" builtinId="9" hidden="1"/>
    <cellStyle name="Hipervínculo visitado" xfId="6162" builtinId="9" hidden="1"/>
    <cellStyle name="Hipervínculo visitado" xfId="3684" builtinId="9" hidden="1"/>
    <cellStyle name="Hipervínculo visitado" xfId="6496" builtinId="9" hidden="1"/>
    <cellStyle name="Hipervínculo visitado" xfId="7190" builtinId="9" hidden="1"/>
    <cellStyle name="Hipervínculo visitado" xfId="206" builtinId="9" hidden="1"/>
    <cellStyle name="Hipervínculo visitado" xfId="3792" builtinId="9" hidden="1"/>
    <cellStyle name="Hipervínculo visitado" xfId="992" builtinId="9" hidden="1"/>
    <cellStyle name="Hipervínculo visitado" xfId="6398" builtinId="9" hidden="1"/>
    <cellStyle name="Hipervínculo visitado" xfId="2564" builtinId="9" hidden="1"/>
    <cellStyle name="Hipervínculo visitado" xfId="8870" builtinId="9" hidden="1"/>
    <cellStyle name="Hipervínculo visitado" xfId="9652" builtinId="9" hidden="1"/>
    <cellStyle name="Hipervínculo visitado" xfId="10712" builtinId="9" hidden="1"/>
    <cellStyle name="Hipervínculo visitado" xfId="3588" builtinId="9" hidden="1"/>
    <cellStyle name="Hipervínculo visitado" xfId="10642" builtinId="9" hidden="1"/>
    <cellStyle name="Hipervínculo visitado" xfId="6222" builtinId="9" hidden="1"/>
    <cellStyle name="Hipervínculo visitado" xfId="1386" builtinId="9" hidden="1"/>
    <cellStyle name="Hipervínculo visitado" xfId="2988" builtinId="9" hidden="1"/>
    <cellStyle name="Hipervínculo visitado" xfId="5708" builtinId="9" hidden="1"/>
    <cellStyle name="Hipervínculo visitado" xfId="10570" builtinId="9" hidden="1"/>
    <cellStyle name="Hipervínculo visitado" xfId="2614" builtinId="9" hidden="1"/>
    <cellStyle name="Hipervínculo visitado" xfId="8634" builtinId="9" hidden="1"/>
    <cellStyle name="Hipervínculo visitado" xfId="2884" builtinId="9" hidden="1"/>
    <cellStyle name="Hipervínculo visitado" xfId="3970" builtinId="9" hidden="1"/>
    <cellStyle name="Hipervínculo visitado" xfId="4516" builtinId="9" hidden="1"/>
    <cellStyle name="Hipervínculo visitado" xfId="6006" builtinId="9" hidden="1"/>
    <cellStyle name="Hipervínculo visitado" xfId="10466" builtinId="9" hidden="1"/>
    <cellStyle name="Hipervínculo visitado" xfId="56" builtinId="9" hidden="1"/>
    <cellStyle name="Hipervínculo visitado" xfId="5286" builtinId="9" hidden="1"/>
    <cellStyle name="Hipervínculo visitado" xfId="336" builtinId="9" hidden="1"/>
    <cellStyle name="Hipervínculo visitado" xfId="4658" builtinId="9" hidden="1"/>
    <cellStyle name="Hipervínculo visitado" xfId="5540" builtinId="9" hidden="1"/>
    <cellStyle name="Hipervínculo visitado" xfId="7770" builtinId="9" hidden="1"/>
    <cellStyle name="Hipervínculo visitado" xfId="3786" builtinId="9" hidden="1"/>
    <cellStyle name="Hipervínculo visitado" xfId="6796" builtinId="9" hidden="1"/>
    <cellStyle name="Hipervínculo visitado" xfId="888" builtinId="9" hidden="1"/>
    <cellStyle name="Hipervínculo visitado" xfId="8150" builtinId="9" hidden="1"/>
    <cellStyle name="Hipervínculo visitado" xfId="10740" builtinId="9" hidden="1"/>
    <cellStyle name="Hipervínculo visitado" xfId="8132" builtinId="9" hidden="1"/>
    <cellStyle name="Hipervínculo visitado" xfId="2204" builtinId="9" hidden="1"/>
    <cellStyle name="Hipervínculo visitado" xfId="7830" builtinId="9" hidden="1"/>
    <cellStyle name="Hipervínculo visitado" xfId="10104" builtinId="9" hidden="1"/>
    <cellStyle name="Hipervínculo visitado" xfId="9346" builtinId="9" hidden="1"/>
    <cellStyle name="Hipervínculo visitado" xfId="8842" builtinId="9" hidden="1"/>
    <cellStyle name="Hipervínculo visitado" xfId="424" builtinId="9" hidden="1"/>
    <cellStyle name="Hipervínculo visitado" xfId="3320" builtinId="9" hidden="1"/>
    <cellStyle name="Hipervínculo visitado" xfId="2228" builtinId="9" hidden="1"/>
    <cellStyle name="Hipervínculo visitado" xfId="8602" builtinId="9" hidden="1"/>
    <cellStyle name="Hipervínculo visitado" xfId="8742" builtinId="9" hidden="1"/>
    <cellStyle name="Hipervínculo visitado" xfId="164" builtinId="9" hidden="1"/>
    <cellStyle name="Hipervínculo visitado" xfId="7918" builtinId="9" hidden="1"/>
    <cellStyle name="Hipervínculo visitado" xfId="4158" builtinId="9" hidden="1"/>
    <cellStyle name="Hipervínculo visitado" xfId="5520" builtinId="9" hidden="1"/>
    <cellStyle name="Hipervínculo visitado" xfId="6034" builtinId="9" hidden="1"/>
    <cellStyle name="Hipervínculo visitado" xfId="5864" builtinId="9" hidden="1"/>
    <cellStyle name="Hipervínculo visitado" xfId="10842" builtinId="9" hidden="1"/>
    <cellStyle name="Hipervínculo visitado" xfId="9844" builtinId="9" hidden="1"/>
    <cellStyle name="Hipervínculo visitado" xfId="8884" builtinId="9" hidden="1"/>
    <cellStyle name="Hipervínculo visitado" xfId="954" builtinId="9" hidden="1"/>
    <cellStyle name="Hipervínculo visitado" xfId="3832" builtinId="9" hidden="1"/>
    <cellStyle name="Hipervínculo visitado" xfId="376" builtinId="9" hidden="1"/>
    <cellStyle name="Hipervínculo visitado" xfId="9372" builtinId="9" hidden="1"/>
    <cellStyle name="Hipervínculo visitado" xfId="3328" builtinId="9" hidden="1"/>
    <cellStyle name="Hipervínculo visitado" xfId="4810" builtinId="9" hidden="1"/>
    <cellStyle name="Hipervínculo visitado" xfId="1708" builtinId="9" hidden="1"/>
    <cellStyle name="Hipervínculo visitado" xfId="5876" builtinId="9" hidden="1"/>
    <cellStyle name="Hipervínculo visitado" xfId="8778" builtinId="9" hidden="1"/>
    <cellStyle name="Hipervínculo visitado" xfId="7334" builtinId="9" hidden="1"/>
    <cellStyle name="Hipervínculo visitado" xfId="1360" builtinId="9" hidden="1"/>
    <cellStyle name="Hipervínculo visitado" xfId="5288" builtinId="9" hidden="1"/>
    <cellStyle name="Hipervínculo visitado" xfId="8170" builtinId="9" hidden="1"/>
    <cellStyle name="Hipervínculo visitado" xfId="6450" builtinId="9" hidden="1"/>
    <cellStyle name="Hipervínculo visitado" xfId="6476" builtinId="9" hidden="1"/>
    <cellStyle name="Hipervínculo visitado" xfId="1642" builtinId="9" hidden="1"/>
    <cellStyle name="Hipervínculo visitado" xfId="2562" builtinId="9" hidden="1"/>
    <cellStyle name="Hipervínculo visitado" xfId="5046" builtinId="9" hidden="1"/>
    <cellStyle name="Hipervínculo visitado" xfId="10678" builtinId="9" hidden="1"/>
    <cellStyle name="Hipervínculo visitado" xfId="7796" builtinId="9" hidden="1"/>
    <cellStyle name="Hipervínculo visitado" xfId="10070" builtinId="9" hidden="1"/>
    <cellStyle name="Hipervínculo visitado" xfId="5146" builtinId="9" hidden="1"/>
    <cellStyle name="Hipervínculo visitado" xfId="6732" builtinId="9" hidden="1"/>
    <cellStyle name="Hipervínculo visitado" xfId="1356" builtinId="9" hidden="1"/>
    <cellStyle name="Hipervínculo visitado" xfId="2238" builtinId="9" hidden="1"/>
    <cellStyle name="Hipervínculo visitado" xfId="2788" builtinId="9" hidden="1"/>
    <cellStyle name="Hipervínculo visitado" xfId="2468" builtinId="9" hidden="1"/>
    <cellStyle name="Hipervínculo visitado" xfId="5378" builtinId="9" hidden="1"/>
    <cellStyle name="Hipervínculo visitado" xfId="3976" builtinId="9" hidden="1"/>
    <cellStyle name="Hipervínculo visitado" xfId="6242" builtinId="9" hidden="1"/>
    <cellStyle name="Hipervínculo visitado" xfId="6650" builtinId="9" hidden="1"/>
    <cellStyle name="Hipervínculo visitado" xfId="5718" builtinId="9" hidden="1"/>
    <cellStyle name="Hipervínculo visitado" xfId="11016" builtinId="9" hidden="1"/>
    <cellStyle name="Hipervínculo visitado" xfId="9776" builtinId="9" hidden="1"/>
    <cellStyle name="Hipervínculo visitado" xfId="4818" builtinId="9" hidden="1"/>
    <cellStyle name="Hipervínculo visitado" xfId="9818" builtinId="9" hidden="1"/>
    <cellStyle name="Hipervínculo visitado" xfId="5148" builtinId="9" hidden="1"/>
    <cellStyle name="Hipervínculo visitado" xfId="9240" builtinId="9" hidden="1"/>
    <cellStyle name="Hipervínculo visitado" xfId="10072" builtinId="9" hidden="1"/>
    <cellStyle name="Hipervínculo visitado" xfId="9076" builtinId="9" hidden="1"/>
    <cellStyle name="Hipervínculo visitado" xfId="6630" builtinId="9" hidden="1"/>
    <cellStyle name="Hipervínculo visitado" xfId="7394" builtinId="9" hidden="1"/>
    <cellStyle name="Hipervínculo visitado" xfId="1196" builtinId="9" hidden="1"/>
    <cellStyle name="Hipervínculo visitado" xfId="6814" builtinId="9" hidden="1"/>
    <cellStyle name="Hipervínculo visitado" xfId="10754" builtinId="9" hidden="1"/>
    <cellStyle name="Hipervínculo visitado" xfId="8840" builtinId="9" hidden="1"/>
    <cellStyle name="Hipervínculo visitado" xfId="1556" builtinId="9" hidden="1"/>
    <cellStyle name="Hipervínculo visitado" xfId="548" builtinId="9" hidden="1"/>
    <cellStyle name="Hipervínculo visitado" xfId="5702" builtinId="9" hidden="1"/>
    <cellStyle name="Hipervínculo visitado" xfId="9116" builtinId="9" hidden="1"/>
    <cellStyle name="Hipervínculo visitado" xfId="8924" builtinId="9" hidden="1"/>
    <cellStyle name="Hipervínculo visitado" xfId="7584" builtinId="9" hidden="1"/>
    <cellStyle name="Hipervínculo visitado" xfId="4638" builtinId="9" hidden="1"/>
    <cellStyle name="Hipervínculo visitado" xfId="5230" builtinId="9" hidden="1"/>
    <cellStyle name="Hipervínculo visitado" xfId="5536" builtinId="9" hidden="1"/>
    <cellStyle name="Hipervínculo visitado" xfId="10884" builtinId="9" hidden="1"/>
    <cellStyle name="Hipervínculo visitado" xfId="662" builtinId="9" hidden="1"/>
    <cellStyle name="Hipervínculo visitado" xfId="10120" builtinId="9" hidden="1"/>
    <cellStyle name="Hipervínculo visitado" xfId="7452" builtinId="9" hidden="1"/>
    <cellStyle name="Hipervínculo visitado" xfId="3854" builtinId="9" hidden="1"/>
    <cellStyle name="Hipervínculo visitado" xfId="1840" builtinId="9" hidden="1"/>
    <cellStyle name="Hipervínculo visitado" xfId="1440" builtinId="9" hidden="1"/>
    <cellStyle name="Hipervínculo visitado" xfId="8322" builtinId="9" hidden="1"/>
    <cellStyle name="Hipervínculo visitado" xfId="7072" builtinId="9" hidden="1"/>
    <cellStyle name="Hipervínculo visitado" xfId="9700" builtinId="9" hidden="1"/>
    <cellStyle name="Hipervínculo visitado" xfId="10866" builtinId="9" hidden="1"/>
    <cellStyle name="Hipervínculo visitado" xfId="6124" builtinId="9" hidden="1"/>
    <cellStyle name="Hipervínculo visitado" xfId="4858" builtinId="9" hidden="1"/>
    <cellStyle name="Hipervínculo visitado" xfId="11006" builtinId="9" hidden="1"/>
    <cellStyle name="Hipervínculo visitado" xfId="4078" builtinId="9" hidden="1"/>
    <cellStyle name="Hipervínculo visitado" xfId="316" builtinId="9" hidden="1"/>
    <cellStyle name="Hipervínculo visitado" xfId="9392" builtinId="9" hidden="1"/>
    <cellStyle name="Hipervínculo visitado" xfId="5890" builtinId="9" hidden="1"/>
    <cellStyle name="Hipervínculo visitado" xfId="3350" builtinId="9" hidden="1"/>
    <cellStyle name="Hipervínculo visitado" xfId="10002" builtinId="9" hidden="1"/>
    <cellStyle name="Hipervínculo visitado" xfId="7958" builtinId="9" hidden="1"/>
    <cellStyle name="Hipervínculo visitado" xfId="7586" builtinId="9" hidden="1"/>
    <cellStyle name="Hipervínculo visitado" xfId="3810" builtinId="9" hidden="1"/>
    <cellStyle name="Hipervínculo visitado" xfId="8216" builtinId="9" hidden="1"/>
    <cellStyle name="Hipervínculo visitado" xfId="2736" builtinId="9" hidden="1"/>
    <cellStyle name="Hipervínculo visitado" xfId="9168" builtinId="9" hidden="1"/>
    <cellStyle name="Hipervínculo visitado" xfId="5874" builtinId="9" hidden="1"/>
    <cellStyle name="Hipervínculo visitado" xfId="10732" builtinId="9" hidden="1"/>
    <cellStyle name="Hipervínculo visitado" xfId="6884" builtinId="9" hidden="1"/>
    <cellStyle name="Hipervínculo visitado" xfId="1602" builtinId="9" hidden="1"/>
    <cellStyle name="Hipervínculo visitado" xfId="6740" builtinId="9" hidden="1"/>
    <cellStyle name="Hipervínculo visitado" xfId="320" builtinId="9" hidden="1"/>
    <cellStyle name="Hipervínculo visitado" xfId="1616" builtinId="9" hidden="1"/>
    <cellStyle name="Hipervínculo visitado" xfId="6406" builtinId="9" hidden="1"/>
    <cellStyle name="Hipervínculo visitado" xfId="9460" builtinId="9" hidden="1"/>
    <cellStyle name="Hipervínculo visitado" xfId="3150" builtinId="9" hidden="1"/>
    <cellStyle name="Hipervínculo visitado" xfId="186" builtinId="9" hidden="1"/>
    <cellStyle name="Hipervínculo visitado" xfId="6116" builtinId="9" hidden="1"/>
    <cellStyle name="Hipervínculo visitado" xfId="7502" builtinId="9" hidden="1"/>
    <cellStyle name="Hipervínculo visitado" xfId="44" builtinId="9" hidden="1"/>
    <cellStyle name="Hipervínculo visitado" xfId="5308" builtinId="9" hidden="1"/>
    <cellStyle name="Hipervínculo visitado" xfId="144" builtinId="9" hidden="1"/>
    <cellStyle name="Hipervínculo visitado" xfId="1166" builtinId="9" hidden="1"/>
    <cellStyle name="Hipervínculo visitado" xfId="4018" builtinId="9" hidden="1"/>
    <cellStyle name="Hipervínculo visitado" xfId="1354" builtinId="9" hidden="1"/>
    <cellStyle name="Hipervínculo visitado" xfId="3132" builtinId="9" hidden="1"/>
    <cellStyle name="Hipervínculo visitado" xfId="2984" builtinId="9" hidden="1"/>
    <cellStyle name="Hipervínculo visitado" xfId="6806" builtinId="9" hidden="1"/>
    <cellStyle name="Hipervínculo visitado" xfId="3660" builtinId="9" hidden="1"/>
    <cellStyle name="Hipervínculo visitado" xfId="2308" builtinId="9" hidden="1"/>
    <cellStyle name="Hipervínculo visitado" xfId="4946" builtinId="9" hidden="1"/>
    <cellStyle name="Hipervínculo visitado" xfId="7342" builtinId="9" hidden="1"/>
    <cellStyle name="Hipervínculo visitado" xfId="4046" builtinId="9" hidden="1"/>
    <cellStyle name="Hipervínculo visitado" xfId="696" builtinId="9" hidden="1"/>
    <cellStyle name="Hipervínculo visitado" xfId="5416" builtinId="9" hidden="1"/>
    <cellStyle name="Hipervínculo visitado" xfId="108" builtinId="9" hidden="1"/>
    <cellStyle name="Hipervínculo visitado" xfId="2580" builtinId="9" hidden="1"/>
    <cellStyle name="Hipervínculo visitado" xfId="10730" builtinId="9" hidden="1"/>
    <cellStyle name="Hipervínculo visitado" xfId="2890" builtinId="9" hidden="1"/>
    <cellStyle name="Hipervínculo visitado" xfId="5408" builtinId="9" hidden="1"/>
    <cellStyle name="Hipervínculo visitado" xfId="2916" builtinId="9" hidden="1"/>
    <cellStyle name="Hipervínculo visitado" xfId="4560" builtinId="9" hidden="1"/>
    <cellStyle name="Hipervínculo visitado" xfId="5992" builtinId="9" hidden="1"/>
    <cellStyle name="Hipervínculo visitado" xfId="7642" builtinId="9" hidden="1"/>
    <cellStyle name="Hipervínculo visitado" xfId="744" builtinId="9" hidden="1"/>
    <cellStyle name="Hipervínculo visitado" xfId="9980" builtinId="9" hidden="1"/>
    <cellStyle name="Hipervínculo visitado" xfId="8108" builtinId="9" hidden="1"/>
    <cellStyle name="Hipervínculo visitado" xfId="7834" builtinId="9" hidden="1"/>
    <cellStyle name="Hipervínculo visitado" xfId="4172" builtinId="9" hidden="1"/>
    <cellStyle name="Hipervínculo visitado" xfId="2230" builtinId="9" hidden="1"/>
    <cellStyle name="Hipervínculo visitado" xfId="5476" builtinId="9" hidden="1"/>
    <cellStyle name="Hipervínculo visitado" xfId="7062" builtinId="9" hidden="1"/>
    <cellStyle name="Hipervínculo visitado" xfId="9686" builtinId="9" hidden="1"/>
    <cellStyle name="Hipervínculo visitado" xfId="8158" builtinId="9" hidden="1"/>
    <cellStyle name="Hipervínculo visitado" xfId="9852" builtinId="9" hidden="1"/>
    <cellStyle name="Hipervínculo visitado" xfId="296" builtinId="9" hidden="1"/>
    <cellStyle name="Hipervínculo visitado" xfId="2290" builtinId="9" hidden="1"/>
    <cellStyle name="Hipervínculo visitado" xfId="2910" builtinId="9" hidden="1"/>
    <cellStyle name="Hipervínculo visitado" xfId="7718" builtinId="9" hidden="1"/>
    <cellStyle name="Hipervínculo visitado" xfId="7310" builtinId="9" hidden="1"/>
    <cellStyle name="Hipervínculo visitado" xfId="10706" builtinId="9" hidden="1"/>
    <cellStyle name="Hipervínculo visitado" xfId="3432" builtinId="9" hidden="1"/>
    <cellStyle name="Hipervínculo visitado" xfId="4498" builtinId="9" hidden="1"/>
    <cellStyle name="Hipervínculo visitado" xfId="2250" builtinId="9" hidden="1"/>
    <cellStyle name="Hipervínculo visitado" xfId="7994" builtinId="9" hidden="1"/>
    <cellStyle name="Hipervínculo visitado" xfId="8310" builtinId="9" hidden="1"/>
    <cellStyle name="Hipervínculo visitado" xfId="1032" builtinId="9" hidden="1"/>
    <cellStyle name="Hipervínculo visitado" xfId="9828" builtinId="9" hidden="1"/>
    <cellStyle name="Hipervínculo visitado" xfId="6866" builtinId="9" hidden="1"/>
    <cellStyle name="Hipervínculo visitado" xfId="6134" builtinId="9" hidden="1"/>
    <cellStyle name="Hipervínculo visitado" xfId="7594" builtinId="9" hidden="1"/>
    <cellStyle name="Hipervínculo visitado" xfId="10590" builtinId="9" hidden="1"/>
    <cellStyle name="Hipervínculo visitado" xfId="2786" builtinId="9" hidden="1"/>
    <cellStyle name="Hipervínculo visitado" xfId="4816" builtinId="9" hidden="1"/>
    <cellStyle name="Hipervínculo visitado" xfId="2378" builtinId="9" hidden="1"/>
    <cellStyle name="Hipervínculo visitado" xfId="4090" builtinId="9" hidden="1"/>
    <cellStyle name="Hipervínculo visitado" xfId="5366" builtinId="9" hidden="1"/>
    <cellStyle name="Hipervínculo visitado" xfId="8936" builtinId="9" hidden="1"/>
    <cellStyle name="Hipervínculo visitado" xfId="8372" builtinId="9" hidden="1"/>
    <cellStyle name="Hipervínculo visitado" xfId="3770" builtinId="9" hidden="1"/>
    <cellStyle name="Hipervínculo visitado" xfId="838" builtinId="9" hidden="1"/>
    <cellStyle name="Hipervínculo visitado" xfId="4850" builtinId="9" hidden="1"/>
    <cellStyle name="Hipervínculo visitado" xfId="3554" builtinId="9" hidden="1"/>
    <cellStyle name="Hipervínculo visitado" xfId="4280" builtinId="9" hidden="1"/>
    <cellStyle name="Hipervínculo visitado" xfId="7776" builtinId="9" hidden="1"/>
    <cellStyle name="Hipervínculo visitado" xfId="2134" builtinId="9" hidden="1"/>
    <cellStyle name="Hipervínculo visitado" xfId="3746" builtinId="9" hidden="1"/>
    <cellStyle name="Hipervínculo visitado" xfId="6084" builtinId="9" hidden="1"/>
    <cellStyle name="Hipervínculo visitado" xfId="5904" builtinId="9" hidden="1"/>
    <cellStyle name="Hipervínculo visitado" xfId="2262" builtinId="9" hidden="1"/>
    <cellStyle name="Hipervínculo visitado" xfId="9172" builtinId="9" hidden="1"/>
    <cellStyle name="Hipervínculo visitado" xfId="8508" builtinId="9" hidden="1"/>
    <cellStyle name="Hipervínculo visitado" xfId="9854" builtinId="9" hidden="1"/>
    <cellStyle name="Hipervínculo visitado" xfId="346" builtinId="9" hidden="1"/>
    <cellStyle name="Hipervínculo visitado" xfId="10586" builtinId="9" hidden="1"/>
    <cellStyle name="Hipervínculo visitado" xfId="9732" builtinId="9" hidden="1"/>
    <cellStyle name="Hipervínculo visitado" xfId="10500" builtinId="9" hidden="1"/>
    <cellStyle name="Hipervínculo visitado" xfId="546" builtinId="9" hidden="1"/>
    <cellStyle name="Hipervínculo visitado" xfId="9638" builtinId="9" hidden="1"/>
    <cellStyle name="Hipervínculo visitado" xfId="9412" builtinId="9" hidden="1"/>
    <cellStyle name="Hipervínculo visitado" xfId="5438" builtinId="9" hidden="1"/>
    <cellStyle name="Hipervínculo visitado" xfId="10870" builtinId="9" hidden="1"/>
    <cellStyle name="Hipervínculo visitado" xfId="3944" builtinId="9" hidden="1"/>
    <cellStyle name="Hipervínculo visitado" xfId="2246" builtinId="9" hidden="1"/>
    <cellStyle name="Hipervínculo visitado" xfId="6886" builtinId="9" hidden="1"/>
    <cellStyle name="Hipervínculo visitado" xfId="3178" builtinId="9" hidden="1"/>
    <cellStyle name="Hipervínculo visitado" xfId="2482" builtinId="9" hidden="1"/>
    <cellStyle name="Hipervínculo visitado" xfId="534" builtinId="9" hidden="1"/>
    <cellStyle name="Hipervínculo visitado" xfId="11038" builtinId="9" hidden="1"/>
    <cellStyle name="Hipervínculo visitado" xfId="8182" builtinId="9" hidden="1"/>
    <cellStyle name="Hipervínculo visitado" xfId="10272" builtinId="9" hidden="1"/>
    <cellStyle name="Hipervínculo visitado" xfId="9720" builtinId="9" hidden="1"/>
    <cellStyle name="Hipervínculo visitado" xfId="4904" builtinId="9" hidden="1"/>
    <cellStyle name="Hipervínculo visitado" xfId="3806" builtinId="9" hidden="1"/>
    <cellStyle name="Hipervínculo visitado" xfId="1366" builtinId="9" hidden="1"/>
    <cellStyle name="Hipervínculo visitado" xfId="1900" builtinId="9" hidden="1"/>
    <cellStyle name="Hipervínculo visitado" xfId="6550" builtinId="9" hidden="1"/>
    <cellStyle name="Hipervínculo visitado" xfId="7568" builtinId="9" hidden="1"/>
    <cellStyle name="Hipervínculo visitado" xfId="5118" builtinId="9" hidden="1"/>
    <cellStyle name="Hipervínculo visitado" xfId="2630" builtinId="9" hidden="1"/>
    <cellStyle name="Hipervínculo visitado" xfId="1154" builtinId="9" hidden="1"/>
    <cellStyle name="Hipervínculo visitado" xfId="3886" builtinId="9" hidden="1"/>
    <cellStyle name="Hipervínculo visitado" xfId="10538" builtinId="9" hidden="1"/>
    <cellStyle name="Hipervínculo visitado" xfId="258" builtinId="9" hidden="1"/>
    <cellStyle name="Hipervínculo visitado" xfId="6568" builtinId="9" hidden="1"/>
    <cellStyle name="Hipervínculo visitado" xfId="5088" builtinId="9" hidden="1"/>
    <cellStyle name="Hipervínculo visitado" xfId="4060" builtinId="9" hidden="1"/>
    <cellStyle name="Hipervínculo visitado" xfId="4758" builtinId="9" hidden="1"/>
    <cellStyle name="Hipervínculo visitado" xfId="6462" builtinId="9" hidden="1"/>
    <cellStyle name="Hipervínculo visitado" xfId="4606" builtinId="9" hidden="1"/>
    <cellStyle name="Hipervínculo visitado" xfId="9774" builtinId="9" hidden="1"/>
    <cellStyle name="Hipervínculo visitado" xfId="6882" builtinId="9" hidden="1"/>
    <cellStyle name="Hipervínculo visitado" xfId="7986" builtinId="9" hidden="1"/>
    <cellStyle name="Hipervínculo visitado" xfId="6810" builtinId="9" hidden="1"/>
    <cellStyle name="Hipervínculo visitado" xfId="10198" builtinId="9" hidden="1"/>
    <cellStyle name="Hipervínculo visitado" xfId="6158" builtinId="9" hidden="1"/>
    <cellStyle name="Hipervínculo visitado" xfId="8576" builtinId="9" hidden="1"/>
    <cellStyle name="Hipervínculo visitado" xfId="10436" builtinId="9" hidden="1"/>
    <cellStyle name="Hipervínculo visitado" xfId="896" builtinId="9" hidden="1"/>
    <cellStyle name="Hipervínculo visitado" xfId="7512" builtinId="9" hidden="1"/>
    <cellStyle name="Hipervínculo visitado" xfId="2610" builtinId="9" hidden="1"/>
    <cellStyle name="Hipervínculo visitado" xfId="3536" builtinId="9" hidden="1"/>
    <cellStyle name="Hipervínculo visitado" xfId="410" builtinId="9" hidden="1"/>
    <cellStyle name="Hipervínculo visitado" xfId="2714" builtinId="9" hidden="1"/>
    <cellStyle name="Hipervínculo visitado" xfId="8344" builtinId="9" hidden="1"/>
    <cellStyle name="Hipervínculo visitado" xfId="6440" builtinId="9" hidden="1"/>
    <cellStyle name="Hipervínculo visitado" xfId="2528" builtinId="9" hidden="1"/>
    <cellStyle name="Hipervínculo visitado" xfId="2198" builtinId="9" hidden="1"/>
    <cellStyle name="Hipervínculo visitado" xfId="3274" builtinId="9" hidden="1"/>
    <cellStyle name="Hipervínculo visitado" xfId="1282" builtinId="9" hidden="1"/>
    <cellStyle name="Hipervínculo visitado" xfId="1470" builtinId="9" hidden="1"/>
    <cellStyle name="Hipervínculo visitado" xfId="3044" builtinId="9" hidden="1"/>
    <cellStyle name="Hipervínculo visitado" xfId="3246" builtinId="9" hidden="1"/>
    <cellStyle name="Hipervínculo visitado" xfId="1452" builtinId="9" hidden="1"/>
    <cellStyle name="Hipervínculo visitado" xfId="4954" builtinId="9" hidden="1"/>
    <cellStyle name="Hipervínculo visitado" xfId="4682" builtinId="9" hidden="1"/>
    <cellStyle name="Hipervínculo visitado" xfId="7422" builtinId="9" hidden="1"/>
    <cellStyle name="Hipervínculo visitado" xfId="5370" builtinId="9" hidden="1"/>
    <cellStyle name="Hipervínculo visitado" xfId="7890" builtinId="9" hidden="1"/>
    <cellStyle name="Hipervínculo visitado" xfId="352" builtinId="9" hidden="1"/>
    <cellStyle name="Hipervínculo visitado" xfId="2426" builtinId="9" hidden="1"/>
    <cellStyle name="Hipervínculo visitado" xfId="4824" builtinId="9" hidden="1"/>
    <cellStyle name="Hipervínculo visitado" xfId="4594" builtinId="9" hidden="1"/>
    <cellStyle name="Hipervínculo visitado" xfId="6632" builtinId="9" hidden="1"/>
    <cellStyle name="Hipervínculo visitado" xfId="10954" builtinId="9" hidden="1"/>
    <cellStyle name="Hipervínculo visitado" xfId="1796" builtinId="9" hidden="1"/>
    <cellStyle name="Hipervínculo visitado" xfId="10000" builtinId="9" hidden="1"/>
    <cellStyle name="Hipervínculo visitado" xfId="5824" builtinId="9" hidden="1"/>
    <cellStyle name="Hipervínculo visitado" xfId="8370" builtinId="9" hidden="1"/>
    <cellStyle name="Hipervínculo visitado" xfId="7448" builtinId="9" hidden="1"/>
    <cellStyle name="Hipervínculo visitado" xfId="2558" builtinId="9" hidden="1"/>
    <cellStyle name="Hipervínculo visitado" xfId="7130" builtinId="9" hidden="1"/>
    <cellStyle name="Hipervínculo visitado" xfId="9450" builtinId="9" hidden="1"/>
    <cellStyle name="Hipervínculo visitado" xfId="7090" builtinId="9" hidden="1"/>
    <cellStyle name="Hipervínculo visitado" xfId="9316" builtinId="9" hidden="1"/>
    <cellStyle name="Hipervínculo visitado" xfId="2686" builtinId="9" hidden="1"/>
    <cellStyle name="Hipervínculo visitado" xfId="880" builtinId="9" hidden="1"/>
    <cellStyle name="Hipervínculo visitado" xfId="3312" builtinId="9" hidden="1"/>
    <cellStyle name="Hipervínculo visitado" xfId="9872" builtinId="9" hidden="1"/>
    <cellStyle name="Hipervínculo visitado" xfId="5176" builtinId="9" hidden="1"/>
    <cellStyle name="Hipervínculo visitado" xfId="6404" builtinId="9" hidden="1"/>
    <cellStyle name="Hipervínculo visitado" xfId="7010" builtinId="9" hidden="1"/>
    <cellStyle name="Hipervínculo visitado" xfId="9104" builtinId="9" hidden="1"/>
    <cellStyle name="Hipervínculo visitado" xfId="2840" builtinId="9" hidden="1"/>
    <cellStyle name="Hipervínculo visitado" xfId="6982" builtinId="9" hidden="1"/>
    <cellStyle name="Hipervínculo visitado" xfId="3236" builtinId="9" hidden="1"/>
    <cellStyle name="Hipervínculo visitado" xfId="5426" builtinId="9" hidden="1"/>
    <cellStyle name="Hipervínculo visitado" xfId="780" builtinId="9" hidden="1"/>
    <cellStyle name="Hipervínculo visitado" xfId="7702" builtinId="9" hidden="1"/>
    <cellStyle name="Hipervínculo visitado" xfId="10024" builtinId="9" hidden="1"/>
    <cellStyle name="Hipervínculo visitado" xfId="5716" builtinId="9" hidden="1"/>
    <cellStyle name="Hipervínculo visitado" xfId="4382" builtinId="9" hidden="1"/>
    <cellStyle name="Hipervínculo visitado" xfId="910" builtinId="9" hidden="1"/>
    <cellStyle name="Hipervínculo visitado" xfId="2542" builtinId="9" hidden="1"/>
    <cellStyle name="Hipervínculo visitado" xfId="7386" builtinId="9" hidden="1"/>
    <cellStyle name="Hipervínculo visitado" xfId="8102" builtinId="9" hidden="1"/>
    <cellStyle name="Hipervínculo visitado" xfId="10848" builtinId="9" hidden="1"/>
    <cellStyle name="Hipervínculo visitado" xfId="2374" builtinId="9" hidden="1"/>
    <cellStyle name="Hipervínculo visitado" xfId="7754" builtinId="9" hidden="1"/>
    <cellStyle name="Hipervínculo visitado" xfId="2924" builtinId="9" hidden="1"/>
    <cellStyle name="Hipervínculo visitado" xfId="2248" builtinId="9" hidden="1"/>
    <cellStyle name="Hipervínculo visitado" xfId="7906" builtinId="9" hidden="1"/>
    <cellStyle name="Hipervínculo visitado" xfId="8238" builtinId="9" hidden="1"/>
    <cellStyle name="Hipervínculo visitado" xfId="1892" builtinId="9" hidden="1"/>
    <cellStyle name="Hipervínculo visitado" xfId="10274" builtinId="9" hidden="1"/>
    <cellStyle name="Hipervínculo visitado" xfId="10426" builtinId="9" hidden="1"/>
    <cellStyle name="Hipervínculo visitado" xfId="2072" builtinId="9" hidden="1"/>
    <cellStyle name="Hipervínculo visitado" xfId="2320" builtinId="9" hidden="1"/>
    <cellStyle name="Hipervínculo visitado" xfId="3090" builtinId="9" hidden="1"/>
    <cellStyle name="Hipervínculo visitado" xfId="10758" builtinId="9" hidden="1"/>
    <cellStyle name="Hipervínculo visitado" xfId="5970" builtinId="9" hidden="1"/>
    <cellStyle name="Hipervínculo visitado" xfId="10922" builtinId="9" hidden="1"/>
    <cellStyle name="Hipervínculo visitado" xfId="6642" builtinId="9" hidden="1"/>
    <cellStyle name="Hipervínculo visitado" xfId="7066" builtinId="9" hidden="1"/>
    <cellStyle name="Hipervínculo visitado" xfId="2376" builtinId="9" hidden="1"/>
    <cellStyle name="Hipervínculo visitado" xfId="5456" builtinId="9" hidden="1"/>
    <cellStyle name="Hipervínculo visitado" xfId="10640" builtinId="9" hidden="1"/>
    <cellStyle name="Hipervínculo visitado" xfId="5090" builtinId="9" hidden="1"/>
    <cellStyle name="Hipervínculo visitado" xfId="1738" builtinId="9" hidden="1"/>
    <cellStyle name="Hipervínculo visitado" xfId="8790" builtinId="9" hidden="1"/>
    <cellStyle name="Hipervínculo visitado" xfId="2060" builtinId="9" hidden="1"/>
    <cellStyle name="Hipervínculo visitado" xfId="7170" builtinId="9" hidden="1"/>
    <cellStyle name="Hipervínculo visitado" xfId="3248" builtinId="9" hidden="1"/>
    <cellStyle name="Hipervínculo visitado" xfId="7026" builtinId="9" hidden="1"/>
    <cellStyle name="Hipervínculo visitado" xfId="2062" builtinId="9" hidden="1"/>
    <cellStyle name="Hipervínculo visitado" xfId="1694" builtinId="9" hidden="1"/>
    <cellStyle name="Hipervínculo visitado" xfId="2056" builtinId="9" hidden="1"/>
    <cellStyle name="Hipervínculo visitado" xfId="10710" builtinId="9" hidden="1"/>
    <cellStyle name="Hipervínculo visitado" xfId="4706" builtinId="9" hidden="1"/>
    <cellStyle name="Hipervínculo visitado" xfId="2090" builtinId="9" hidden="1"/>
    <cellStyle name="Hipervínculo visitado" xfId="3474" builtinId="9" hidden="1"/>
    <cellStyle name="Hipervínculo visitado" xfId="5036" builtinId="9" hidden="1"/>
    <cellStyle name="Hipervínculo visitado" xfId="6548" builtinId="9" hidden="1"/>
    <cellStyle name="Hipervínculo visitado" xfId="1812" builtinId="9" hidden="1"/>
    <cellStyle name="Hipervínculo visitado" xfId="3980" builtinId="9" hidden="1"/>
    <cellStyle name="Hipervínculo visitado" xfId="11048" builtinId="9" hidden="1"/>
    <cellStyle name="Hipervínculo visitado" xfId="590" builtinId="9" hidden="1"/>
    <cellStyle name="Hipervínculo visitado" xfId="400" builtinId="9" hidden="1"/>
    <cellStyle name="Hipervínculo visitado" xfId="5962" builtinId="9" hidden="1"/>
    <cellStyle name="Hipervínculo visitado" xfId="7464" builtinId="9" hidden="1"/>
    <cellStyle name="Hipervínculo visitado" xfId="9956" builtinId="9" hidden="1"/>
    <cellStyle name="Hipervínculo visitado" xfId="4308" builtinId="9" hidden="1"/>
    <cellStyle name="Hipervínculo visitado" xfId="488" builtinId="9" hidden="1"/>
    <cellStyle name="Hipervínculo visitado" xfId="3454" builtinId="9" hidden="1"/>
    <cellStyle name="Hipervínculo visitado" xfId="2740" builtinId="9" hidden="1"/>
    <cellStyle name="Hipervínculo visitado" xfId="2030" builtinId="9" hidden="1"/>
    <cellStyle name="Hipervínculo visitado" xfId="9360" builtinId="9" hidden="1"/>
    <cellStyle name="Hipervínculo visitado" xfId="9886" builtinId="9" hidden="1"/>
    <cellStyle name="Hipervínculo visitado" xfId="4624" builtinId="9" hidden="1"/>
    <cellStyle name="Hipervínculo visitado" xfId="4194" builtinId="9" hidden="1"/>
    <cellStyle name="Hipervínculo visitado" xfId="4216" builtinId="9" hidden="1"/>
    <cellStyle name="Hipervínculo visitado" xfId="794" builtinId="9" hidden="1"/>
    <cellStyle name="Hipervínculo visitado" xfId="732" builtinId="9" hidden="1"/>
    <cellStyle name="Hipervínculo visitado" xfId="2208" builtinId="9" hidden="1"/>
    <cellStyle name="Hipervínculo visitado" xfId="728" builtinId="9" hidden="1"/>
    <cellStyle name="Hipervínculo visitado" xfId="40" builtinId="9" hidden="1"/>
    <cellStyle name="Hipervínculo visitado" xfId="9206" builtinId="9" hidden="1"/>
    <cellStyle name="Hipervínculo visitado" xfId="10802" builtinId="9" hidden="1"/>
    <cellStyle name="Hipervínculo visitado" xfId="8670" builtinId="9" hidden="1"/>
    <cellStyle name="Hipervínculo visitado" xfId="9228" builtinId="9" hidden="1"/>
    <cellStyle name="Hipervínculo visitado" xfId="7384" builtinId="9" hidden="1"/>
    <cellStyle name="Hipervínculo visitado" xfId="5686" builtinId="9" hidden="1"/>
    <cellStyle name="Hipervínculo visitado" xfId="976" builtinId="9" hidden="1"/>
    <cellStyle name="Hipervínculo visitado" xfId="4920" builtinId="9" hidden="1"/>
    <cellStyle name="Hipervínculo visitado" xfId="5602" builtinId="9" hidden="1"/>
    <cellStyle name="Hipervínculo visitado" xfId="5710" builtinId="9" hidden="1"/>
    <cellStyle name="Hipervínculo visitado" xfId="506" builtinId="9" hidden="1"/>
    <cellStyle name="Hipervínculo visitado" xfId="6540" builtinId="9" hidden="1"/>
    <cellStyle name="Hipervínculo visitado" xfId="3624" builtinId="9" hidden="1"/>
    <cellStyle name="Hipervínculo visitado" xfId="3176" builtinId="9" hidden="1"/>
    <cellStyle name="Hipervínculo visitado" xfId="9816" builtinId="9" hidden="1"/>
    <cellStyle name="Hipervínculo visitado" xfId="724" builtinId="9" hidden="1"/>
    <cellStyle name="Hipervínculo visitado" xfId="3338" builtinId="9" hidden="1"/>
    <cellStyle name="Hipervínculo visitado" xfId="5616" builtinId="9" hidden="1"/>
    <cellStyle name="Hipervínculo visitado" xfId="502" builtinId="9" hidden="1"/>
    <cellStyle name="Hipervínculo visitado" xfId="9282" builtinId="9" hidden="1"/>
    <cellStyle name="Hipervínculo visitado" xfId="4294" builtinId="9" hidden="1"/>
    <cellStyle name="Hipervínculo visitado" xfId="7104" builtinId="9" hidden="1"/>
    <cellStyle name="Hipervínculo visitado" xfId="5794" builtinId="9" hidden="1"/>
    <cellStyle name="Hipervínculo visitado" xfId="8112" builtinId="9" hidden="1"/>
    <cellStyle name="Hipervínculo visitado" xfId="6076" builtinId="9" hidden="1"/>
    <cellStyle name="Hipervínculo visitado" xfId="5684" builtinId="9" hidden="1"/>
    <cellStyle name="Hipervínculo visitado" xfId="9114" builtinId="9" hidden="1"/>
    <cellStyle name="Hipervínculo visitado" xfId="10322" builtinId="9" hidden="1"/>
    <cellStyle name="Hipervínculo visitado" xfId="1592" builtinId="9" hidden="1"/>
    <cellStyle name="Hipervínculo visitado" xfId="2792" builtinId="9" hidden="1"/>
    <cellStyle name="Hipervínculo visitado" xfId="5564" builtinId="9" hidden="1"/>
    <cellStyle name="Hipervínculo visitado" xfId="5310" builtinId="9" hidden="1"/>
    <cellStyle name="Hipervínculo visitado" xfId="8422" builtinId="9" hidden="1"/>
    <cellStyle name="Hipervínculo visitado" xfId="9840" builtinId="9" hidden="1"/>
    <cellStyle name="Hipervínculo visitado" xfId="6828" builtinId="9" hidden="1"/>
    <cellStyle name="Hipervínculo visitado" xfId="1364" builtinId="9" hidden="1"/>
    <cellStyle name="Hipervínculo visitado" xfId="10650" builtinId="9" hidden="1"/>
    <cellStyle name="Hipervínculo visitado" xfId="7024" builtinId="9" hidden="1"/>
    <cellStyle name="Hipervínculo visitado" xfId="4454" builtinId="9" hidden="1"/>
    <cellStyle name="Hipervínculo visitado" xfId="7098" builtinId="9" hidden="1"/>
    <cellStyle name="Hipervínculo visitado" xfId="10034" builtinId="9" hidden="1"/>
    <cellStyle name="Hipervínculo visitado" xfId="1630" builtinId="9" hidden="1"/>
    <cellStyle name="Hipervínculo visitado" xfId="4614" builtinId="9" hidden="1"/>
    <cellStyle name="Hipervínculo visitado" xfId="6286" builtinId="9" hidden="1"/>
    <cellStyle name="Hipervínculo visitado" xfId="7352" builtinId="9" hidden="1"/>
    <cellStyle name="Hipervínculo visitado" xfId="32" builtinId="9" hidden="1"/>
    <cellStyle name="Hipervínculo visitado" xfId="11026" builtinId="9" hidden="1"/>
    <cellStyle name="Hipervínculo visitado" xfId="1184" builtinId="9" hidden="1"/>
    <cellStyle name="Hipervínculo visitado" xfId="8868" builtinId="9" hidden="1"/>
    <cellStyle name="Hipervínculo visitado" xfId="7176" builtinId="9" hidden="1"/>
    <cellStyle name="Hipervínculo visitado" xfId="6938" builtinId="9" hidden="1"/>
    <cellStyle name="Hipervínculo visitado" xfId="2000" builtinId="9" hidden="1"/>
    <cellStyle name="Hipervínculo visitado" xfId="8206" builtinId="9" hidden="1"/>
    <cellStyle name="Hipervínculo visitado" xfId="2530" builtinId="9" hidden="1"/>
    <cellStyle name="Hipervínculo visitado" xfId="3610" builtinId="9" hidden="1"/>
    <cellStyle name="Hipervínculo visitado" xfId="8556" builtinId="9" hidden="1"/>
    <cellStyle name="Hipervínculo visitado" xfId="10462" builtinId="9" hidden="1"/>
    <cellStyle name="Hipervínculo visitado" xfId="10686" builtinId="9" hidden="1"/>
    <cellStyle name="Hipervínculo visitado" xfId="7248" builtinId="9" hidden="1"/>
    <cellStyle name="Hipervínculo visitado" xfId="4772" builtinId="9" hidden="1"/>
    <cellStyle name="Hipervínculo visitado" xfId="10918" builtinId="9" hidden="1"/>
    <cellStyle name="Hipervínculo visitado" xfId="10118" builtinId="9" hidden="1"/>
    <cellStyle name="Hipervínculo visitado" xfId="7438" builtinId="9" hidden="1"/>
    <cellStyle name="Hipervínculo visitado" xfId="2704" builtinId="9" hidden="1"/>
    <cellStyle name="Hipervínculo visitado" xfId="3596" builtinId="9" hidden="1"/>
    <cellStyle name="Hipervínculo visitado" xfId="6030" builtinId="9" hidden="1"/>
    <cellStyle name="Hipervínculo visitado" xfId="2074" builtinId="9" hidden="1"/>
    <cellStyle name="Hipervínculo visitado" xfId="9860" builtinId="9" hidden="1"/>
    <cellStyle name="Hipervínculo visitado" xfId="9984" builtinId="9" hidden="1"/>
    <cellStyle name="Hipervínculo visitado" xfId="9794" builtinId="9" hidden="1"/>
    <cellStyle name="Hipervínculo visitado" xfId="8946" builtinId="9" hidden="1"/>
    <cellStyle name="Hipervínculo visitado" xfId="606" builtinId="9" hidden="1"/>
    <cellStyle name="Hipervínculo visitado" xfId="8620" builtinId="9" hidden="1"/>
    <cellStyle name="Hipervínculo visitado" xfId="8022" builtinId="9" hidden="1"/>
    <cellStyle name="Hipervínculo visitado" xfId="1878" builtinId="9" hidden="1"/>
    <cellStyle name="Hipervínculo visitado" xfId="9130" builtinId="9" hidden="1"/>
    <cellStyle name="Hipervínculo visitado" xfId="3756" builtinId="9" hidden="1"/>
    <cellStyle name="Hipervínculo visitado" xfId="6852" builtinId="9" hidden="1"/>
    <cellStyle name="Hipervínculo visitado" xfId="6546" builtinId="9" hidden="1"/>
    <cellStyle name="Hipervínculo visitado" xfId="652" builtinId="9" hidden="1"/>
    <cellStyle name="Hipervínculo visitado" xfId="9190" builtinId="9" hidden="1"/>
    <cellStyle name="Hipervínculo visitado" xfId="8350" builtinId="9" hidden="1"/>
    <cellStyle name="Hipervínculo visitado" xfId="710" builtinId="9" hidden="1"/>
    <cellStyle name="Hipervínculo visitado" xfId="10786" builtinId="9" hidden="1"/>
    <cellStyle name="Hipervínculo visitado" xfId="9890" builtinId="9" hidden="1"/>
    <cellStyle name="Hipervínculo visitado" xfId="10476" builtinId="9" hidden="1"/>
    <cellStyle name="Hipervínculo visitado" xfId="6454" builtinId="9" hidden="1"/>
    <cellStyle name="Hipervínculo visitado" xfId="3084" builtinId="9" hidden="1"/>
    <cellStyle name="Hipervínculo visitado" xfId="5506" builtinId="9" hidden="1"/>
    <cellStyle name="Hipervínculo visitado" xfId="2094" builtinId="9" hidden="1"/>
    <cellStyle name="Hipervínculo visitado" xfId="2432" builtinId="9" hidden="1"/>
    <cellStyle name="Hipervínculo visitado" xfId="3142" builtinId="9" hidden="1"/>
    <cellStyle name="Hipervínculo visitado" xfId="8678" builtinId="9" hidden="1"/>
    <cellStyle name="Hipervínculo visitado" xfId="1742" builtinId="9" hidden="1"/>
    <cellStyle name="Hipervínculo visitado" xfId="4608" builtinId="9" hidden="1"/>
    <cellStyle name="Hipervínculo visitado" xfId="3460" builtinId="9" hidden="1"/>
    <cellStyle name="Hipervínculo visitado" xfId="4832" builtinId="9" hidden="1"/>
    <cellStyle name="Hipervínculo visitado" xfId="2516" builtinId="9" hidden="1"/>
    <cellStyle name="Hipervínculo visitado" xfId="8996" builtinId="9" hidden="1"/>
    <cellStyle name="Hipervínculo visitado" xfId="6074" builtinId="9" hidden="1"/>
    <cellStyle name="Hipervínculo visitado" xfId="3872" builtinId="9" hidden="1"/>
    <cellStyle name="Hipervínculo visitado" xfId="6750" builtinId="9" hidden="1"/>
    <cellStyle name="Hipervínculo visitado" xfId="7872" builtinId="9" hidden="1"/>
    <cellStyle name="Hipervínculo visitado" xfId="1874" builtinId="9" hidden="1"/>
    <cellStyle name="Hipervínculo visitado" xfId="9552" builtinId="9" hidden="1"/>
    <cellStyle name="Hipervínculo visitado" xfId="8662" builtinId="9" hidden="1"/>
    <cellStyle name="Hipervínculo visitado" xfId="2412" builtinId="9" hidden="1"/>
    <cellStyle name="Hipervínculo visitado" xfId="4028" builtinId="9" hidden="1"/>
    <cellStyle name="Hipervínculo visitado" xfId="4502" builtinId="9" hidden="1"/>
    <cellStyle name="Hipervínculo visitado" xfId="10264" builtinId="9" hidden="1"/>
    <cellStyle name="Hipervínculo visitado" xfId="496" builtinId="9" hidden="1"/>
    <cellStyle name="Hipervínculo visitado" xfId="7460" builtinId="9" hidden="1"/>
    <cellStyle name="Hipervínculo visitado" xfId="10100" builtinId="9" hidden="1"/>
    <cellStyle name="Hipervínculo visitado" xfId="4484" builtinId="9" hidden="1"/>
    <cellStyle name="Hipervínculo visitado" xfId="10940" builtinId="9" hidden="1"/>
    <cellStyle name="Hipervínculo visitado" xfId="4628" builtinId="9" hidden="1"/>
    <cellStyle name="Hipervínculo visitado" xfId="10900" builtinId="9" hidden="1"/>
    <cellStyle name="Hipervínculo visitado" xfId="1194" builtinId="9" hidden="1"/>
    <cellStyle name="Hipervínculo visitado" xfId="10752" builtinId="9" hidden="1"/>
    <cellStyle name="Hipervínculo visitado" xfId="1132" builtinId="9" hidden="1"/>
    <cellStyle name="Hipervínculo visitado" xfId="9350" builtinId="9" hidden="1"/>
    <cellStyle name="Hipervínculo visitado" xfId="5026" builtinId="9" hidden="1"/>
    <cellStyle name="Hipervínculo visitado" xfId="9328" builtinId="9" hidden="1"/>
    <cellStyle name="Hipervínculo visitado" xfId="5242" builtinId="9" hidden="1"/>
    <cellStyle name="Hipervínculo visitado" xfId="10182" builtinId="9" hidden="1"/>
    <cellStyle name="Hipervínculo visitado" xfId="324" builtinId="9" hidden="1"/>
    <cellStyle name="Hipervínculo visitado" xfId="10906" builtinId="9" hidden="1"/>
    <cellStyle name="Hipervínculo visitado" xfId="1646" builtinId="9" hidden="1"/>
    <cellStyle name="Hipervínculo visitado" xfId="10360" builtinId="9" hidden="1"/>
    <cellStyle name="Hipervínculo visitado" xfId="6204" builtinId="9" hidden="1"/>
    <cellStyle name="Hipervínculo visitado" xfId="562" builtinId="9" hidden="1"/>
    <cellStyle name="Hipervínculo visitado" xfId="1402" builtinId="9" hidden="1"/>
    <cellStyle name="Hipervínculo visitado" xfId="3742" builtinId="9" hidden="1"/>
    <cellStyle name="Hipervínculo visitado" xfId="4036" builtinId="9" hidden="1"/>
    <cellStyle name="Hipervínculo visitado" xfId="4014" builtinId="9" hidden="1"/>
    <cellStyle name="Hipervínculo visitado" xfId="4890" builtinId="9" hidden="1"/>
    <cellStyle name="Hipervínculo visitado" xfId="1158" builtinId="9" hidden="1"/>
    <cellStyle name="Hipervínculo visitado" xfId="5906" builtinId="9" hidden="1"/>
    <cellStyle name="Hipervínculo visitado" xfId="6998" builtinId="9" hidden="1"/>
    <cellStyle name="Hipervínculo visitado" xfId="4392" builtinId="9" hidden="1"/>
    <cellStyle name="Hipervínculo visitado" xfId="9466" builtinId="9" hidden="1"/>
    <cellStyle name="Hipervínculo visitado" xfId="6978" builtinId="9" hidden="1"/>
    <cellStyle name="Hipervínculo visitado" xfId="9186" builtinId="9" hidden="1"/>
    <cellStyle name="Hipervínculo visitado" xfId="9756" builtinId="9" hidden="1"/>
    <cellStyle name="Hipervínculo visitado" xfId="8012" builtinId="9" hidden="1"/>
    <cellStyle name="Hipervínculo visitado" xfId="816" builtinId="9" hidden="1"/>
    <cellStyle name="Hipervínculo visitado" xfId="5422" builtinId="9" hidden="1"/>
    <cellStyle name="Hipervínculo visitado" xfId="8506" builtinId="9" hidden="1"/>
    <cellStyle name="Hipervínculo visitado" xfId="6628" builtinId="9" hidden="1"/>
    <cellStyle name="Hipervínculo visitado" xfId="3708" builtinId="9" hidden="1"/>
    <cellStyle name="Hipervínculo visitado" xfId="9142" builtinId="9" hidden="1"/>
    <cellStyle name="Hipervínculo visitado" xfId="3876" builtinId="9" hidden="1"/>
    <cellStyle name="Hipervínculo visitado" xfId="5128" builtinId="9" hidden="1"/>
    <cellStyle name="Hipervínculo visitado" xfId="10596" builtinId="9" hidden="1"/>
    <cellStyle name="Hipervínculo visitado" xfId="3816" builtinId="9" hidden="1"/>
    <cellStyle name="Hipervínculo visitado" xfId="10518" builtinId="9" hidden="1"/>
    <cellStyle name="Hipervínculo visitado" xfId="5598" builtinId="9" hidden="1"/>
    <cellStyle name="Hipervínculo visitado" xfId="1814" builtinId="9" hidden="1"/>
    <cellStyle name="Hipervínculo visitado" xfId="7704" builtinId="9" hidden="1"/>
    <cellStyle name="Hipervínculo visitado" xfId="6530" builtinId="9" hidden="1"/>
    <cellStyle name="Hipervínculo visitado" xfId="10696" builtinId="9" hidden="1"/>
    <cellStyle name="Hipervínculo visitado" xfId="6522" builtinId="9" hidden="1"/>
    <cellStyle name="Hipervínculo visitado" xfId="916" builtinId="9" hidden="1"/>
    <cellStyle name="Hipervínculo visitado" xfId="8588" builtinId="9" hidden="1"/>
    <cellStyle name="Hipervínculo visitado" xfId="4452" builtinId="9" hidden="1"/>
    <cellStyle name="Hipervínculo visitado" xfId="5546" builtinId="9" hidden="1"/>
    <cellStyle name="Hipervínculo visitado" xfId="3394" builtinId="9" hidden="1"/>
    <cellStyle name="Hipervínculo visitado" xfId="2826" builtinId="9" hidden="1"/>
    <cellStyle name="Hipervínculo visitado" xfId="10332" builtinId="9" hidden="1"/>
    <cellStyle name="Hipervínculo visitado" xfId="2474" builtinId="9" hidden="1"/>
    <cellStyle name="Hipervínculo visitado" xfId="5368" builtinId="9" hidden="1"/>
    <cellStyle name="Hipervínculo visitado" xfId="6362" builtinId="9" hidden="1"/>
    <cellStyle name="Hipervínculo visitado" xfId="7656" builtinId="9" hidden="1"/>
    <cellStyle name="Hipervínculo visitado" xfId="6302" builtinId="9" hidden="1"/>
    <cellStyle name="Hipervínculo visitado" xfId="7620" builtinId="9" hidden="1"/>
    <cellStyle name="Hipervínculo visitado" xfId="2202" builtinId="9" hidden="1"/>
    <cellStyle name="Hipervínculo visitado" xfId="1030" builtinId="9" hidden="1"/>
    <cellStyle name="Hipervínculo visitado" xfId="2048" builtinId="9" hidden="1"/>
    <cellStyle name="Hipervínculo visitado" xfId="4364" builtinId="9" hidden="1"/>
    <cellStyle name="Hipervínculo visitado" xfId="5756" builtinId="9" hidden="1"/>
    <cellStyle name="Hipervínculo visitado" xfId="7412" builtinId="9" hidden="1"/>
    <cellStyle name="Hipervínculo visitado" xfId="1208" builtinId="9" hidden="1"/>
    <cellStyle name="Hipervínculo visitado" xfId="3920" builtinId="9" hidden="1"/>
    <cellStyle name="Hipervínculo visitado" xfId="8486" builtinId="9" hidden="1"/>
    <cellStyle name="Hipervínculo visitado" xfId="10876" builtinId="9" hidden="1"/>
    <cellStyle name="Hipervínculo visitado" xfId="10766" builtinId="9" hidden="1"/>
    <cellStyle name="Hipervínculo visitado" xfId="4492" builtinId="9" hidden="1"/>
    <cellStyle name="Hipervínculo visitado" xfId="9284" builtinId="9" hidden="1"/>
    <cellStyle name="Hipervínculo visitado" xfId="6900" builtinId="9" hidden="1"/>
    <cellStyle name="Hipervínculo visitado" xfId="6854" builtinId="9" hidden="1"/>
    <cellStyle name="Hipervínculo visitado" xfId="10422" builtinId="9" hidden="1"/>
    <cellStyle name="Hipervínculo visitado" xfId="3020" builtinId="9" hidden="1"/>
    <cellStyle name="Hipervínculo visitado" xfId="10804" builtinId="9" hidden="1"/>
    <cellStyle name="Hipervínculo visitado" xfId="2680" builtinId="9" hidden="1"/>
    <cellStyle name="Hipervínculo visitado" xfId="9244" builtinId="9" hidden="1"/>
    <cellStyle name="Hipervínculo visitado" xfId="3408" builtinId="9" hidden="1"/>
    <cellStyle name="Hipervínculo visitado" xfId="1758" builtinId="9" hidden="1"/>
    <cellStyle name="Hipervínculo visitado" xfId="3772" builtinId="9" hidden="1"/>
    <cellStyle name="Hipervínculo visitado" xfId="1236" builtinId="9" hidden="1"/>
    <cellStyle name="Hipervínculo visitado" xfId="8020" builtinId="9" hidden="1"/>
    <cellStyle name="Hipervínculo visitado" xfId="3524" builtinId="9" hidden="1"/>
    <cellStyle name="Hipervínculo visitado" xfId="1734" builtinId="9" hidden="1"/>
    <cellStyle name="Hipervínculo visitado" xfId="2538" builtinId="9" hidden="1"/>
    <cellStyle name="Hipervínculo visitado" xfId="8606" builtinId="9" hidden="1"/>
    <cellStyle name="Hipervínculo visitado" xfId="2742" builtinId="9" hidden="1"/>
    <cellStyle name="Hipervínculo visitado" xfId="1090" builtinId="9" hidden="1"/>
    <cellStyle name="Hipervínculo visitado" xfId="6602" builtinId="9" hidden="1"/>
    <cellStyle name="Hipervínculo visitado" xfId="10266" builtinId="9" hidden="1"/>
    <cellStyle name="Hipervínculo visitado" xfId="2626" builtinId="9" hidden="1"/>
    <cellStyle name="Hipervínculo visitado" xfId="2346" builtinId="9" hidden="1"/>
    <cellStyle name="Hipervínculo visitado" xfId="6538" builtinId="9" hidden="1"/>
    <cellStyle name="Hipervínculo visitado" xfId="7356" builtinId="9" hidden="1"/>
    <cellStyle name="Hipervínculo visitado" xfId="4126" builtinId="9" hidden="1"/>
    <cellStyle name="Hipervínculo visitado" xfId="8028" builtinId="9" hidden="1"/>
    <cellStyle name="Hipervínculo visitado" xfId="8794" builtinId="9" hidden="1"/>
    <cellStyle name="Hipervínculo visitado" xfId="1732" builtinId="9" hidden="1"/>
    <cellStyle name="Hipervínculo visitado" xfId="7790" builtinId="9" hidden="1"/>
    <cellStyle name="Hipervínculo visitado" xfId="9712" builtinId="9" hidden="1"/>
    <cellStyle name="Hipervínculo visitado" xfId="4408" builtinId="9" hidden="1"/>
    <cellStyle name="Hipervínculo visitado" xfId="5856" builtinId="9" hidden="1"/>
    <cellStyle name="Hipervínculo visitado" xfId="2114" builtinId="9" hidden="1"/>
    <cellStyle name="Hipervínculo visitado" xfId="6218" builtinId="9" hidden="1"/>
    <cellStyle name="Hipervínculo visitado" xfId="6708" builtinId="9" hidden="1"/>
    <cellStyle name="Hipervínculo visitado" xfId="10854" builtinId="9" hidden="1"/>
    <cellStyle name="Hipervínculo visitado" xfId="9516" builtinId="9" hidden="1"/>
    <cellStyle name="Hipervínculo visitado" xfId="9264" builtinId="9" hidden="1"/>
    <cellStyle name="Hipervínculo visitado" xfId="6906" builtinId="9" hidden="1"/>
    <cellStyle name="Hipervínculo visitado" xfId="5396" builtinId="9" hidden="1"/>
    <cellStyle name="Hipervínculo visitado" xfId="4074" builtinId="9" hidden="1"/>
    <cellStyle name="Hipervínculo visitado" xfId="4584" builtinId="9" hidden="1"/>
    <cellStyle name="Hipervínculo visitado" xfId="2274" builtinId="9" hidden="1"/>
    <cellStyle name="Hipervínculo visitado" xfId="1224" builtinId="9" hidden="1"/>
    <cellStyle name="Hipervínculo visitado" xfId="8788" builtinId="9" hidden="1"/>
    <cellStyle name="Hipervínculo visitado" xfId="3046" builtinId="9" hidden="1"/>
    <cellStyle name="Hipervínculo visitado" xfId="122" builtinId="9" hidden="1"/>
    <cellStyle name="Hipervínculo visitado" xfId="282" builtinId="9" hidden="1"/>
    <cellStyle name="Hipervínculo visitado" xfId="834" builtinId="9" hidden="1"/>
    <cellStyle name="Hipervínculo visitado" xfId="9880" builtinId="9" hidden="1"/>
    <cellStyle name="Hipervínculo visitado" xfId="8986" builtinId="9" hidden="1"/>
    <cellStyle name="Hipervínculo visitado" xfId="5608" builtinId="9" hidden="1"/>
    <cellStyle name="Hipervínculo visitado" xfId="10306" builtinId="9" hidden="1"/>
    <cellStyle name="Hipervínculo visitado" xfId="1580" builtinId="9" hidden="1"/>
    <cellStyle name="Hipervínculo visitado" xfId="6464" builtinId="9" hidden="1"/>
    <cellStyle name="Hipervínculo visitado" xfId="5694" builtinId="9" hidden="1"/>
    <cellStyle name="Hipervínculo visitado" xfId="1530" builtinId="9" hidden="1"/>
    <cellStyle name="Hipervínculo visitado" xfId="2298" builtinId="9" hidden="1"/>
    <cellStyle name="Hipervínculo visitado" xfId="8306" builtinId="9" hidden="1"/>
    <cellStyle name="Hipervínculo visitado" xfId="7948" builtinId="9" hidden="1"/>
    <cellStyle name="Hipervínculo visitado" xfId="6112" builtinId="9" hidden="1"/>
    <cellStyle name="Hipervínculo visitado" xfId="5816" builtinId="9" hidden="1"/>
    <cellStyle name="Hipervínculo visitado" xfId="8032" builtinId="9" hidden="1"/>
    <cellStyle name="Hipervínculo visitado" xfId="508" builtinId="9" hidden="1"/>
    <cellStyle name="Hipervínculo visitado" xfId="7094" builtinId="9" hidden="1"/>
    <cellStyle name="Hipervínculo visitado" xfId="10806" builtinId="9" hidden="1"/>
    <cellStyle name="Hipervínculo visitado" xfId="10536" builtinId="9" hidden="1"/>
    <cellStyle name="Hipervínculo visitado" xfId="10428" builtinId="9" hidden="1"/>
    <cellStyle name="Hipervínculo visitado" xfId="8834" builtinId="9" hidden="1"/>
    <cellStyle name="Hipervínculo visitado" xfId="1436" builtinId="9" hidden="1"/>
    <cellStyle name="Hipervínculo visitado" xfId="9582" builtinId="9" hidden="1"/>
    <cellStyle name="Hipervínculo visitado" xfId="1858" builtinId="9" hidden="1"/>
    <cellStyle name="Hipervínculo visitado" xfId="9258" builtinId="9" hidden="1"/>
    <cellStyle name="Hipervínculo visitado" xfId="9942" builtinId="9" hidden="1"/>
    <cellStyle name="Hipervínculo visitado" xfId="1150" builtinId="9" hidden="1"/>
    <cellStyle name="Hipervínculo visitado" xfId="7078" builtinId="9" hidden="1"/>
    <cellStyle name="Hipervínculo visitado" xfId="9028" builtinId="9" hidden="1"/>
    <cellStyle name="Hipervínculo visitado" xfId="2288" builtinId="9" hidden="1"/>
    <cellStyle name="Hipervínculo visitado" xfId="4612" builtinId="9" hidden="1"/>
    <cellStyle name="Hipervínculo visitado" xfId="4032" builtinId="9" hidden="1"/>
    <cellStyle name="Hipervínculo visitado" xfId="3528" builtinId="9" hidden="1"/>
    <cellStyle name="Hipervínculo visitado" xfId="1316" builtinId="9" hidden="1"/>
    <cellStyle name="Hipervínculo visitado" xfId="298" builtinId="9" hidden="1"/>
    <cellStyle name="Hipervínculo visitado" xfId="6620" builtinId="9" hidden="1"/>
    <cellStyle name="Hipervínculo visitado" xfId="4488" builtinId="9" hidden="1"/>
    <cellStyle name="Hipervínculo visitado" xfId="3226" builtinId="9" hidden="1"/>
    <cellStyle name="Hipervínculo visitado" xfId="4346" builtinId="9" hidden="1"/>
    <cellStyle name="Hipervínculo visitado" xfId="2166" builtinId="9" hidden="1"/>
    <cellStyle name="Hipervínculo visitado" xfId="1488" builtinId="9" hidden="1"/>
    <cellStyle name="Hipervínculo visitado" xfId="10722" builtinId="9" hidden="1"/>
    <cellStyle name="Hipervínculo visitado" xfId="3784" builtinId="9" hidden="1"/>
    <cellStyle name="Hipervínculo visitado" xfId="5866" builtinId="9" hidden="1"/>
    <cellStyle name="Hipervínculo visitado" xfId="7294" builtinId="9" hidden="1"/>
    <cellStyle name="Hipervínculo visitado" xfId="1210" builtinId="9" hidden="1"/>
    <cellStyle name="Hipervínculo visitado" xfId="8282" builtinId="9" hidden="1"/>
    <cellStyle name="Hipervínculo visitado" xfId="2304" builtinId="9" hidden="1"/>
    <cellStyle name="Hipervínculo visitado" xfId="10964" builtinId="9" hidden="1"/>
    <cellStyle name="Hipervínculo visitado" xfId="8942" builtinId="9" hidden="1"/>
    <cellStyle name="Hipervínculo visitado" xfId="6500" builtinId="9" hidden="1"/>
    <cellStyle name="Hipervínculo visitado" xfId="8300" builtinId="9" hidden="1"/>
    <cellStyle name="Hipervínculo visitado" xfId="4146" builtinId="9" hidden="1"/>
    <cellStyle name="Hipervínculo visitado" xfId="2256" builtinId="9" hidden="1"/>
    <cellStyle name="Hipervínculo visitado" xfId="8040" builtinId="9" hidden="1"/>
    <cellStyle name="Hipervínculo visitado" xfId="10438" builtinId="9" hidden="1"/>
    <cellStyle name="Hipervínculo visitado" xfId="2338" builtinId="9" hidden="1"/>
    <cellStyle name="Hipervínculo visitado" xfId="10582" builtinId="9" hidden="1"/>
    <cellStyle name="Hipervínculo visitado" xfId="4860" builtinId="9" hidden="1"/>
    <cellStyle name="Hipervínculo visitado" xfId="2712" builtinId="9" hidden="1"/>
    <cellStyle name="Hipervínculo visitado" xfId="9520" builtinId="9" hidden="1"/>
    <cellStyle name="Hipervínculo visitado" xfId="8212" builtinId="9" hidden="1"/>
    <cellStyle name="Hipervínculo visitado" xfId="6460" builtinId="9" hidden="1"/>
    <cellStyle name="Hipervínculo visitado" xfId="2550" builtinId="9" hidden="1"/>
    <cellStyle name="Hipervínculo visitado" xfId="90" builtinId="9" hidden="1"/>
    <cellStyle name="Hipervínculo visitado" xfId="8892" builtinId="9" hidden="1"/>
    <cellStyle name="Hipervínculo visitado" xfId="24" builtinId="9" hidden="1"/>
    <cellStyle name="Hipervínculo visitado" xfId="3892" builtinId="9" hidden="1"/>
    <cellStyle name="Hipervínculo visitado" xfId="1650" builtinId="9" hidden="1"/>
    <cellStyle name="Hipervínculo visitado" xfId="9386" builtinId="9" hidden="1"/>
    <cellStyle name="Hipervínculo visitado" xfId="2442" builtinId="9" hidden="1"/>
    <cellStyle name="Hipervínculo visitado" xfId="5364" builtinId="9" hidden="1"/>
    <cellStyle name="Hipervínculo visitado" xfId="2998" builtinId="9" hidden="1"/>
    <cellStyle name="Hipervínculo visitado" xfId="7070" builtinId="9" hidden="1"/>
    <cellStyle name="Hipervínculo visitado" xfId="3130" builtinId="9" hidden="1"/>
    <cellStyle name="Hipervínculo visitado" xfId="10078" builtinId="9" hidden="1"/>
    <cellStyle name="Hipervínculo visitado" xfId="10150" builtinId="9" hidden="1"/>
    <cellStyle name="Hipervínculo visitado" xfId="10016" builtinId="9" hidden="1"/>
    <cellStyle name="Hipervínculo visitado" xfId="5502" builtinId="9" hidden="1"/>
    <cellStyle name="Hipervínculo visitado" xfId="6766" builtinId="9" hidden="1"/>
    <cellStyle name="Hipervínculo visitado" xfId="8222" builtinId="9" hidden="1"/>
    <cellStyle name="Hipervínculo visitado" xfId="7732" builtinId="9" hidden="1"/>
    <cellStyle name="Hipervínculo visitado" xfId="1056" builtinId="9" hidden="1"/>
    <cellStyle name="Hipervínculo visitado" xfId="882" builtinId="9" hidden="1"/>
    <cellStyle name="Hipervínculo visitado" xfId="6790" builtinId="9" hidden="1"/>
    <cellStyle name="Hipervínculo visitado" xfId="8066" builtinId="9" hidden="1"/>
    <cellStyle name="Hipervínculo visitado" xfId="2992" builtinId="9" hidden="1"/>
    <cellStyle name="Hipervínculo visitado" xfId="9948" builtinId="9" hidden="1"/>
    <cellStyle name="Hipervínculo visitado" xfId="6472" builtinId="9" hidden="1"/>
    <cellStyle name="Hipervínculo visitado" xfId="6208" builtinId="9" hidden="1"/>
    <cellStyle name="Hipervínculo visitado" xfId="270" builtinId="9" hidden="1"/>
    <cellStyle name="Hipervínculo visitado" xfId="5130" builtinId="9" hidden="1"/>
    <cellStyle name="Hipervínculo visitado" xfId="1966" builtinId="9" hidden="1"/>
    <cellStyle name="Hipervínculo visitado" xfId="5126" builtinId="9" hidden="1"/>
    <cellStyle name="Hipervínculo visitado" xfId="9708" builtinId="9" hidden="1"/>
    <cellStyle name="Hipervínculo visitado" xfId="9704" builtinId="9" hidden="1"/>
    <cellStyle name="Hipervínculo visitado" xfId="4354" builtinId="9" hidden="1"/>
    <cellStyle name="Hipervínculo visitado" xfId="5752" builtinId="9" hidden="1"/>
    <cellStyle name="Hipervínculo visitado" xfId="7780" builtinId="9" hidden="1"/>
    <cellStyle name="Hipervínculo visitado" xfId="1108" builtinId="9" hidden="1"/>
    <cellStyle name="Hipervínculo visitado" xfId="7500" builtinId="9" hidden="1"/>
    <cellStyle name="Hipervínculo visitado" xfId="1684" builtinId="9" hidden="1"/>
    <cellStyle name="Hipervínculo visitado" xfId="2908" builtinId="9" hidden="1"/>
    <cellStyle name="Hipervínculo visitado" xfId="8138" builtinId="9" hidden="1"/>
    <cellStyle name="Hipervínculo visitado" xfId="9926" builtinId="9" hidden="1"/>
    <cellStyle name="Hipervínculo visitado" xfId="6890" builtinId="9" hidden="1"/>
    <cellStyle name="Hipervínculo visitado" xfId="9822" builtinId="9" hidden="1"/>
    <cellStyle name="Hipervínculo visitado" xfId="7260" builtinId="9" hidden="1"/>
    <cellStyle name="Hipervínculo visitado" xfId="1086" builtinId="9" hidden="1"/>
    <cellStyle name="Hipervínculo visitado" xfId="1254" builtinId="9" hidden="1"/>
    <cellStyle name="Hipervínculo visitado" xfId="9084" builtinId="9" hidden="1"/>
    <cellStyle name="Hipervínculo visitado" xfId="1800" builtinId="9" hidden="1"/>
    <cellStyle name="Hipervínculo visitado" xfId="1550" builtinId="9" hidden="1"/>
    <cellStyle name="Hipervínculo visitado" xfId="3388" builtinId="9" hidden="1"/>
    <cellStyle name="Hipervínculo visitado" xfId="4764" builtinId="9" hidden="1"/>
    <cellStyle name="Hipervínculo visitado" xfId="5650" builtinId="9" hidden="1"/>
    <cellStyle name="Hipervínculo visitado" xfId="10288" builtinId="9" hidden="1"/>
    <cellStyle name="Hipervínculo visitado" xfId="3294" builtinId="9" hidden="1"/>
    <cellStyle name="Hipervínculo visitado" xfId="10384" builtinId="9" hidden="1"/>
    <cellStyle name="Hipervínculo visitado" xfId="4106" builtinId="9" hidden="1"/>
    <cellStyle name="Hipervínculo visitado" xfId="7396" builtinId="9" hidden="1"/>
    <cellStyle name="Hipervínculo visitado" xfId="5766" builtinId="9" hidden="1"/>
    <cellStyle name="Hipervínculo visitado" xfId="8866" builtinId="9" hidden="1"/>
    <cellStyle name="Hipervínculo visitado" xfId="382" builtinId="9" hidden="1"/>
    <cellStyle name="Hipervínculo visitado" xfId="4386" builtinId="9" hidden="1"/>
    <cellStyle name="Hipervínculo visitado" xfId="1764" builtinId="9" hidden="1"/>
    <cellStyle name="Hipervínculo visitado" xfId="10682" builtinId="9" hidden="1"/>
    <cellStyle name="Hipervínculo visitado" xfId="2554" builtinId="9" hidden="1"/>
    <cellStyle name="Hipervínculo visitado" xfId="4730" builtinId="9" hidden="1"/>
    <cellStyle name="Hipervínculo visitado" xfId="4342" builtinId="9" hidden="1"/>
    <cellStyle name="Hipervínculo visitado" xfId="1026" builtinId="9" hidden="1"/>
    <cellStyle name="Hipervínculo visitado" xfId="8546" builtinId="9" hidden="1"/>
    <cellStyle name="Hipervínculo visitado" xfId="450" builtinId="9" hidden="1"/>
    <cellStyle name="Hipervínculo visitado" xfId="8332" builtinId="9" hidden="1"/>
    <cellStyle name="Hipervínculo visitado" xfId="844" builtinId="9" hidden="1"/>
    <cellStyle name="Hipervínculo visitado" xfId="2572" builtinId="9" hidden="1"/>
    <cellStyle name="Hipervínculo visitado" xfId="7124" builtinId="9" hidden="1"/>
    <cellStyle name="Hipervínculo visitado" xfId="5912" builtinId="9" hidden="1"/>
    <cellStyle name="Hipervínculo visitado" xfId="2382" builtinId="9" hidden="1"/>
    <cellStyle name="Hipervínculo visitado" xfId="4310" builtinId="9" hidden="1"/>
    <cellStyle name="Hipervínculo visitado" xfId="6482" builtinId="9" hidden="1"/>
    <cellStyle name="Hipervínculo visitado" xfId="10946" builtinId="9" hidden="1"/>
    <cellStyle name="Hipervínculo visitado" xfId="8164" builtinId="9" hidden="1"/>
    <cellStyle name="Hipervínculo visitado" xfId="8234" builtinId="9" hidden="1"/>
    <cellStyle name="Hipervínculo visitado" xfId="9900" builtinId="9" hidden="1"/>
    <cellStyle name="Hipervínculo visitado" xfId="8046" builtinId="9" hidden="1"/>
    <cellStyle name="Hipervínculo visitado" xfId="972" builtinId="9" hidden="1"/>
    <cellStyle name="Hipervínculo visitado" xfId="6798" builtinId="9" hidden="1"/>
    <cellStyle name="Hipervínculo visitado" xfId="9692" builtinId="9" hidden="1"/>
    <cellStyle name="Hipervínculo visitado" xfId="9334" builtinId="9" hidden="1"/>
    <cellStyle name="Hipervínculo visitado" xfId="2962" builtinId="9" hidden="1"/>
    <cellStyle name="Hipervínculo visitado" xfId="9640" builtinId="9" hidden="1"/>
    <cellStyle name="Hipervínculo visitado" xfId="4742" builtinId="9" hidden="1"/>
    <cellStyle name="Hipervínculo visitado" xfId="7144" builtinId="9" hidden="1"/>
    <cellStyle name="Hipervínculo visitado" xfId="2744" builtinId="9" hidden="1"/>
    <cellStyle name="Hipervínculo visitado" xfId="2932" builtinId="9" hidden="1"/>
    <cellStyle name="Hipervínculo visitado" xfId="5558" builtinId="9" hidden="1"/>
    <cellStyle name="Hipervínculo visitado" xfId="408" builtinId="9" hidden="1"/>
    <cellStyle name="Hipervínculo visitado" xfId="4418" builtinId="9" hidden="1"/>
    <cellStyle name="Hipervínculo visitado" xfId="10962" builtinId="9" hidden="1"/>
    <cellStyle name="Hipervínculo visitado" xfId="3450" builtinId="9" hidden="1"/>
    <cellStyle name="Hipervínculo visitado" xfId="4908" builtinId="9" hidden="1"/>
    <cellStyle name="Hipervínculo visitado" xfId="8836" builtinId="9" hidden="1"/>
    <cellStyle name="Hipervínculo visitado" xfId="7714" builtinId="9" hidden="1"/>
    <cellStyle name="Hipervínculo visitado" xfId="1570" builtinId="9" hidden="1"/>
    <cellStyle name="Hipervínculo visitado" xfId="6588" builtinId="9" hidden="1"/>
    <cellStyle name="Hipervínculo visitado" xfId="6992" builtinId="9" hidden="1"/>
    <cellStyle name="Hipervínculo visitado" xfId="544" builtinId="9" hidden="1"/>
    <cellStyle name="Hipervínculo visitado" xfId="10116" builtinId="9" hidden="1"/>
    <cellStyle name="Hipervínculo visitado" xfId="2260" builtinId="9" hidden="1"/>
    <cellStyle name="Hipervínculo visitado" xfId="7420" builtinId="9" hidden="1"/>
    <cellStyle name="Hipervínculo visitado" xfId="4278" builtinId="9" hidden="1"/>
    <cellStyle name="Hipervínculo visitado" xfId="1042" builtinId="9" hidden="1"/>
    <cellStyle name="Hipervínculo visitado" xfId="3488" builtinId="9" hidden="1"/>
    <cellStyle name="Hipervínculo visitado" xfId="6878" builtinId="9" hidden="1"/>
    <cellStyle name="Hipervínculo visitado" xfId="952" builtinId="9" hidden="1"/>
    <cellStyle name="Hipervínculo visitado" xfId="8070" builtinId="9" hidden="1"/>
    <cellStyle name="Hipervínculo visitado" xfId="2232" builtinId="9" hidden="1"/>
    <cellStyle name="Hipervínculo visitado" xfId="5884" builtinId="9" hidden="1"/>
    <cellStyle name="Hipervínculo visitado" xfId="388" builtinId="9" hidden="1"/>
    <cellStyle name="Hipervínculo visitado" xfId="4076" builtinId="9" hidden="1"/>
    <cellStyle name="Hipervínculo visitado" xfId="1718" builtinId="9" hidden="1"/>
    <cellStyle name="Hipervínculo visitado" xfId="4366" builtinId="9" hidden="1"/>
    <cellStyle name="Hipervínculo visitado" xfId="7638" builtinId="9" hidden="1"/>
    <cellStyle name="Hipervínculo visitado" xfId="7538" builtinId="9" hidden="1"/>
    <cellStyle name="Hipervínculo visitado" xfId="2388" builtinId="9" hidden="1"/>
    <cellStyle name="Hipervínculo visitado" xfId="2494" builtinId="9" hidden="1"/>
    <cellStyle name="Hipervínculo visitado" xfId="4596" builtinId="9" hidden="1"/>
    <cellStyle name="Hipervínculo visitado" xfId="5454" builtinId="9" hidden="1"/>
    <cellStyle name="Hipervínculo visitado" xfId="5660" builtinId="9" hidden="1"/>
    <cellStyle name="Hipervínculo visitado" xfId="6250" builtinId="9" hidden="1"/>
    <cellStyle name="Hipervínculo visitado" xfId="10760" builtinId="9" hidden="1"/>
    <cellStyle name="Hipervínculo visitado" xfId="3728" builtinId="9" hidden="1"/>
    <cellStyle name="Hipervínculo visitado" xfId="10938" builtinId="9" hidden="1"/>
    <cellStyle name="Hipervínculo visitado" xfId="9972" builtinId="9" hidden="1"/>
    <cellStyle name="Hipervínculo visitado" xfId="5388" builtinId="9" hidden="1"/>
    <cellStyle name="Hipervínculo visitado" xfId="3082" builtinId="9" hidden="1"/>
    <cellStyle name="Hipervínculo visitado" xfId="4530" builtinId="9" hidden="1"/>
    <cellStyle name="Hipervínculo visitado" xfId="2270" builtinId="9" hidden="1"/>
    <cellStyle name="Hipervínculo visitado" xfId="5852" builtinId="9" hidden="1"/>
    <cellStyle name="Hipervínculo visitado" xfId="2126" builtinId="9" hidden="1"/>
    <cellStyle name="Hipervínculo visitado" xfId="5786" builtinId="9" hidden="1"/>
    <cellStyle name="Hipervínculo visitado" xfId="52" builtinId="9" hidden="1"/>
    <cellStyle name="Hipervínculo visitado" xfId="9524" builtinId="9" hidden="1"/>
    <cellStyle name="Hipervínculo visitado" xfId="7728" builtinId="9" hidden="1"/>
    <cellStyle name="Hipervínculo visitado" xfId="6556" builtinId="9" hidden="1"/>
    <cellStyle name="Hipervínculo visitado" xfId="3844" builtinId="9" hidden="1"/>
    <cellStyle name="Hipervínculo visitado" xfId="6586" builtinId="9" hidden="1"/>
    <cellStyle name="Hipervínculo visitado" xfId="3036" builtinId="9" hidden="1"/>
    <cellStyle name="Hipervínculo visitado" xfId="9260" builtinId="9" hidden="1"/>
    <cellStyle name="Hipervínculo visitado" xfId="7270" builtinId="9" hidden="1"/>
    <cellStyle name="Hipervínculo visitado" xfId="8272" builtinId="9" hidden="1"/>
    <cellStyle name="Hipervínculo visitado" xfId="8550" builtinId="9" hidden="1"/>
    <cellStyle name="Hipervínculo visitado" xfId="8590" builtinId="9" hidden="1"/>
    <cellStyle name="Hipervínculo visitado" xfId="2328" builtinId="9" hidden="1"/>
    <cellStyle name="Hipervínculo visitado" xfId="2594" builtinId="9" hidden="1"/>
    <cellStyle name="Hipervínculo visitado" xfId="4376" builtinId="9" hidden="1"/>
    <cellStyle name="Hipervínculo visitado" xfId="4510" builtinId="9" hidden="1"/>
    <cellStyle name="Hipervínculo visitado" xfId="4262" builtinId="9" hidden="1"/>
    <cellStyle name="Hipervínculo visitado" xfId="6148" builtinId="9" hidden="1"/>
    <cellStyle name="Hipervínculo visitado" xfId="10628" builtinId="9" hidden="1"/>
    <cellStyle name="Hipervínculo visitado" xfId="10102" builtinId="9" hidden="1"/>
    <cellStyle name="Hipervínculo visitado" xfId="6346" builtinId="9" hidden="1"/>
    <cellStyle name="Hipervínculo visitado" xfId="3390" builtinId="9" hidden="1"/>
    <cellStyle name="Hipervínculo visitado" xfId="2316" builtinId="9" hidden="1"/>
    <cellStyle name="Hipervínculo visitado" xfId="540" builtinId="9" hidden="1"/>
    <cellStyle name="Hipervínculo visitado" xfId="5122" builtinId="9" hidden="1"/>
    <cellStyle name="Hipervínculo visitado" xfId="760" builtinId="9" hidden="1"/>
    <cellStyle name="Hipervínculo visitado" xfId="7142" builtinId="9" hidden="1"/>
    <cellStyle name="Hipervínculo visitado" xfId="1956" builtinId="9" hidden="1"/>
    <cellStyle name="Hipervínculo visitado" xfId="4442" builtinId="9" hidden="1"/>
    <cellStyle name="Hipervínculo visitado" xfId="4694" builtinId="9" hidden="1"/>
    <cellStyle name="Hipervínculo visitado" xfId="9208" builtinId="9" hidden="1"/>
    <cellStyle name="Hipervínculo visitado" xfId="5996" builtinId="9" hidden="1"/>
    <cellStyle name="Hipervínculo visitado" xfId="8056" builtinId="9" hidden="1"/>
    <cellStyle name="Hipervínculo visitado" xfId="10130" builtinId="9" hidden="1"/>
    <cellStyle name="Hipervínculo visitado" xfId="2654" builtinId="9" hidden="1"/>
    <cellStyle name="Hipervínculo visitado" xfId="10246" builtinId="9" hidden="1"/>
    <cellStyle name="Hipervínculo visitado" xfId="9716" builtinId="9" hidden="1"/>
    <cellStyle name="Hipervínculo visitado" xfId="5768" builtinId="9" hidden="1"/>
    <cellStyle name="Hipervínculo visitado" xfId="10750" builtinId="9" hidden="1"/>
    <cellStyle name="Hipervínculo visitado" xfId="218" builtinId="9" hidden="1"/>
    <cellStyle name="Hipervínculo visitado" xfId="9782" builtinId="9" hidden="1"/>
    <cellStyle name="Hipervínculo visitado" xfId="1620" builtinId="9" hidden="1"/>
    <cellStyle name="Hipervínculo visitado" xfId="2190" builtinId="9" hidden="1"/>
    <cellStyle name="Hipervínculo visitado" xfId="3284" builtinId="9" hidden="1"/>
    <cellStyle name="Hipervínculo visitado" xfId="1460" builtinId="9" hidden="1"/>
    <cellStyle name="Hipervínculo visitado" xfId="10300" builtinId="9" hidden="1"/>
    <cellStyle name="Hipervínculo visitado" xfId="776" builtinId="9" hidden="1"/>
    <cellStyle name="Hipervínculo visitado" xfId="9032" builtinId="9" hidden="1"/>
    <cellStyle name="Hipervínculo visitado" xfId="5066" builtinId="9" hidden="1"/>
    <cellStyle name="Hipervínculo visitado" xfId="6646" builtinId="9" hidden="1"/>
    <cellStyle name="Hipervínculo visitado" xfId="2954" builtinId="9" hidden="1"/>
    <cellStyle name="Hipervínculo visitado" xfId="4448" builtinId="9" hidden="1"/>
    <cellStyle name="Hipervínculo visitado" xfId="468" builtinId="9" hidden="1"/>
    <cellStyle name="Hipervínculo visitado" xfId="6670" builtinId="9" hidden="1"/>
    <cellStyle name="Hipervínculo visitado" xfId="10248" builtinId="9" hidden="1"/>
    <cellStyle name="Hipervínculo visitado" xfId="4486" builtinId="9" hidden="1"/>
    <cellStyle name="Hipervínculo visitado" xfId="10790" builtinId="9" hidden="1"/>
    <cellStyle name="Hipervínculo visitado" xfId="10106" builtinId="9" hidden="1"/>
    <cellStyle name="Hipervínculo visitado" xfId="886" builtinId="9" hidden="1"/>
    <cellStyle name="Hipervínculo visitado" xfId="982" builtinId="9" hidden="1"/>
    <cellStyle name="Hipervínculo visitado" xfId="10278" builtinId="9" hidden="1"/>
    <cellStyle name="Hipervínculo visitado" xfId="578" builtinId="9" hidden="1"/>
    <cellStyle name="Hipervínculo visitado" xfId="4864" builtinId="9" hidden="1"/>
    <cellStyle name="Hipervínculo visitado" xfId="8294" builtinId="9" hidden="1"/>
    <cellStyle name="Hipervínculo visitado" xfId="4258" builtinId="9" hidden="1"/>
    <cellStyle name="Hipervínculo visitado" xfId="116" builtinId="9" hidden="1"/>
    <cellStyle name="Hipervínculo visitado" xfId="7022" builtinId="9" hidden="1"/>
    <cellStyle name="Hipervínculo visitado" xfId="10742" builtinId="9" hidden="1"/>
    <cellStyle name="Hipervínculo visitado" xfId="918" builtinId="9" hidden="1"/>
    <cellStyle name="Hipervínculo visitado" xfId="10086" builtinId="9" hidden="1"/>
    <cellStyle name="Hipervínculo visitado" xfId="7158" builtinId="9" hidden="1"/>
    <cellStyle name="Hipervínculo visitado" xfId="3264" builtinId="9" hidden="1"/>
    <cellStyle name="Hipervínculo visitado" xfId="1948" builtinId="9" hidden="1"/>
    <cellStyle name="Hipervínculo visitado" xfId="2746" builtinId="9" hidden="1"/>
    <cellStyle name="Hipervínculo visitado" xfId="3768" builtinId="9" hidden="1"/>
    <cellStyle name="Hipervínculo visitado" xfId="8342" builtinId="9" hidden="1"/>
    <cellStyle name="Hipervínculo visitado" xfId="10226" builtinId="9" hidden="1"/>
    <cellStyle name="Hipervínculo visitado" xfId="5620" builtinId="9" hidden="1"/>
    <cellStyle name="Hipervínculo visitado" xfId="10326" builtinId="9" hidden="1"/>
    <cellStyle name="Hipervínculo visitado" xfId="4378" builtinId="9" hidden="1"/>
    <cellStyle name="Hipervínculo visitado" xfId="8876" builtinId="9" hidden="1"/>
    <cellStyle name="Hipervínculo visitado" xfId="9870" builtinId="9" hidden="1"/>
    <cellStyle name="Hipervínculo visitado" xfId="10262" builtinId="9" hidden="1"/>
    <cellStyle name="Hipervínculo visitado" xfId="6860" builtinId="9" hidden="1"/>
    <cellStyle name="Hipervínculo visitado" xfId="5030" builtinId="9" hidden="1"/>
    <cellStyle name="Hipervínculo visitado" xfId="6264" builtinId="9" hidden="1"/>
    <cellStyle name="Hipervínculo visitado" xfId="3198" builtinId="9" hidden="1"/>
    <cellStyle name="Hipervínculo visitado" xfId="8596" builtinId="9" hidden="1"/>
    <cellStyle name="Hipervínculo visitado" xfId="374" builtinId="9" hidden="1"/>
    <cellStyle name="Hipervínculo visitado" xfId="8510" builtinId="9" hidden="1"/>
    <cellStyle name="Hipervínculo visitado" xfId="4876" builtinId="9" hidden="1"/>
    <cellStyle name="Hipervínculo visitado" xfId="5086" builtinId="9" hidden="1"/>
    <cellStyle name="Hipervínculo visitado" xfId="5094" builtinId="9" hidden="1"/>
    <cellStyle name="Hipervínculo visitado" xfId="8258" builtinId="9" hidden="1"/>
    <cellStyle name="Hipervínculo visitado" xfId="4712" builtinId="9" hidden="1"/>
    <cellStyle name="Hipervínculo visitado" xfId="2390" builtinId="9" hidden="1"/>
    <cellStyle name="Hipervínculo visitado" xfId="2834" builtinId="9" hidden="1"/>
    <cellStyle name="Hipervínculo visitado" xfId="5254" builtinId="9" hidden="1"/>
    <cellStyle name="Hipervínculo visitado" xfId="670" builtinId="9" hidden="1"/>
    <cellStyle name="Hipervínculo visitado" xfId="4404" builtinId="9" hidden="1"/>
    <cellStyle name="Hipervínculo visitado" xfId="4800" builtinId="9" hidden="1"/>
    <cellStyle name="Hipervínculo visitado" xfId="5728" builtinId="9" hidden="1"/>
    <cellStyle name="Hipervínculo visitado" xfId="5372" builtinId="9" hidden="1"/>
    <cellStyle name="Hipervínculo visitado" xfId="6146" builtinId="9" hidden="1"/>
    <cellStyle name="Hipervínculo visitado" xfId="2148" builtinId="9" hidden="1"/>
    <cellStyle name="Hipervínculo visitado" xfId="1180" builtinId="9" hidden="1"/>
    <cellStyle name="Hipervínculo visitado" xfId="6082" builtinId="9" hidden="1"/>
    <cellStyle name="Hipervínculo visitado" xfId="11044" builtinId="9" hidden="1"/>
    <cellStyle name="Hipervínculo visitado" xfId="7120" builtinId="9" hidden="1"/>
    <cellStyle name="Hipervínculo visitado" xfId="8366" builtinId="9" hidden="1"/>
    <cellStyle name="Hipervínculo visitado" xfId="692" builtinId="9" hidden="1"/>
    <cellStyle name="Hipervínculo visitado" xfId="5182" builtinId="9" hidden="1"/>
    <cellStyle name="Hipervínculo visitado" xfId="8396" builtinId="9" hidden="1"/>
    <cellStyle name="Hipervínculo visitado" xfId="7838" builtinId="9" hidden="1"/>
    <cellStyle name="Hipervínculo visitado" xfId="5658" builtinId="9" hidden="1"/>
    <cellStyle name="Hipervínculo visitado" xfId="4834" builtinId="9" hidden="1"/>
    <cellStyle name="Hipervínculo visitado" xfId="2722" builtinId="9" hidden="1"/>
    <cellStyle name="Hipervínculo visitado" xfId="5056" builtinId="9" hidden="1"/>
    <cellStyle name="Hipervínculo visitado" xfId="1120" builtinId="9" hidden="1"/>
    <cellStyle name="Hipervínculo visitado" xfId="6948" builtinId="9" hidden="1"/>
    <cellStyle name="Hipervínculo visitado" xfId="2430" builtinId="9" hidden="1"/>
    <cellStyle name="Hipervínculo visitado" xfId="1332" builtinId="9" hidden="1"/>
    <cellStyle name="Hipervínculo visitado" xfId="3584" builtinId="9" hidden="1"/>
    <cellStyle name="Hipervínculo visitado" xfId="1950" builtinId="9" hidden="1"/>
    <cellStyle name="Hipervínculo visitado" xfId="2976" builtinId="9" hidden="1"/>
    <cellStyle name="Hipervínculo visitado" xfId="4528" builtinId="9" hidden="1"/>
    <cellStyle name="Hipervínculo visitado" xfId="3372" builtinId="9" hidden="1"/>
    <cellStyle name="Hipervínculo visitado" xfId="7126" builtinId="9" hidden="1"/>
    <cellStyle name="Hipervínculo visitado" xfId="6420" builtinId="9" hidden="1"/>
    <cellStyle name="Hipervínculo visitado" xfId="5474" builtinId="9" hidden="1"/>
    <cellStyle name="Hipervínculo visitado" xfId="7480" builtinId="9" hidden="1"/>
    <cellStyle name="Hipervínculo visitado" xfId="2478" builtinId="9" hidden="1"/>
    <cellStyle name="Hipervínculo visitado" xfId="6326" builtinId="9" hidden="1"/>
    <cellStyle name="Hipervínculo visitado" xfId="8414" builtinId="9" hidden="1"/>
    <cellStyle name="Hipervínculo visitado" xfId="7996" builtinId="9" hidden="1"/>
    <cellStyle name="Hipervínculo visitado" xfId="460" builtinId="9" hidden="1"/>
    <cellStyle name="Hipervínculo visitado" xfId="6152" builtinId="9" hidden="1"/>
    <cellStyle name="Hipervínculo visitado" xfId="1582" builtinId="9" hidden="1"/>
    <cellStyle name="Hipervínculo visitado" xfId="806" builtinId="9" hidden="1"/>
    <cellStyle name="Hipervínculo visitado" xfId="3420" builtinId="9" hidden="1"/>
    <cellStyle name="Hipervínculo visitado" xfId="4768" builtinId="9" hidden="1"/>
    <cellStyle name="Hipervínculo visitado" xfId="8762" builtinId="9" hidden="1"/>
    <cellStyle name="Hipervínculo visitado" xfId="762" builtinId="9" hidden="1"/>
    <cellStyle name="Hipervínculo visitado" xfId="3632" builtinId="9" hidden="1"/>
    <cellStyle name="Hipervínculo visitado" xfId="1192" builtinId="9" hidden="1"/>
    <cellStyle name="Hipervínculo visitado" xfId="4266" builtinId="9" hidden="1"/>
    <cellStyle name="Hipervínculo visitado" xfId="3930" builtinId="9" hidden="1"/>
    <cellStyle name="Hipervínculo visitado" xfId="8168" builtinId="9" hidden="1"/>
    <cellStyle name="Hipervínculo visitado" xfId="4642" builtinId="9" hidden="1"/>
    <cellStyle name="Hipervínculo visitado" xfId="8174" builtinId="9" hidden="1"/>
    <cellStyle name="Hipervínculo visitado" xfId="3012" builtinId="9" hidden="1"/>
    <cellStyle name="Hipervínculo visitado" xfId="3104" builtinId="9" hidden="1"/>
    <cellStyle name="Hipervínculo visitado" xfId="5392" builtinId="9" hidden="1"/>
    <cellStyle name="Hipervínculo visitado" xfId="4928" builtinId="9" hidden="1"/>
    <cellStyle name="Hipervínculo visitado" xfId="456" builtinId="9" hidden="1"/>
    <cellStyle name="Hipervínculo visitado" xfId="5216" builtinId="9" hidden="1"/>
    <cellStyle name="Hipervínculo visitado" xfId="9472" builtinId="9" hidden="1"/>
    <cellStyle name="Hipervínculo visitado" xfId="6684" builtinId="9" hidden="1"/>
    <cellStyle name="Hipervínculo visitado" xfId="734" builtinId="9" hidden="1"/>
    <cellStyle name="Hipervínculo visitado" xfId="7814" builtinId="9" hidden="1"/>
    <cellStyle name="Hipervínculo visitado" xfId="8214" builtinId="9" hidden="1"/>
    <cellStyle name="Hipervínculo visitado" xfId="9598" builtinId="9" hidden="1"/>
    <cellStyle name="Hipervínculo visitado" xfId="3442" builtinId="9" hidden="1"/>
    <cellStyle name="Hipervínculo visitado" xfId="7558" builtinId="9" hidden="1"/>
    <cellStyle name="Hipervínculo visitado" xfId="5528" builtinId="9" hidden="1"/>
    <cellStyle name="Hipervínculo visitado" xfId="3602" builtinId="9" hidden="1"/>
    <cellStyle name="Hipervínculo visitado" xfId="2186" builtinId="9" hidden="1"/>
    <cellStyle name="Hipervínculo visitado" xfId="934" builtinId="9" hidden="1"/>
    <cellStyle name="Hipervínculo visitado" xfId="10828" builtinId="9" hidden="1"/>
    <cellStyle name="Hipervínculo visitado" xfId="9682" builtinId="9" hidden="1"/>
    <cellStyle name="Hipervínculo visitado" xfId="3552" builtinId="9" hidden="1"/>
    <cellStyle name="Hipervínculo visitado" xfId="6888" builtinId="9" hidden="1"/>
    <cellStyle name="Hipervínculo visitado" xfId="5508" builtinId="9" hidden="1"/>
    <cellStyle name="Hipervínculo visitado" xfId="10980" builtinId="9" hidden="1"/>
    <cellStyle name="Hipervínculo visitado" xfId="6562" builtinId="9" hidden="1"/>
    <cellStyle name="Hipervínculo visitado" xfId="1850" builtinId="9" hidden="1"/>
    <cellStyle name="Hipervínculo visitado" xfId="980" builtinId="9" hidden="1"/>
    <cellStyle name="Hipervínculo visitado" xfId="5098" builtinId="9" hidden="1"/>
    <cellStyle name="Hipervínculo visitado" xfId="4626" builtinId="9" hidden="1"/>
    <cellStyle name="Hipervínculo visitado" xfId="5210" builtinId="9" hidden="1"/>
    <cellStyle name="Hipervínculo visitado" xfId="8852" builtinId="9" hidden="1"/>
    <cellStyle name="Hipervínculo visitado" xfId="7894" builtinId="9" hidden="1"/>
    <cellStyle name="Hipervínculo visitado" xfId="5590" builtinId="9" hidden="1"/>
    <cellStyle name="Hipervínculo visitado" xfId="3710" builtinId="9" hidden="1"/>
    <cellStyle name="Hipervínculo visitado" xfId="10860" builtinId="9" hidden="1"/>
    <cellStyle name="Hipervínculo visitado" xfId="7848" builtinId="9" hidden="1"/>
    <cellStyle name="Hipervínculo visitado" xfId="2582" builtinId="9" hidden="1"/>
    <cellStyle name="Hipervínculo visitado" xfId="2844" builtinId="9" hidden="1"/>
    <cellStyle name="Hipervínculo visitado" xfId="6168" builtinId="9" hidden="1"/>
    <cellStyle name="Hipervínculo visitado" xfId="10630" builtinId="9" hidden="1"/>
    <cellStyle name="Hipervínculo visitado" xfId="10138" builtinId="9" hidden="1"/>
    <cellStyle name="Hipervínculo visitado" xfId="6774" builtinId="9" hidden="1"/>
    <cellStyle name="Hipervínculo visitado" xfId="4326" builtinId="9" hidden="1"/>
    <cellStyle name="Hipervínculo visitado" xfId="10058" builtinId="9" hidden="1"/>
    <cellStyle name="Hipervínculo visitado" xfId="6964" builtinId="9" hidden="1"/>
    <cellStyle name="Hipervínculo visitado" xfId="5858" builtinId="9" hidden="1"/>
    <cellStyle name="Hipervínculo visitado" xfId="892" builtinId="9" hidden="1"/>
    <cellStyle name="Hipervínculo visitado" xfId="6358" builtinId="9" hidden="1"/>
    <cellStyle name="Hipervínculo visitado" xfId="9438" builtinId="9" hidden="1"/>
    <cellStyle name="Hipervínculo visitado" xfId="124" builtinId="9" hidden="1"/>
    <cellStyle name="Hipervínculo visitado" xfId="1934" builtinId="9" hidden="1"/>
    <cellStyle name="Hipervínculo visitado" xfId="10838" builtinId="9" hidden="1"/>
    <cellStyle name="Hipervínculo visitado" xfId="10688" builtinId="9" hidden="1"/>
    <cellStyle name="Hipervínculo visitado" xfId="10782" builtinId="9" hidden="1"/>
    <cellStyle name="Hipervínculo visitado" xfId="2964" builtinId="9" hidden="1"/>
    <cellStyle name="Hipervínculo visitado" xfId="2974" builtinId="9" hidden="1"/>
    <cellStyle name="Hipervínculo visitado" xfId="438" builtinId="9" hidden="1"/>
    <cellStyle name="Hipervínculo visitado" xfId="6808" builtinId="9" hidden="1"/>
    <cellStyle name="Hipervínculo visitado" xfId="3110" builtinId="9" hidden="1"/>
    <cellStyle name="Hipervínculo visitado" xfId="8054" builtinId="9" hidden="1"/>
    <cellStyle name="Hipervínculo visitado" xfId="8698" builtinId="9" hidden="1"/>
    <cellStyle name="Hipervínculo visitado" xfId="4242" builtinId="9" hidden="1"/>
    <cellStyle name="Hipervínculo visitado" xfId="10410" builtinId="9" hidden="1"/>
    <cellStyle name="Hipervínculo visitado" xfId="3788" builtinId="9" hidden="1"/>
    <cellStyle name="Hipervínculo visitado" xfId="6786" builtinId="9" hidden="1"/>
    <cellStyle name="Hipervínculo visitado" xfId="2938" builtinId="9" hidden="1"/>
    <cellStyle name="Hipervínculo visitado" xfId="1930" builtinId="9" hidden="1"/>
    <cellStyle name="Hipervínculo visitado" xfId="1444" builtinId="9" hidden="1"/>
    <cellStyle name="Hipervínculo visitado" xfId="5420" builtinId="9" hidden="1"/>
    <cellStyle name="Hipervínculo visitado" xfId="11002" builtinId="9" hidden="1"/>
    <cellStyle name="Hipervínculo visitado" xfId="7038" builtinId="9" hidden="1"/>
    <cellStyle name="Hipervínculo visitado" xfId="4746" builtinId="9" hidden="1"/>
    <cellStyle name="Hipervínculo visitado" xfId="1912" builtinId="9" hidden="1"/>
    <cellStyle name="Hipervínculo visitado" xfId="6896" builtinId="9" hidden="1"/>
    <cellStyle name="Hipervínculo visitado" xfId="9188" builtinId="9" hidden="1"/>
    <cellStyle name="Hipervínculo visitado" xfId="4480" builtinId="9" hidden="1"/>
    <cellStyle name="Hipervínculo visitado" xfId="9008" builtinId="9" hidden="1"/>
    <cellStyle name="Hipervínculo visitado" xfId="3380" builtinId="9" hidden="1"/>
    <cellStyle name="Hipervínculo visitado" xfId="8872" builtinId="9" hidden="1"/>
    <cellStyle name="Hipervínculo visitado" xfId="6130" builtinId="9" hidden="1"/>
    <cellStyle name="Hipervínculo visitado" xfId="8802" builtinId="9" hidden="1"/>
    <cellStyle name="Hipervínculo visitado" xfId="3290" builtinId="9" hidden="1"/>
    <cellStyle name="Hipervínculo visitado" xfId="4086" builtinId="9" hidden="1"/>
    <cellStyle name="Hipervínculo visitado" xfId="10316" builtinId="9" hidden="1"/>
    <cellStyle name="Hipervínculo visitado" xfId="8916" builtinId="9" hidden="1"/>
    <cellStyle name="Hipervínculo visitado" xfId="4114" builtinId="9" hidden="1"/>
    <cellStyle name="Hipervínculo visitado" xfId="9808" builtinId="9" hidden="1"/>
    <cellStyle name="Hipervínculo visitado" xfId="7332" builtinId="9" hidden="1"/>
    <cellStyle name="Hipervínculo visitado" xfId="8274" builtinId="9" hidden="1"/>
    <cellStyle name="Hipervínculo visitado" xfId="3062" builtinId="9" hidden="1"/>
    <cellStyle name="Hipervínculo visitado" xfId="2138" builtinId="9" hidden="1"/>
    <cellStyle name="Hipervínculo visitado" xfId="4580" builtinId="9" hidden="1"/>
    <cellStyle name="Hipervínculo visitado" xfId="7592" builtinId="9" hidden="1"/>
    <cellStyle name="Hipervínculo visitado" xfId="6078" builtinId="9" hidden="1"/>
    <cellStyle name="Hipervínculo visitado" xfId="3066" builtinId="9" hidden="1"/>
    <cellStyle name="Hipervínculo visitado" xfId="3484" builtinId="9" hidden="1"/>
    <cellStyle name="Hipervínculo visitado" xfId="7604" builtinId="9" hidden="1"/>
    <cellStyle name="Hipervínculo visitado" xfId="2698" builtinId="9" hidden="1"/>
    <cellStyle name="Hipervínculo visitado" xfId="772" builtinId="9" hidden="1"/>
    <cellStyle name="Hipervínculo visitado" xfId="4030" builtinId="9" hidden="1"/>
    <cellStyle name="Hipervínculo visitado" xfId="5842" builtinId="9" hidden="1"/>
    <cellStyle name="Hipervínculo visitado" xfId="6776" builtinId="9" hidden="1"/>
    <cellStyle name="Hipervínculo visitado" xfId="3414" builtinId="9" hidden="1"/>
    <cellStyle name="Hipervínculo visitado" xfId="8828" builtinId="9" hidden="1"/>
    <cellStyle name="Hipervínculo visitado" xfId="8776" builtinId="9" hidden="1"/>
    <cellStyle name="Hipervínculo visitado" xfId="1238" builtinId="9" hidden="1"/>
    <cellStyle name="Hipervínculo visitado" xfId="9324" builtinId="9" hidden="1"/>
    <cellStyle name="Hipervínculo visitado" xfId="6446" builtinId="9" hidden="1"/>
    <cellStyle name="Hipervínculo visitado" xfId="3476" builtinId="9" hidden="1"/>
    <cellStyle name="Hipervínculo visitado" xfId="6350" builtinId="9" hidden="1"/>
    <cellStyle name="Hipervínculo visitado" xfId="648" builtinId="9" hidden="1"/>
    <cellStyle name="Hipervínculo visitado" xfId="6110" builtinId="9" hidden="1"/>
    <cellStyle name="Hipervínculo visitado" xfId="3606" builtinId="9" hidden="1"/>
    <cellStyle name="Hipervínculo visitado" xfId="1100" builtinId="9" hidden="1"/>
    <cellStyle name="Hipervínculo visitado" xfId="5114" builtinId="9" hidden="1"/>
    <cellStyle name="Hipervínculo visitado" xfId="7662" builtinId="9" hidden="1"/>
    <cellStyle name="Hipervínculo visitado" xfId="1182" builtinId="9" hidden="1"/>
    <cellStyle name="Hipervínculo visitado" xfId="7966" builtinId="9" hidden="1"/>
    <cellStyle name="Hipervínculo visitado" xfId="6830" builtinId="9" hidden="1"/>
    <cellStyle name="Hipervínculo visitado" xfId="9218" builtinId="9" hidden="1"/>
    <cellStyle name="Hipervínculo visitado" xfId="1064" builtinId="9" hidden="1"/>
    <cellStyle name="Hipervínculo visitado" xfId="8154" builtinId="9" hidden="1"/>
    <cellStyle name="Hipervínculo visitado" xfId="4838" builtinId="9" hidden="1"/>
    <cellStyle name="Hipervínculo visitado" xfId="3750" builtinId="9" hidden="1"/>
    <cellStyle name="Hipervínculo visitado" xfId="7150" builtinId="9" hidden="1"/>
    <cellStyle name="Hipervínculo visitado" xfId="5240" builtinId="9" hidden="1"/>
    <cellStyle name="Hipervínculo visitado" xfId="5048" builtinId="9" hidden="1"/>
    <cellStyle name="Hipervínculo visitado" xfId="5664" builtinId="9" hidden="1"/>
    <cellStyle name="Hipervínculo visitado" xfId="5054" builtinId="9" hidden="1"/>
    <cellStyle name="Hipervínculo visitado" xfId="9020" builtinId="9" hidden="1"/>
    <cellStyle name="Hipervínculo visitado" xfId="9294" builtinId="9" hidden="1"/>
    <cellStyle name="Hipervínculo visitado" xfId="1746" builtinId="9" hidden="1"/>
    <cellStyle name="Hipervínculo visitado" xfId="6988" builtinId="9" hidden="1"/>
    <cellStyle name="Hipervínculo visitado" xfId="10030" builtinId="9" hidden="1"/>
    <cellStyle name="Hipervínculo visitado" xfId="7028" builtinId="9" hidden="1"/>
    <cellStyle name="Hipervínculo visitado" xfId="6098" builtinId="9" hidden="1"/>
    <cellStyle name="Hipervínculo visitado" xfId="818" builtinId="9" hidden="1"/>
    <cellStyle name="Hipervínculo visitado" xfId="10592" builtinId="9" hidden="1"/>
    <cellStyle name="Hipervínculo visitado" xfId="7960" builtinId="9" hidden="1"/>
    <cellStyle name="Hipervínculo visitado" xfId="4564" builtinId="9" hidden="1"/>
    <cellStyle name="Hipervínculo visitado" xfId="4600" builtinId="9" hidden="1"/>
    <cellStyle name="Hipervínculo visitado" xfId="9042" builtinId="9" hidden="1"/>
    <cellStyle name="Hipervínculo visitado" xfId="2768" builtinId="9" hidden="1"/>
    <cellStyle name="Hipervínculo visitado" xfId="642" builtinId="9" hidden="1"/>
    <cellStyle name="Hipervínculo visitado" xfId="10196" builtinId="9" hidden="1"/>
    <cellStyle name="Hipervínculo visitado" xfId="5614" builtinId="9" hidden="1"/>
    <cellStyle name="Hipervínculo visitado" xfId="7616" builtinId="9" hidden="1"/>
    <cellStyle name="Hipervínculo visitado" xfId="6862" builtinId="9" hidden="1"/>
    <cellStyle name="Hipervínculo visitado" xfId="2546" builtinId="9" hidden="1"/>
    <cellStyle name="Hipervínculo visitado" xfId="4156" builtinId="9" hidden="1"/>
    <cellStyle name="Hipervínculo visitado" xfId="7878" builtinId="9" hidden="1"/>
    <cellStyle name="Hipervínculo visitado" xfId="9374" builtinId="9" hidden="1"/>
    <cellStyle name="Hipervínculo visitado" xfId="3676" builtinId="9" hidden="1"/>
    <cellStyle name="Hipervínculo visitado" xfId="5582" builtinId="9" hidden="1"/>
    <cellStyle name="Hipervínculo visitado" xfId="5838" builtinId="9" hidden="1"/>
    <cellStyle name="Hipervínculo visitado" xfId="9564" builtinId="9" hidden="1"/>
    <cellStyle name="Hipervínculo visitado" xfId="3962" builtinId="9" hidden="1"/>
    <cellStyle name="Hipervínculo visitado" xfId="9366" builtinId="9" hidden="1"/>
    <cellStyle name="Hipervínculo visitado" xfId="7596" builtinId="9" hidden="1"/>
    <cellStyle name="Hipervínculo visitado" xfId="3172" builtinId="9" hidden="1"/>
    <cellStyle name="Hipervínculo visitado" xfId="8960" builtinId="9" hidden="1"/>
    <cellStyle name="Hipervínculo visitado" xfId="5638" builtinId="9" hidden="1"/>
    <cellStyle name="Hipervínculo visitado" xfId="6736" builtinId="9" hidden="1"/>
    <cellStyle name="Hipervínculo visitado" xfId="7456" builtinId="9" hidden="1"/>
    <cellStyle name="Hipervínculo visitado" xfId="2694" builtinId="9" hidden="1"/>
    <cellStyle name="Hipervínculo visitado" xfId="3826" builtinId="9" hidden="1"/>
    <cellStyle name="Hipervínculo visitado" xfId="3678" builtinId="9" hidden="1"/>
    <cellStyle name="Hipervínculo visitado" xfId="3152" builtinId="9" hidden="1"/>
    <cellStyle name="Hipervínculo visitado" xfId="580" builtinId="9" hidden="1"/>
    <cellStyle name="Hipervínculo visitado" xfId="5830" builtinId="9" hidden="1"/>
    <cellStyle name="Hipervínculo visitado" xfId="9920" builtinId="9" hidden="1"/>
    <cellStyle name="Hipervínculo visitado" xfId="6104" builtinId="9" hidden="1"/>
    <cellStyle name="Hipervínculo visitado" xfId="5208" builtinId="9" hidden="1"/>
    <cellStyle name="Hipervínculo visitado" xfId="9792" builtinId="9" hidden="1"/>
    <cellStyle name="Hipervínculo visitado" xfId="7618" builtinId="9" hidden="1"/>
    <cellStyle name="Hipervínculo visitado" xfId="2210" builtinId="9" hidden="1"/>
    <cellStyle name="Hipervínculo visitado" xfId="10756" builtinId="9" hidden="1"/>
    <cellStyle name="Hipervínculo visitado" xfId="10480" builtinId="9" hidden="1"/>
    <cellStyle name="Hipervínculo visitado" xfId="9664" builtinId="9" hidden="1"/>
    <cellStyle name="Hipervínculo visitado" xfId="10894" builtinId="9" hidden="1"/>
    <cellStyle name="Hipervínculo visitado" xfId="1138" builtinId="9" hidden="1"/>
    <cellStyle name="Hipervínculo visitado" xfId="3680" builtinId="9" hidden="1"/>
    <cellStyle name="Hipervínculo visitado" xfId="3858" builtinId="9" hidden="1"/>
    <cellStyle name="Hipervínculo visitado" xfId="6056" builtinId="9" hidden="1"/>
    <cellStyle name="Hipervínculo visitado" xfId="3086" builtinId="9" hidden="1"/>
    <cellStyle name="Hipervínculo visitado" xfId="9846" builtinId="9" hidden="1"/>
    <cellStyle name="Hipervínculo visitado" xfId="9832" builtinId="9" hidden="1"/>
    <cellStyle name="Hipervínculo visitado" xfId="6904" builtinId="9" hidden="1"/>
    <cellStyle name="Hipervínculo visitado" xfId="5902" builtinId="9" hidden="1"/>
    <cellStyle name="Hipervínculo visitado" xfId="1216" builtinId="9" hidden="1"/>
    <cellStyle name="Hipervínculo visitado" xfId="7286" builtinId="9" hidden="1"/>
    <cellStyle name="Hipervínculo visitado" xfId="490" builtinId="9" hidden="1"/>
    <cellStyle name="Hipervínculo visitado" xfId="7220" builtinId="9" hidden="1"/>
    <cellStyle name="Hipervínculo visitado" xfId="4666" builtinId="9" hidden="1"/>
    <cellStyle name="Hipervínculo visitado" xfId="10982" builtinId="9" hidden="1"/>
    <cellStyle name="Hipervínculo visitado" xfId="5218" builtinId="9" hidden="1"/>
    <cellStyle name="Hipervínculo visitado" xfId="6306" builtinId="9" hidden="1"/>
    <cellStyle name="Hipervínculo visitado" xfId="62" builtinId="9" hidden="1"/>
    <cellStyle name="Hipervínculo visitado" xfId="5776" builtinId="9" hidden="1"/>
    <cellStyle name="Hipervínculo visitado" xfId="1554" builtinId="9" hidden="1"/>
    <cellStyle name="Hipervínculo visitado" xfId="1308" builtinId="9" hidden="1"/>
    <cellStyle name="Hipervínculo visitado" xfId="8252" builtinId="9" hidden="1"/>
    <cellStyle name="Hipervínculo visitado" xfId="4166" builtinId="9" hidden="1"/>
    <cellStyle name="Hipervínculo visitado" xfId="4512" builtinId="9" hidden="1"/>
    <cellStyle name="Hipervínculo visitado" xfId="1826" builtinId="9" hidden="1"/>
    <cellStyle name="Hipervínculo visitado" xfId="532" builtinId="9" hidden="1"/>
    <cellStyle name="Hipervínculo visitado" xfId="8982" builtinId="9" hidden="1"/>
    <cellStyle name="Hipervínculo visitado" xfId="1016" builtinId="9" hidden="1"/>
    <cellStyle name="Hipervínculo visitado" xfId="494" builtinId="9" hidden="1"/>
    <cellStyle name="Hipervínculo visitado" xfId="1348" builtinId="9" hidden="1"/>
    <cellStyle name="Hipervínculo visitado" xfId="9836" builtinId="9" hidden="1"/>
    <cellStyle name="Hipervínculo visitado" xfId="5164" builtinId="9" hidden="1"/>
    <cellStyle name="Hipervínculo visitado" xfId="396" builtinId="9" hidden="1"/>
    <cellStyle name="Hipervínculo visitado" xfId="10578" builtinId="9" hidden="1"/>
    <cellStyle name="Hipervínculo visitado" xfId="3800" builtinId="9" hidden="1"/>
    <cellStyle name="Hipervínculo visitado" xfId="2598" builtinId="9" hidden="1"/>
    <cellStyle name="Hipervínculo visitado" xfId="6430" builtinId="9" hidden="1"/>
    <cellStyle name="Hipervínculo visitado" xfId="2356" builtinId="9" hidden="1"/>
    <cellStyle name="Hipervínculo visitado" xfId="10880" builtinId="9" hidden="1"/>
    <cellStyle name="Hipervínculo visitado" xfId="2584" builtinId="9" hidden="1"/>
    <cellStyle name="Hipervínculo visitado" xfId="4844" builtinId="9" hidden="1"/>
    <cellStyle name="Hipervínculo visitado" xfId="6408" builtinId="9" hidden="1"/>
    <cellStyle name="Hipervínculo visitado" xfId="9962" builtinId="9" hidden="1"/>
    <cellStyle name="Hipervínculo visitado" xfId="30" builtinId="9" hidden="1"/>
    <cellStyle name="Hipervínculo visitado" xfId="4132" builtinId="9" hidden="1"/>
    <cellStyle name="Hipervínculo visitado" xfId="150" builtinId="9" hidden="1"/>
    <cellStyle name="Hipervínculo visitado" xfId="4874" builtinId="9" hidden="1"/>
    <cellStyle name="Hipervínculo visitado" xfId="1206" builtinId="9" hidden="1"/>
    <cellStyle name="Hipervínculo visitado" xfId="11032" builtinId="9" hidden="1"/>
    <cellStyle name="Hipervínculo visitado" xfId="2782" builtinId="9" hidden="1"/>
    <cellStyle name="Hipervínculo visitado" xfId="2142" builtinId="9" hidden="1"/>
    <cellStyle name="Hipervínculo visitado" xfId="1146" builtinId="9" hidden="1"/>
    <cellStyle name="Hipervínculo visitado" xfId="9990" builtinId="9" hidden="1"/>
    <cellStyle name="Hipervínculo visitado" xfId="4654" builtinId="9" hidden="1"/>
    <cellStyle name="Hipervínculo visitado" xfId="3958" builtinId="9" hidden="1"/>
    <cellStyle name="Hipervínculo visitado" xfId="6524" builtinId="9" hidden="1"/>
    <cellStyle name="Hipervínculo visitado" xfId="3916" builtinId="9" hidden="1"/>
    <cellStyle name="Hipervínculo visitado" xfId="3428" builtinId="9" hidden="1"/>
    <cellStyle name="Hipervínculo visitado" xfId="6054" builtinId="9" hidden="1"/>
    <cellStyle name="Hipervínculo visitado" xfId="1522" builtinId="9" hidden="1"/>
    <cellStyle name="Hipervínculo visitado" xfId="484" builtinId="9" hidden="1"/>
    <cellStyle name="Hipervínculo visitado" xfId="8248" builtinId="9" hidden="1"/>
    <cellStyle name="Hipervínculo visitado" xfId="924" builtinId="9" hidden="1"/>
    <cellStyle name="Hipervínculo visitado" xfId="2366" builtinId="9" hidden="1"/>
    <cellStyle name="Hipervínculo visitado" xfId="6138" builtinId="9" hidden="1"/>
    <cellStyle name="Hipervínculo visitado" xfId="5722" builtinId="9" hidden="1"/>
    <cellStyle name="Hipervínculo visitado" xfId="4680" builtinId="9" hidden="1"/>
    <cellStyle name="Hipervínculo visitado" xfId="10660" builtinId="9" hidden="1"/>
    <cellStyle name="Hipervínculo visitado" xfId="8796" builtinId="9" hidden="1"/>
    <cellStyle name="Hipervínculo visitado" xfId="6340" builtinId="9" hidden="1"/>
    <cellStyle name="Hipervínculo visitado" xfId="596" builtinId="9" hidden="1"/>
    <cellStyle name="Hipervínculo visitado" xfId="3180" builtinId="9" hidden="1"/>
    <cellStyle name="Hipervínculo visitado" xfId="3050" builtinId="9" hidden="1"/>
    <cellStyle name="Hipervínculo visitado" xfId="9336" builtinId="9" hidden="1"/>
    <cellStyle name="Hipervínculo visitado" xfId="4428" builtinId="9" hidden="1"/>
    <cellStyle name="Hipervínculo visitado" xfId="9256" builtinId="9" hidden="1"/>
    <cellStyle name="Hipervínculo visitado" xfId="8554" builtinId="9" hidden="1"/>
    <cellStyle name="Hipervínculo visitado" xfId="10522" builtinId="9" hidden="1"/>
    <cellStyle name="Hipervínculo visitado" xfId="4918" builtinId="9" hidden="1"/>
    <cellStyle name="Hipervínculo visitado" xfId="3136" builtinId="9" hidden="1"/>
    <cellStyle name="Hipervínculo visitado" xfId="1292" builtinId="9" hidden="1"/>
    <cellStyle name="Hipervínculo visitado" xfId="4714" builtinId="9" hidden="1"/>
    <cellStyle name="Hipervínculo visitado" xfId="7306" builtinId="9" hidden="1"/>
    <cellStyle name="Hipervínculo visitado" xfId="1010" builtinId="9" hidden="1"/>
    <cellStyle name="Hipervínculo visitado" xfId="72" builtinId="9" hidden="1"/>
    <cellStyle name="Hipervínculo visitado" xfId="1688" builtinId="9" hidden="1"/>
    <cellStyle name="Hipervínculo visitado" xfId="7312" builtinId="9" hidden="1"/>
    <cellStyle name="Hipervínculo visitado" xfId="6126" builtinId="9" hidden="1"/>
    <cellStyle name="Hipervínculo visitado" xfId="10874" builtinId="9" hidden="1"/>
    <cellStyle name="Hipervínculo visitado" xfId="4674" builtinId="9" hidden="1"/>
    <cellStyle name="Hipervínculo visitado" xfId="6020" builtinId="9" hidden="1"/>
    <cellStyle name="Hipervínculo visitado" xfId="9538" builtinId="9" hidden="1"/>
    <cellStyle name="Hipervínculo visitado" xfId="9170" builtinId="9" hidden="1"/>
    <cellStyle name="Hipervínculo visitado" xfId="148" builtinId="9" hidden="1"/>
    <cellStyle name="Hipervínculo visitado" xfId="4684" builtinId="9" hidden="1"/>
    <cellStyle name="Hipervínculo visitado" xfId="9052" builtinId="9" hidden="1"/>
    <cellStyle name="Hipervínculo visitado" xfId="4960" builtinId="9" hidden="1"/>
    <cellStyle name="Hipervínculo visitado" xfId="1946" builtinId="9" hidden="1"/>
    <cellStyle name="Hipervínculo visitado" xfId="5016" builtinId="9" hidden="1"/>
    <cellStyle name="Hipervínculo visitado" xfId="2280" builtinId="9" hidden="1"/>
    <cellStyle name="Hipervínculo visitado" xfId="1908" builtinId="9" hidden="1"/>
    <cellStyle name="Hipervínculo visitado" xfId="2272" builtinId="9" hidden="1"/>
    <cellStyle name="Hipervínculo visitado" xfId="8188" builtinId="9" hidden="1"/>
    <cellStyle name="Hipervínculo visitado" xfId="3252" builtinId="9" hidden="1"/>
    <cellStyle name="Hipervínculo visitado" xfId="7614" builtinId="9" hidden="1"/>
    <cellStyle name="Hipervínculo visitado" xfId="3950" builtinId="9" hidden="1"/>
    <cellStyle name="Hipervínculo visitado" xfId="10520" builtinId="9" hidden="1"/>
    <cellStyle name="Hipervínculo visitado" xfId="4290" builtinId="9" hidden="1"/>
    <cellStyle name="Hipervínculo visitado" xfId="6390" builtinId="9" hidden="1"/>
    <cellStyle name="Hipervínculo visitado" xfId="6050" builtinId="9" hidden="1"/>
    <cellStyle name="Hipervínculo visitado" xfId="6712" builtinId="9" hidden="1"/>
    <cellStyle name="Hipervínculo visitado" xfId="10402" builtinId="9" hidden="1"/>
    <cellStyle name="Hipervínculo visitado" xfId="9600" builtinId="9" hidden="1"/>
    <cellStyle name="Hipervínculo visitado" xfId="176" builtinId="9" hidden="1"/>
    <cellStyle name="Hipervínculo visitado" xfId="4968" builtinId="9" hidden="1"/>
    <cellStyle name="Hipervínculo visitado" xfId="8492" builtinId="9" hidden="1"/>
    <cellStyle name="Hipervínculo visitado" xfId="1414" builtinId="9" hidden="1"/>
    <cellStyle name="Hipervínculo visitado" xfId="868" builtinId="9" hidden="1"/>
    <cellStyle name="Hipervínculo visitado" xfId="5574" builtinId="9" hidden="1"/>
    <cellStyle name="Hipervínculo visitado" xfId="5950" builtinId="9" hidden="1"/>
    <cellStyle name="Hipervínculo visitado" xfId="3422" builtinId="9" hidden="1"/>
    <cellStyle name="Hipervínculo visitado" xfId="1178" builtinId="9" hidden="1"/>
    <cellStyle name="Hipervínculo visitado" xfId="1256" builtinId="9" hidden="1"/>
    <cellStyle name="Hipervínculo visitado" xfId="1318" builtinId="9" hidden="1"/>
    <cellStyle name="Hipervínculo visitado" xfId="6070" builtinId="9" hidden="1"/>
    <cellStyle name="Hipervínculo visitado" xfId="1272" builtinId="9" hidden="1"/>
    <cellStyle name="Hipervínculo visitado" xfId="7784" builtinId="9" hidden="1"/>
    <cellStyle name="Hipervínculo visitado" xfId="9744" builtinId="9" hidden="1"/>
    <cellStyle name="Hipervínculo visitado" xfId="6370" builtinId="9" hidden="1"/>
    <cellStyle name="Hipervínculo visitado" xfId="8768" builtinId="9" hidden="1"/>
    <cellStyle name="Hipervínculo visitado" xfId="614" builtinId="9" hidden="1"/>
    <cellStyle name="Hipervínculo visitado" xfId="1634" builtinId="9" hidden="1"/>
    <cellStyle name="Hipervínculo visitado" xfId="8038" builtinId="9" hidden="1"/>
    <cellStyle name="Hipervínculo visitado" xfId="404" builtinId="9" hidden="1"/>
    <cellStyle name="Hipervínculo visitado" xfId="1712" builtinId="9" hidden="1"/>
    <cellStyle name="Hipervínculo visitado" xfId="2662" builtinId="9" hidden="1"/>
    <cellStyle name="Hipervínculo visitado" xfId="6240" builtinId="9" hidden="1"/>
    <cellStyle name="Hipervínculo visitado" xfId="10528" builtinId="9" hidden="1"/>
    <cellStyle name="Hipervínculo visitado" xfId="38" builtinId="9" hidden="1"/>
    <cellStyle name="Hipervínculo visitado" xfId="6128" builtinId="9" hidden="1"/>
    <cellStyle name="Hipervínculo visitado" xfId="2434" builtinId="9" hidden="1"/>
    <cellStyle name="Hipervínculo visitado" xfId="4426" builtinId="9" hidden="1"/>
    <cellStyle name="Hipervínculo visitado" xfId="1320" builtinId="9" hidden="1"/>
    <cellStyle name="Hipervínculo visitado" xfId="3566" builtinId="9" hidden="1"/>
    <cellStyle name="Hipervínculo visitado" xfId="2534" builtinId="9" hidden="1"/>
    <cellStyle name="Hipervínculo visitado" xfId="10556" builtinId="9" hidden="1"/>
    <cellStyle name="Hipervínculo visitado" xfId="6856" builtinId="9" hidden="1"/>
    <cellStyle name="Hipervínculo visitado" xfId="2358" builtinId="9" hidden="1"/>
    <cellStyle name="Hipervínculo visitado" xfId="1486" builtinId="9" hidden="1"/>
    <cellStyle name="Hipervínculo visitado" xfId="10542" builtinId="9" hidden="1"/>
    <cellStyle name="Hipervínculo visitado" xfId="5362" builtinId="9" hidden="1"/>
    <cellStyle name="Hipervínculo visitado" xfId="50" builtinId="9" hidden="1"/>
    <cellStyle name="Hipervínculo visitado" xfId="8540" builtinId="9" hidden="1"/>
    <cellStyle name="Hipervínculo visitado" xfId="4698" builtinId="9" hidden="1"/>
    <cellStyle name="Hipervínculo visitado" xfId="3102" builtinId="9" hidden="1"/>
    <cellStyle name="Hipervínculo visitado" xfId="2108" builtinId="9" hidden="1"/>
    <cellStyle name="Hipervínculo visitado" xfId="7122" builtinId="9" hidden="1"/>
    <cellStyle name="Hipervínculo visitado" xfId="8746" builtinId="9" hidden="1"/>
    <cellStyle name="Hipervínculo visitado" xfId="18" builtinId="9" hidden="1"/>
    <cellStyle name="Hipervínculo visitado" xfId="5928" builtinId="9" hidden="1"/>
    <cellStyle name="Hipervínculo visitado" xfId="10502" builtinId="9" hidden="1"/>
    <cellStyle name="Hipervínculo visitado" xfId="7498" builtinId="9" hidden="1"/>
    <cellStyle name="Hipervínculo visitado" xfId="8894" builtinId="9" hidden="1"/>
    <cellStyle name="Hipervínculo visitado" xfId="4672" builtinId="9" hidden="1"/>
    <cellStyle name="Hipervínculo visitado" xfId="2392" builtinId="9" hidden="1"/>
    <cellStyle name="Hipervínculo visitado" xfId="10110" builtinId="9" hidden="1"/>
    <cellStyle name="Hipervínculo visitado" xfId="10654" builtinId="9" hidden="1"/>
    <cellStyle name="Hipervínculo visitado" xfId="876" builtinId="9" hidden="1"/>
    <cellStyle name="Hipervínculo visitado" xfId="7102" builtinId="9" hidden="1"/>
    <cellStyle name="Hipervínculo visitado" xfId="1700" builtinId="9" hidden="1"/>
    <cellStyle name="Hipervínculo visitado" xfId="7696" builtinId="9" hidden="1"/>
    <cellStyle name="Hipervínculo visitado" xfId="9554" builtinId="9" hidden="1"/>
    <cellStyle name="Hipervínculo visitado" xfId="628" builtinId="9" hidden="1"/>
    <cellStyle name="Hipervínculo visitado" xfId="48" builtinId="9" hidden="1"/>
    <cellStyle name="Hipervínculo visitado" xfId="2164" builtinId="9" hidden="1"/>
    <cellStyle name="Hipervínculo visitado" xfId="5322" builtinId="9" hidden="1"/>
    <cellStyle name="Hipervínculo visitado" xfId="948" builtinId="9" hidden="1"/>
    <cellStyle name="Hipervínculo visitado" xfId="4984" builtinId="9" hidden="1"/>
    <cellStyle name="Hipervínculo visitado" xfId="7202" builtinId="9" hidden="1"/>
    <cellStyle name="Hipervínculo visitado" xfId="8780" builtinId="9" hidden="1"/>
    <cellStyle name="Hipervínculo visitado" xfId="962" builtinId="9" hidden="1"/>
    <cellStyle name="Hipervínculo visitado" xfId="10324" builtinId="9" hidden="1"/>
    <cellStyle name="Hipervínculo visitado" xfId="6256" builtinId="9" hidden="1"/>
    <cellStyle name="Hipervínculo visitado" xfId="2398" builtinId="9" hidden="1"/>
    <cellStyle name="Hipervínculo visitado" xfId="5968" builtinId="9" hidden="1"/>
    <cellStyle name="Hipervínculo visitado" xfId="9798" builtinId="9" hidden="1"/>
    <cellStyle name="Hipervínculo visitado" xfId="5124" builtinId="9" hidden="1"/>
    <cellStyle name="Hipervínculo visitado" xfId="2920" builtinId="9" hidden="1"/>
    <cellStyle name="Hipervínculo visitado" xfId="5542" builtinId="9" hidden="1"/>
    <cellStyle name="Hipervínculo visitado" xfId="1928" builtinId="9" hidden="1"/>
    <cellStyle name="Hipervínculo visitado" xfId="2222" builtinId="9" hidden="1"/>
    <cellStyle name="Hipervínculo visitado" xfId="5004" builtinId="9" hidden="1"/>
    <cellStyle name="Hipervínculo visitado" xfId="592" builtinId="9" hidden="1"/>
    <cellStyle name="Hipervínculo visitado" xfId="5844" builtinId="9" hidden="1"/>
    <cellStyle name="Hipervínculo visitado" xfId="4250" builtinId="9" hidden="1"/>
    <cellStyle name="Hipervínculo visitado" xfId="10084" builtinId="9" hidden="1"/>
    <cellStyle name="Hipervínculo visitado" xfId="686" builtinId="9" hidden="1"/>
    <cellStyle name="Hipervínculo visitado" xfId="8186" builtinId="9" hidden="1"/>
    <cellStyle name="Hipervínculo visitado" xfId="3174" builtinId="9" hidden="1"/>
    <cellStyle name="Hipervínculo visitado" xfId="1018" builtinId="9" hidden="1"/>
    <cellStyle name="Hipervínculo visitado" xfId="1710" builtinId="9" hidden="1"/>
    <cellStyle name="Hipervínculo visitado" xfId="8618" builtinId="9" hidden="1"/>
    <cellStyle name="Hipervínculo visitado" xfId="7944" builtinId="9" hidden="1"/>
    <cellStyle name="Hipervínculo visitado" xfId="6272" builtinId="9" hidden="1"/>
    <cellStyle name="Hipervínculo visitado" xfId="1270" builtinId="9" hidden="1"/>
    <cellStyle name="Hipervínculo visitado" xfId="1644" builtinId="9" hidden="1"/>
    <cellStyle name="Hipervínculo visitado" xfId="10098" builtinId="9" hidden="1"/>
    <cellStyle name="Hipervínculo visitado" xfId="8496" builtinId="9" hidden="1"/>
    <cellStyle name="Normal" xfId="0" builtinId="0"/>
    <cellStyle name="Normal 2" xfId="3" xr:uid="{00000000-0005-0000-0000-00004B2B0000}"/>
    <cellStyle name="Normal 3" xfId="11085" xr:uid="{99BEFB74-9048-4E9F-999D-5BA5CA0858C5}"/>
    <cellStyle name="Normal 3 2" xfId="11086" xr:uid="{41AE3BC1-EA76-45FB-90E3-A0D131E9E2F6}"/>
    <cellStyle name="Normal 3 2 2" xfId="11090" xr:uid="{CFEB3E3D-0E42-4772-A88D-38E13D17639E}"/>
    <cellStyle name="Normal 3 3" xfId="11089" xr:uid="{D7BCD2B0-E017-486F-8418-FC966C0F697C}"/>
    <cellStyle name="Normal 7 3" xfId="11087" xr:uid="{3572E768-88A4-40AE-8873-BB24E1662560}"/>
    <cellStyle name="Normal 7 3 2" xfId="11091" xr:uid="{2504966B-955B-4E4F-BC8E-0F9C8FE7B9A4}"/>
    <cellStyle name="Porcentaje" xfId="11088" builtinId="5"/>
    <cellStyle name="Porcentual 2" xfId="4" xr:uid="{00000000-0005-0000-0000-00004C2B0000}"/>
  </cellStyles>
  <dxfs count="25">
    <dxf>
      <fill>
        <patternFill>
          <bgColor rgb="FFFFCDCD"/>
        </patternFill>
      </fill>
    </dxf>
    <dxf>
      <fill>
        <patternFill>
          <bgColor rgb="FFFFE79B"/>
        </patternFill>
      </fill>
    </dxf>
    <dxf>
      <fill>
        <patternFill>
          <bgColor rgb="FFD4ECBA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ill>
        <patternFill patternType="solid">
          <bgColor theme="0"/>
        </patternFill>
      </fill>
    </dxf>
    <dxf>
      <font>
        <color rgb="FFFF0000"/>
      </font>
      <fill>
        <patternFill>
          <bgColor theme="0"/>
        </patternFill>
      </fill>
      <border>
        <left style="hair">
          <color rgb="FFFF0000"/>
        </left>
        <right style="hair">
          <color rgb="FFFF0000"/>
        </right>
        <top style="hair">
          <color rgb="FFFF0000"/>
        </top>
        <bottom style="hair">
          <color rgb="FFFF0000"/>
        </bottom>
        <vertical/>
        <horizontal/>
      </border>
    </dxf>
    <dxf>
      <font>
        <color rgb="FFFF0000"/>
      </font>
    </dxf>
    <dxf>
      <font>
        <b/>
        <i val="0"/>
        <color rgb="FFFF0000"/>
      </font>
      <fill>
        <patternFill patternType="lightHorizontal">
          <fgColor rgb="FFFF5050"/>
          <bgColor rgb="FFFFCDCD"/>
        </patternFill>
      </fill>
    </dxf>
    <dxf>
      <font>
        <color rgb="FF9C0006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ABB0F6CA-DE2C-48EE-8248-AF0F45D5389C}"/>
  </tableStyles>
  <colors>
    <mruColors>
      <color rgb="FFFF5050"/>
      <color rgb="FFC6EFCE"/>
      <color rgb="FF006100"/>
      <color rgb="FFFFF2CC"/>
      <color rgb="FF9C0006"/>
      <color rgb="FFFFCDCD"/>
      <color rgb="FFFFE79B"/>
      <color rgb="FFD4ECBA"/>
      <color rgb="FFFFD757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46673</xdr:colOff>
      <xdr:row>0</xdr:row>
      <xdr:rowOff>15240</xdr:rowOff>
    </xdr:from>
    <xdr:to>
      <xdr:col>1</xdr:col>
      <xdr:colOff>783282</xdr:colOff>
      <xdr:row>0</xdr:row>
      <xdr:rowOff>630555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9DD8B9-9920-9399-BEFE-1335671D3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3" y="15240"/>
          <a:ext cx="746134" cy="6153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19050</xdr:rowOff>
    </xdr:from>
    <xdr:to>
      <xdr:col>1</xdr:col>
      <xdr:colOff>763279</xdr:colOff>
      <xdr:row>0</xdr:row>
      <xdr:rowOff>630555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329894-C9D0-466E-8E75-27256692E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" y="19050"/>
          <a:ext cx="732799" cy="6115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0</xdr:row>
      <xdr:rowOff>19050</xdr:rowOff>
    </xdr:from>
    <xdr:to>
      <xdr:col>3</xdr:col>
      <xdr:colOff>168919</xdr:colOff>
      <xdr:row>0</xdr:row>
      <xdr:rowOff>628650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F0F933-9EDE-434F-93B0-1D52FD091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8" y="19050"/>
          <a:ext cx="718511" cy="60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64350</xdr:colOff>
      <xdr:row>1</xdr:row>
      <xdr:rowOff>0</xdr:rowOff>
    </xdr:from>
    <xdr:to>
      <xdr:col>3</xdr:col>
      <xdr:colOff>325660</xdr:colOff>
      <xdr:row>1</xdr:row>
      <xdr:rowOff>611505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86651A-56DE-4201-B24E-1B31F2CBF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3" y="95250"/>
          <a:ext cx="713749" cy="6115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34290</xdr:rowOff>
    </xdr:from>
    <xdr:to>
      <xdr:col>3</xdr:col>
      <xdr:colOff>196915</xdr:colOff>
      <xdr:row>0</xdr:row>
      <xdr:rowOff>626745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FAAAF8-0516-4B70-A9D4-D1888E307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4290"/>
          <a:ext cx="720734" cy="592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</xdr:colOff>
      <xdr:row>0</xdr:row>
      <xdr:rowOff>24765</xdr:rowOff>
    </xdr:from>
    <xdr:to>
      <xdr:col>3</xdr:col>
      <xdr:colOff>210800</xdr:colOff>
      <xdr:row>0</xdr:row>
      <xdr:rowOff>626745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C42162-C085-4899-80D7-245C90C6F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24765"/>
          <a:ext cx="713749" cy="6019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</xdr:colOff>
      <xdr:row>0</xdr:row>
      <xdr:rowOff>40005</xdr:rowOff>
    </xdr:from>
    <xdr:to>
      <xdr:col>3</xdr:col>
      <xdr:colOff>96529</xdr:colOff>
      <xdr:row>0</xdr:row>
      <xdr:rowOff>630555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47B4BB-C061-4E4E-ADB5-9B70E7D03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40005"/>
          <a:ext cx="717559" cy="590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34290</xdr:rowOff>
    </xdr:from>
    <xdr:to>
      <xdr:col>3</xdr:col>
      <xdr:colOff>91502</xdr:colOff>
      <xdr:row>0</xdr:row>
      <xdr:rowOff>630555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A88DFF-38AB-4AE1-936B-4C721789C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34290"/>
          <a:ext cx="758252" cy="5962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</xdr:colOff>
      <xdr:row>0</xdr:row>
      <xdr:rowOff>40005</xdr:rowOff>
    </xdr:from>
    <xdr:to>
      <xdr:col>3</xdr:col>
      <xdr:colOff>96529</xdr:colOff>
      <xdr:row>0</xdr:row>
      <xdr:rowOff>630555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175608-77C1-4CD4-BC3C-FBBE6F745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" y="40005"/>
          <a:ext cx="723274" cy="590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64350</xdr:colOff>
      <xdr:row>1</xdr:row>
      <xdr:rowOff>0</xdr:rowOff>
    </xdr:from>
    <xdr:to>
      <xdr:col>3</xdr:col>
      <xdr:colOff>307803</xdr:colOff>
      <xdr:row>1</xdr:row>
      <xdr:rowOff>611505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D8263B-C5D9-4B0A-9CF3-1A3D46B6F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550" y="198120"/>
          <a:ext cx="715893" cy="6115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19050</xdr:rowOff>
    </xdr:from>
    <xdr:to>
      <xdr:col>1</xdr:col>
      <xdr:colOff>763279</xdr:colOff>
      <xdr:row>0</xdr:row>
      <xdr:rowOff>630555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F0C923-4398-427D-873E-C76D99F21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9050"/>
          <a:ext cx="732799" cy="6115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46673</xdr:colOff>
      <xdr:row>0</xdr:row>
      <xdr:rowOff>15240</xdr:rowOff>
    </xdr:from>
    <xdr:to>
      <xdr:col>1</xdr:col>
      <xdr:colOff>783282</xdr:colOff>
      <xdr:row>0</xdr:row>
      <xdr:rowOff>630555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A5B0B4-3228-47A9-AF11-0941624AB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3" y="15240"/>
          <a:ext cx="736609" cy="6153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</xdr:colOff>
      <xdr:row>0</xdr:row>
      <xdr:rowOff>15240</xdr:rowOff>
    </xdr:from>
    <xdr:to>
      <xdr:col>3</xdr:col>
      <xdr:colOff>172729</xdr:colOff>
      <xdr:row>0</xdr:row>
      <xdr:rowOff>624840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191DA8-9089-4236-9587-2CB684270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" y="15240"/>
          <a:ext cx="738514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EF48-B0A5-44D6-A35B-7311C65CFE62}">
  <sheetPr codeName="Hoja1">
    <tabColor theme="8" tint="0.39997558519241921"/>
    <pageSetUpPr fitToPage="1"/>
  </sheetPr>
  <dimension ref="B1:O140"/>
  <sheetViews>
    <sheetView showGridLines="0" zoomScale="85" zoomScaleNormal="85" workbookViewId="0">
      <selection activeCell="P124" sqref="P124"/>
    </sheetView>
  </sheetViews>
  <sheetFormatPr baseColWidth="10" defaultColWidth="8.875" defaultRowHeight="16.149999999999999" customHeight="1" x14ac:dyDescent="0.4"/>
  <cols>
    <col min="1" max="1" width="1" style="237" customWidth="1"/>
    <col min="2" max="2" width="13.125" style="3" customWidth="1"/>
    <col min="3" max="3" width="13.125" style="4" customWidth="1"/>
    <col min="4" max="4" width="38.125" style="1" customWidth="1"/>
    <col min="5" max="5" width="11.125" style="1" customWidth="1"/>
    <col min="6" max="6" width="10.125" style="2" customWidth="1"/>
    <col min="7" max="7" width="11.625" style="2" customWidth="1"/>
    <col min="8" max="9" width="8.875" style="237" customWidth="1"/>
    <col min="10" max="16384" width="8.875" style="237"/>
  </cols>
  <sheetData>
    <row r="1" spans="2:15" ht="52.5" customHeight="1" x14ac:dyDescent="0.4">
      <c r="B1" s="1162" t="s">
        <v>0</v>
      </c>
      <c r="C1" s="1162"/>
      <c r="D1" s="1162"/>
      <c r="E1" s="1162"/>
      <c r="F1" s="1162"/>
      <c r="G1" s="1162"/>
    </row>
    <row r="2" spans="2:15" ht="33.75" customHeight="1" x14ac:dyDescent="0.4">
      <c r="B2" s="1163" t="s">
        <v>1</v>
      </c>
      <c r="C2" s="1163"/>
      <c r="D2" s="1163"/>
      <c r="E2" s="1163"/>
      <c r="F2" s="1163"/>
      <c r="G2" s="1163"/>
    </row>
    <row r="3" spans="2:15" ht="39.75" customHeight="1" x14ac:dyDescent="0.4">
      <c r="B3" s="1164" t="s">
        <v>2</v>
      </c>
      <c r="C3" s="1165"/>
      <c r="D3" s="1166" t="s">
        <v>3</v>
      </c>
      <c r="E3" s="1166"/>
      <c r="F3" s="1167" t="s">
        <v>4</v>
      </c>
      <c r="G3" s="1167"/>
    </row>
    <row r="4" spans="2:15" ht="4.5" customHeight="1" thickBot="1" x14ac:dyDescent="0.45">
      <c r="B4" s="31"/>
      <c r="C4" s="31"/>
      <c r="D4" s="31"/>
      <c r="E4" s="31"/>
      <c r="F4" s="31"/>
      <c r="G4" s="31"/>
    </row>
    <row r="5" spans="2:15" ht="26.25" x14ac:dyDescent="0.4">
      <c r="B5" s="1168" t="s">
        <v>5</v>
      </c>
      <c r="C5" s="1169"/>
      <c r="D5" s="70" t="s">
        <v>6</v>
      </c>
      <c r="E5" s="71" t="s">
        <v>7</v>
      </c>
      <c r="F5" s="71" t="s">
        <v>8</v>
      </c>
      <c r="G5" s="72" t="s">
        <v>9</v>
      </c>
      <c r="H5" s="1132"/>
      <c r="I5" s="1133"/>
      <c r="J5" s="1132"/>
      <c r="K5" s="1133"/>
      <c r="L5" s="1132"/>
      <c r="M5" s="1133"/>
      <c r="N5" s="1132"/>
      <c r="O5" s="1133"/>
    </row>
    <row r="6" spans="2:15" ht="16.149999999999999" customHeight="1" thickBot="1" x14ac:dyDescent="0.45">
      <c r="B6" s="77"/>
      <c r="C6" s="76"/>
      <c r="D6" s="75"/>
      <c r="E6" s="74"/>
      <c r="F6" s="74"/>
      <c r="G6" s="73"/>
      <c r="H6" s="33"/>
      <c r="I6" s="34"/>
      <c r="J6" s="33"/>
      <c r="K6" s="34"/>
      <c r="L6" s="33"/>
      <c r="M6" s="34"/>
      <c r="N6" s="33"/>
      <c r="O6" s="34"/>
    </row>
    <row r="7" spans="2:15" s="242" customFormat="1" ht="16.149999999999999" customHeight="1" thickBot="1" x14ac:dyDescent="0.55000000000000004">
      <c r="B7" s="318" t="s">
        <v>10</v>
      </c>
      <c r="C7" s="319" t="s">
        <v>10</v>
      </c>
      <c r="D7" s="320" t="s">
        <v>11</v>
      </c>
      <c r="E7" s="321" t="s">
        <v>12</v>
      </c>
      <c r="F7" s="321"/>
      <c r="G7" s="322" t="s">
        <v>13</v>
      </c>
      <c r="H7" s="323"/>
      <c r="I7" s="324"/>
      <c r="J7" s="323"/>
      <c r="K7" s="324"/>
      <c r="L7" s="323"/>
      <c r="M7" s="324"/>
      <c r="N7" s="323"/>
      <c r="O7" s="324"/>
    </row>
    <row r="8" spans="2:15" s="238" customFormat="1" ht="20.25" customHeight="1" x14ac:dyDescent="0.5">
      <c r="B8" s="1150" t="s">
        <v>14</v>
      </c>
      <c r="C8" s="1139" t="s">
        <v>15</v>
      </c>
      <c r="D8" s="434" t="s">
        <v>16</v>
      </c>
      <c r="E8" s="435" t="s">
        <v>17</v>
      </c>
      <c r="F8" s="435"/>
      <c r="G8" s="436"/>
      <c r="H8" s="262"/>
      <c r="I8" s="263"/>
      <c r="J8" s="262"/>
      <c r="K8" s="263"/>
      <c r="L8" s="262"/>
      <c r="M8" s="263"/>
      <c r="N8" s="262"/>
      <c r="O8" s="263"/>
    </row>
    <row r="9" spans="2:15" s="238" customFormat="1" ht="15" x14ac:dyDescent="0.5">
      <c r="B9" s="1151"/>
      <c r="C9" s="1140"/>
      <c r="D9" s="188" t="s">
        <v>18</v>
      </c>
      <c r="E9" s="129" t="s">
        <v>19</v>
      </c>
      <c r="F9" s="129" t="s">
        <v>20</v>
      </c>
      <c r="G9" s="130" t="s">
        <v>21</v>
      </c>
      <c r="H9" s="264"/>
      <c r="I9" s="265"/>
      <c r="J9" s="264"/>
      <c r="K9" s="265"/>
      <c r="L9" s="264"/>
      <c r="M9" s="265"/>
      <c r="N9" s="264"/>
      <c r="O9" s="265"/>
    </row>
    <row r="10" spans="2:15" s="238" customFormat="1" ht="15.4" thickBot="1" x14ac:dyDescent="0.55000000000000004">
      <c r="B10" s="1152"/>
      <c r="C10" s="1153"/>
      <c r="D10" s="437" t="s">
        <v>22</v>
      </c>
      <c r="E10" s="21"/>
      <c r="F10" s="21" t="s">
        <v>23</v>
      </c>
      <c r="G10" s="197"/>
      <c r="H10" s="306"/>
      <c r="I10" s="307"/>
      <c r="J10" s="306"/>
      <c r="K10" s="307"/>
      <c r="L10" s="306"/>
      <c r="M10" s="307"/>
      <c r="N10" s="306"/>
      <c r="O10" s="307"/>
    </row>
    <row r="11" spans="2:15" s="238" customFormat="1" ht="15.75" customHeight="1" x14ac:dyDescent="0.5">
      <c r="B11" s="1154" t="s">
        <v>24</v>
      </c>
      <c r="C11" s="1143" t="s">
        <v>25</v>
      </c>
      <c r="D11" s="206" t="s">
        <v>26</v>
      </c>
      <c r="E11" s="189" t="s">
        <v>27</v>
      </c>
      <c r="F11" s="189"/>
      <c r="G11" s="207">
        <v>22.9</v>
      </c>
      <c r="H11" s="268"/>
      <c r="I11" s="270"/>
      <c r="J11" s="268"/>
      <c r="K11" s="270"/>
      <c r="L11" s="268"/>
      <c r="M11" s="270"/>
      <c r="N11" s="268"/>
      <c r="O11" s="270"/>
    </row>
    <row r="12" spans="2:15" s="238" customFormat="1" ht="15" x14ac:dyDescent="0.5">
      <c r="B12" s="1155"/>
      <c r="C12" s="1145"/>
      <c r="D12" s="438" t="s">
        <v>28</v>
      </c>
      <c r="E12" s="439" t="s">
        <v>27</v>
      </c>
      <c r="F12" s="439"/>
      <c r="G12" s="440">
        <v>22.9</v>
      </c>
      <c r="H12" s="271"/>
      <c r="I12" s="272"/>
      <c r="J12" s="271"/>
      <c r="K12" s="272"/>
      <c r="L12" s="271"/>
      <c r="M12" s="272"/>
      <c r="N12" s="271"/>
      <c r="O12" s="272"/>
    </row>
    <row r="13" spans="2:15" s="238" customFormat="1" ht="15" x14ac:dyDescent="0.5">
      <c r="B13" s="1155"/>
      <c r="C13" s="1145"/>
      <c r="D13" s="208" t="s">
        <v>29</v>
      </c>
      <c r="E13" s="209" t="s">
        <v>27</v>
      </c>
      <c r="F13" s="209"/>
      <c r="G13" s="210">
        <v>22.9</v>
      </c>
      <c r="H13" s="273"/>
      <c r="I13" s="274"/>
      <c r="J13" s="273"/>
      <c r="K13" s="274"/>
      <c r="L13" s="273"/>
      <c r="M13" s="274"/>
      <c r="N13" s="273"/>
      <c r="O13" s="274"/>
    </row>
    <row r="14" spans="2:15" s="238" customFormat="1" ht="30.4" x14ac:dyDescent="0.5">
      <c r="B14" s="1155"/>
      <c r="C14" s="1145"/>
      <c r="D14" s="438" t="s">
        <v>30</v>
      </c>
      <c r="E14" s="439" t="s">
        <v>21</v>
      </c>
      <c r="F14" s="439" t="s">
        <v>21</v>
      </c>
      <c r="G14" s="441" t="s">
        <v>31</v>
      </c>
      <c r="H14" s="273"/>
      <c r="I14" s="274"/>
      <c r="J14" s="273"/>
      <c r="K14" s="274"/>
      <c r="L14" s="273"/>
      <c r="M14" s="274"/>
      <c r="N14" s="273"/>
      <c r="O14" s="274"/>
    </row>
    <row r="15" spans="2:15" s="238" customFormat="1" ht="20.65" thickBot="1" x14ac:dyDescent="0.55000000000000004">
      <c r="B15" s="1155"/>
      <c r="C15" s="1157"/>
      <c r="D15" s="211" t="s">
        <v>32</v>
      </c>
      <c r="E15" s="212" t="s">
        <v>21</v>
      </c>
      <c r="F15" s="212" t="s">
        <v>21</v>
      </c>
      <c r="G15" s="213" t="s">
        <v>33</v>
      </c>
      <c r="H15" s="266"/>
      <c r="I15" s="267"/>
      <c r="J15" s="266"/>
      <c r="K15" s="267"/>
      <c r="L15" s="266"/>
      <c r="M15" s="267"/>
      <c r="N15" s="266"/>
      <c r="O15" s="267"/>
    </row>
    <row r="16" spans="2:15" s="238" customFormat="1" ht="30.4" x14ac:dyDescent="0.5">
      <c r="B16" s="1155"/>
      <c r="C16" s="1158" t="s">
        <v>34</v>
      </c>
      <c r="D16" s="442" t="s">
        <v>30</v>
      </c>
      <c r="E16" s="443" t="s">
        <v>21</v>
      </c>
      <c r="F16" s="443" t="s">
        <v>21</v>
      </c>
      <c r="G16" s="444" t="s">
        <v>31</v>
      </c>
      <c r="H16" s="268"/>
      <c r="I16" s="270"/>
      <c r="J16" s="268"/>
      <c r="K16" s="270"/>
      <c r="L16" s="268"/>
      <c r="M16" s="270"/>
      <c r="N16" s="268"/>
      <c r="O16" s="270"/>
    </row>
    <row r="17" spans="2:15" s="238" customFormat="1" ht="20.65" thickBot="1" x14ac:dyDescent="0.55000000000000004">
      <c r="B17" s="1155"/>
      <c r="C17" s="1157"/>
      <c r="D17" s="211" t="s">
        <v>32</v>
      </c>
      <c r="E17" s="212" t="s">
        <v>21</v>
      </c>
      <c r="F17" s="212" t="s">
        <v>21</v>
      </c>
      <c r="G17" s="215" t="s">
        <v>33</v>
      </c>
      <c r="H17" s="266"/>
      <c r="I17" s="267"/>
      <c r="J17" s="266"/>
      <c r="K17" s="267"/>
      <c r="L17" s="266"/>
      <c r="M17" s="267"/>
      <c r="N17" s="266"/>
      <c r="O17" s="267"/>
    </row>
    <row r="18" spans="2:15" s="238" customFormat="1" ht="15" x14ac:dyDescent="0.5">
      <c r="B18" s="1155"/>
      <c r="C18" s="1143" t="s">
        <v>35</v>
      </c>
      <c r="D18" s="445" t="s">
        <v>26</v>
      </c>
      <c r="E18" s="446" t="s">
        <v>36</v>
      </c>
      <c r="F18" s="443"/>
      <c r="G18" s="447">
        <v>22.9</v>
      </c>
      <c r="H18" s="268"/>
      <c r="I18" s="270"/>
      <c r="J18" s="268"/>
      <c r="K18" s="270"/>
      <c r="L18" s="268"/>
      <c r="M18" s="270"/>
      <c r="N18" s="268"/>
      <c r="O18" s="270"/>
    </row>
    <row r="19" spans="2:15" s="238" customFormat="1" ht="15" x14ac:dyDescent="0.5">
      <c r="B19" s="1155"/>
      <c r="C19" s="1145"/>
      <c r="D19" s="216" t="s">
        <v>28</v>
      </c>
      <c r="E19" s="209" t="s">
        <v>36</v>
      </c>
      <c r="F19" s="209"/>
      <c r="G19" s="210">
        <v>22.9</v>
      </c>
      <c r="H19" s="273"/>
      <c r="I19" s="274"/>
      <c r="J19" s="273"/>
      <c r="K19" s="274"/>
      <c r="L19" s="273"/>
      <c r="M19" s="274"/>
      <c r="N19" s="273"/>
      <c r="O19" s="274"/>
    </row>
    <row r="20" spans="2:15" s="238" customFormat="1" ht="15" x14ac:dyDescent="0.5">
      <c r="B20" s="1155"/>
      <c r="C20" s="1145"/>
      <c r="D20" s="448" t="s">
        <v>29</v>
      </c>
      <c r="E20" s="439" t="s">
        <v>36</v>
      </c>
      <c r="F20" s="439"/>
      <c r="G20" s="441">
        <v>22.9</v>
      </c>
      <c r="H20" s="273"/>
      <c r="I20" s="274"/>
      <c r="J20" s="273"/>
      <c r="K20" s="274"/>
      <c r="L20" s="273"/>
      <c r="M20" s="274"/>
      <c r="N20" s="273"/>
      <c r="O20" s="274"/>
    </row>
    <row r="21" spans="2:15" s="238" customFormat="1" ht="30.75" thickBot="1" x14ac:dyDescent="0.55000000000000004">
      <c r="B21" s="1155"/>
      <c r="C21" s="1145"/>
      <c r="D21" s="211" t="s">
        <v>30</v>
      </c>
      <c r="E21" s="209" t="s">
        <v>21</v>
      </c>
      <c r="F21" s="209" t="s">
        <v>21</v>
      </c>
      <c r="G21" s="210" t="s">
        <v>31</v>
      </c>
      <c r="H21" s="273"/>
      <c r="I21" s="274"/>
      <c r="J21" s="273"/>
      <c r="K21" s="274"/>
      <c r="L21" s="273"/>
      <c r="M21" s="274"/>
      <c r="N21" s="273"/>
      <c r="O21" s="274"/>
    </row>
    <row r="22" spans="2:15" s="238" customFormat="1" ht="20.65" thickBot="1" x14ac:dyDescent="0.55000000000000004">
      <c r="B22" s="1155"/>
      <c r="C22" s="1147"/>
      <c r="D22" s="449" t="s">
        <v>32</v>
      </c>
      <c r="E22" s="450" t="s">
        <v>21</v>
      </c>
      <c r="F22" s="450" t="s">
        <v>21</v>
      </c>
      <c r="G22" s="451" t="s">
        <v>33</v>
      </c>
      <c r="H22" s="266"/>
      <c r="I22" s="267"/>
      <c r="J22" s="266"/>
      <c r="K22" s="267"/>
      <c r="L22" s="266"/>
      <c r="M22" s="267"/>
      <c r="N22" s="266"/>
      <c r="O22" s="267"/>
    </row>
    <row r="23" spans="2:15" s="238" customFormat="1" ht="15.75" customHeight="1" x14ac:dyDescent="0.5">
      <c r="B23" s="1155"/>
      <c r="C23" s="1143" t="s">
        <v>37</v>
      </c>
      <c r="D23" s="218" t="s">
        <v>38</v>
      </c>
      <c r="E23" s="214" t="s">
        <v>39</v>
      </c>
      <c r="F23" s="214"/>
      <c r="G23" s="219"/>
      <c r="H23" s="268"/>
      <c r="I23" s="270"/>
      <c r="J23" s="268"/>
      <c r="K23" s="270"/>
      <c r="L23" s="268"/>
      <c r="M23" s="270"/>
      <c r="N23" s="268"/>
      <c r="O23" s="270"/>
    </row>
    <row r="24" spans="2:15" s="238" customFormat="1" ht="15" x14ac:dyDescent="0.5">
      <c r="B24" s="1155"/>
      <c r="C24" s="1145"/>
      <c r="D24" s="448" t="s">
        <v>40</v>
      </c>
      <c r="E24" s="439" t="s">
        <v>39</v>
      </c>
      <c r="F24" s="439"/>
      <c r="G24" s="441"/>
      <c r="H24" s="273"/>
      <c r="I24" s="274"/>
      <c r="J24" s="273"/>
      <c r="K24" s="274"/>
      <c r="L24" s="273"/>
      <c r="M24" s="274"/>
      <c r="N24" s="273"/>
      <c r="O24" s="274"/>
    </row>
    <row r="25" spans="2:15" s="238" customFormat="1" ht="15.4" thickBot="1" x14ac:dyDescent="0.55000000000000004">
      <c r="B25" s="1155"/>
      <c r="C25" s="1147"/>
      <c r="D25" s="217" t="s">
        <v>41</v>
      </c>
      <c r="E25" s="212" t="s">
        <v>39</v>
      </c>
      <c r="F25" s="212"/>
      <c r="G25" s="213"/>
      <c r="H25" s="266"/>
      <c r="I25" s="267"/>
      <c r="J25" s="266"/>
      <c r="K25" s="267"/>
      <c r="L25" s="266"/>
      <c r="M25" s="267"/>
      <c r="N25" s="266"/>
      <c r="O25" s="267"/>
    </row>
    <row r="26" spans="2:15" s="238" customFormat="1" ht="15" x14ac:dyDescent="0.5">
      <c r="B26" s="1155"/>
      <c r="C26" s="1143" t="s">
        <v>42</v>
      </c>
      <c r="D26" s="452" t="s">
        <v>26</v>
      </c>
      <c r="E26" s="443" t="s">
        <v>27</v>
      </c>
      <c r="F26" s="443"/>
      <c r="G26" s="453"/>
      <c r="H26" s="268"/>
      <c r="I26" s="270"/>
      <c r="J26" s="268"/>
      <c r="K26" s="270"/>
      <c r="L26" s="268"/>
      <c r="M26" s="270"/>
      <c r="N26" s="268"/>
      <c r="O26" s="270"/>
    </row>
    <row r="27" spans="2:15" s="238" customFormat="1" ht="15" x14ac:dyDescent="0.5">
      <c r="B27" s="1155"/>
      <c r="C27" s="1145"/>
      <c r="D27" s="216" t="s">
        <v>28</v>
      </c>
      <c r="E27" s="209" t="s">
        <v>27</v>
      </c>
      <c r="F27" s="209"/>
      <c r="G27" s="210"/>
      <c r="H27" s="273"/>
      <c r="I27" s="274"/>
      <c r="J27" s="273"/>
      <c r="K27" s="274"/>
      <c r="L27" s="273"/>
      <c r="M27" s="274"/>
      <c r="N27" s="273"/>
      <c r="O27" s="274"/>
    </row>
    <row r="28" spans="2:15" s="238" customFormat="1" ht="15" x14ac:dyDescent="0.5">
      <c r="B28" s="1155"/>
      <c r="C28" s="1145"/>
      <c r="D28" s="448" t="s">
        <v>29</v>
      </c>
      <c r="E28" s="439" t="s">
        <v>27</v>
      </c>
      <c r="F28" s="439"/>
      <c r="G28" s="441"/>
      <c r="H28" s="273"/>
      <c r="I28" s="274"/>
      <c r="J28" s="273"/>
      <c r="K28" s="274"/>
      <c r="L28" s="273"/>
      <c r="M28" s="274"/>
      <c r="N28" s="273"/>
      <c r="O28" s="274"/>
    </row>
    <row r="29" spans="2:15" s="238" customFormat="1" ht="15" x14ac:dyDescent="0.5">
      <c r="B29" s="1155"/>
      <c r="C29" s="1145"/>
      <c r="D29" s="216" t="s">
        <v>43</v>
      </c>
      <c r="E29" s="209" t="s">
        <v>44</v>
      </c>
      <c r="F29" s="209"/>
      <c r="G29" s="210"/>
      <c r="H29" s="273"/>
      <c r="I29" s="274"/>
      <c r="J29" s="273"/>
      <c r="K29" s="274"/>
      <c r="L29" s="273"/>
      <c r="M29" s="274"/>
      <c r="N29" s="273"/>
      <c r="O29" s="274"/>
    </row>
    <row r="30" spans="2:15" s="238" customFormat="1" ht="15" x14ac:dyDescent="0.5">
      <c r="B30" s="1155"/>
      <c r="C30" s="1145"/>
      <c r="D30" s="448" t="s">
        <v>45</v>
      </c>
      <c r="E30" s="439" t="s">
        <v>46</v>
      </c>
      <c r="F30" s="439"/>
      <c r="G30" s="441"/>
      <c r="H30" s="273"/>
      <c r="I30" s="274"/>
      <c r="J30" s="273"/>
      <c r="K30" s="274"/>
      <c r="L30" s="273"/>
      <c r="M30" s="274"/>
      <c r="N30" s="273"/>
      <c r="O30" s="274"/>
    </row>
    <row r="31" spans="2:15" s="238" customFormat="1" ht="15" x14ac:dyDescent="0.5">
      <c r="B31" s="1155"/>
      <c r="C31" s="1145"/>
      <c r="D31" s="216" t="s">
        <v>47</v>
      </c>
      <c r="E31" s="209" t="s">
        <v>48</v>
      </c>
      <c r="F31" s="209"/>
      <c r="G31" s="210"/>
      <c r="H31" s="273"/>
      <c r="I31" s="274"/>
      <c r="J31" s="273"/>
      <c r="K31" s="274"/>
      <c r="L31" s="273"/>
      <c r="M31" s="274"/>
      <c r="N31" s="273"/>
      <c r="O31" s="274"/>
    </row>
    <row r="32" spans="2:15" s="238" customFormat="1" ht="15" x14ac:dyDescent="0.5">
      <c r="B32" s="1155"/>
      <c r="C32" s="1145"/>
      <c r="D32" s="448" t="s">
        <v>49</v>
      </c>
      <c r="E32" s="439" t="s">
        <v>48</v>
      </c>
      <c r="F32" s="439"/>
      <c r="G32" s="441"/>
      <c r="H32" s="273"/>
      <c r="I32" s="274"/>
      <c r="J32" s="273"/>
      <c r="K32" s="274"/>
      <c r="L32" s="273"/>
      <c r="M32" s="274"/>
      <c r="N32" s="273"/>
      <c r="O32" s="274"/>
    </row>
    <row r="33" spans="2:15" s="238" customFormat="1" ht="15" x14ac:dyDescent="0.5">
      <c r="B33" s="1155"/>
      <c r="C33" s="1145"/>
      <c r="D33" s="216" t="s">
        <v>50</v>
      </c>
      <c r="E33" s="209" t="s">
        <v>48</v>
      </c>
      <c r="F33" s="209"/>
      <c r="G33" s="210"/>
      <c r="H33" s="273"/>
      <c r="I33" s="274"/>
      <c r="J33" s="273"/>
      <c r="K33" s="274"/>
      <c r="L33" s="273"/>
      <c r="M33" s="274"/>
      <c r="N33" s="273"/>
      <c r="O33" s="274"/>
    </row>
    <row r="34" spans="2:15" s="238" customFormat="1" ht="20.65" thickBot="1" x14ac:dyDescent="0.55000000000000004">
      <c r="B34" s="1155"/>
      <c r="C34" s="1147"/>
      <c r="D34" s="449" t="s">
        <v>32</v>
      </c>
      <c r="E34" s="450"/>
      <c r="F34" s="450"/>
      <c r="G34" s="451" t="s">
        <v>51</v>
      </c>
      <c r="H34" s="266"/>
      <c r="I34" s="267"/>
      <c r="J34" s="266"/>
      <c r="K34" s="267"/>
      <c r="L34" s="266"/>
      <c r="M34" s="267"/>
      <c r="N34" s="266"/>
      <c r="O34" s="267"/>
    </row>
    <row r="35" spans="2:15" s="238" customFormat="1" ht="15.75" customHeight="1" x14ac:dyDescent="0.5">
      <c r="B35" s="1155"/>
      <c r="C35" s="1143" t="s">
        <v>52</v>
      </c>
      <c r="D35" s="218" t="s">
        <v>47</v>
      </c>
      <c r="E35" s="214" t="s">
        <v>48</v>
      </c>
      <c r="F35" s="214"/>
      <c r="G35" s="219"/>
      <c r="H35" s="268"/>
      <c r="I35" s="270"/>
      <c r="J35" s="268"/>
      <c r="K35" s="270"/>
      <c r="L35" s="268"/>
      <c r="M35" s="270"/>
      <c r="N35" s="268"/>
      <c r="O35" s="270"/>
    </row>
    <row r="36" spans="2:15" s="238" customFormat="1" ht="15" x14ac:dyDescent="0.5">
      <c r="B36" s="1155"/>
      <c r="C36" s="1145"/>
      <c r="D36" s="448" t="s">
        <v>49</v>
      </c>
      <c r="E36" s="439" t="s">
        <v>48</v>
      </c>
      <c r="F36" s="439"/>
      <c r="G36" s="441"/>
      <c r="H36" s="273"/>
      <c r="I36" s="274"/>
      <c r="J36" s="273"/>
      <c r="K36" s="274"/>
      <c r="L36" s="273"/>
      <c r="M36" s="274"/>
      <c r="N36" s="273"/>
      <c r="O36" s="274"/>
    </row>
    <row r="37" spans="2:15" s="238" customFormat="1" ht="15" x14ac:dyDescent="0.5">
      <c r="B37" s="1155"/>
      <c r="C37" s="1145"/>
      <c r="D37" s="216" t="s">
        <v>50</v>
      </c>
      <c r="E37" s="209" t="s">
        <v>48</v>
      </c>
      <c r="F37" s="209"/>
      <c r="G37" s="210"/>
      <c r="H37" s="273"/>
      <c r="I37" s="274"/>
      <c r="J37" s="273"/>
      <c r="K37" s="274"/>
      <c r="L37" s="273"/>
      <c r="M37" s="274"/>
      <c r="N37" s="273"/>
      <c r="O37" s="274"/>
    </row>
    <row r="38" spans="2:15" s="238" customFormat="1" ht="20.25" x14ac:dyDescent="0.5">
      <c r="B38" s="1155"/>
      <c r="C38" s="1145"/>
      <c r="D38" s="448" t="s">
        <v>32</v>
      </c>
      <c r="E38" s="439" t="s">
        <v>21</v>
      </c>
      <c r="F38" s="439"/>
      <c r="G38" s="441" t="s">
        <v>51</v>
      </c>
      <c r="H38" s="273"/>
      <c r="I38" s="274"/>
      <c r="J38" s="273"/>
      <c r="K38" s="274"/>
      <c r="L38" s="273"/>
      <c r="M38" s="274"/>
      <c r="N38" s="273"/>
      <c r="O38" s="274"/>
    </row>
    <row r="39" spans="2:15" s="238" customFormat="1" ht="30.75" thickBot="1" x14ac:dyDescent="0.55000000000000004">
      <c r="B39" s="1155"/>
      <c r="C39" s="1147"/>
      <c r="D39" s="217" t="s">
        <v>53</v>
      </c>
      <c r="E39" s="212" t="s">
        <v>21</v>
      </c>
      <c r="F39" s="212"/>
      <c r="G39" s="213" t="s">
        <v>54</v>
      </c>
      <c r="H39" s="266"/>
      <c r="I39" s="267"/>
      <c r="J39" s="266"/>
      <c r="K39" s="267"/>
      <c r="L39" s="266"/>
      <c r="M39" s="267"/>
      <c r="N39" s="266"/>
      <c r="O39" s="267"/>
    </row>
    <row r="40" spans="2:15" s="238" customFormat="1" ht="15.75" customHeight="1" x14ac:dyDescent="0.5">
      <c r="B40" s="1155"/>
      <c r="C40" s="1145" t="s">
        <v>55</v>
      </c>
      <c r="D40" s="454" t="s">
        <v>26</v>
      </c>
      <c r="E40" s="455" t="s">
        <v>27</v>
      </c>
      <c r="F40" s="455"/>
      <c r="G40" s="456"/>
      <c r="H40" s="262"/>
      <c r="I40" s="263"/>
      <c r="J40" s="262"/>
      <c r="K40" s="263"/>
      <c r="L40" s="262"/>
      <c r="M40" s="263"/>
      <c r="N40" s="262"/>
      <c r="O40" s="263"/>
    </row>
    <row r="41" spans="2:15" s="238" customFormat="1" ht="15" x14ac:dyDescent="0.5">
      <c r="B41" s="1155"/>
      <c r="C41" s="1145"/>
      <c r="D41" s="216" t="s">
        <v>28</v>
      </c>
      <c r="E41" s="209" t="s">
        <v>27</v>
      </c>
      <c r="F41" s="209"/>
      <c r="G41" s="210"/>
      <c r="H41" s="273"/>
      <c r="I41" s="274"/>
      <c r="J41" s="273"/>
      <c r="K41" s="274"/>
      <c r="L41" s="273"/>
      <c r="M41" s="274"/>
      <c r="N41" s="273"/>
      <c r="O41" s="274"/>
    </row>
    <row r="42" spans="2:15" s="238" customFormat="1" ht="15" x14ac:dyDescent="0.5">
      <c r="B42" s="1155"/>
      <c r="C42" s="1145"/>
      <c r="D42" s="448" t="s">
        <v>29</v>
      </c>
      <c r="E42" s="439" t="s">
        <v>27</v>
      </c>
      <c r="F42" s="439"/>
      <c r="G42" s="441"/>
      <c r="H42" s="273"/>
      <c r="I42" s="274"/>
      <c r="J42" s="273"/>
      <c r="K42" s="274"/>
      <c r="L42" s="273"/>
      <c r="M42" s="274"/>
      <c r="N42" s="273"/>
      <c r="O42" s="274"/>
    </row>
    <row r="43" spans="2:15" s="238" customFormat="1" ht="15" x14ac:dyDescent="0.5">
      <c r="B43" s="1155"/>
      <c r="C43" s="1145"/>
      <c r="D43" s="216" t="s">
        <v>47</v>
      </c>
      <c r="E43" s="209" t="s">
        <v>48</v>
      </c>
      <c r="F43" s="209"/>
      <c r="G43" s="210"/>
      <c r="H43" s="273"/>
      <c r="I43" s="274"/>
      <c r="J43" s="273"/>
      <c r="K43" s="274"/>
      <c r="L43" s="273"/>
      <c r="M43" s="274"/>
      <c r="N43" s="273"/>
      <c r="O43" s="274"/>
    </row>
    <row r="44" spans="2:15" s="238" customFormat="1" ht="15" x14ac:dyDescent="0.5">
      <c r="B44" s="1155"/>
      <c r="C44" s="1145"/>
      <c r="D44" s="448" t="s">
        <v>49</v>
      </c>
      <c r="E44" s="439" t="s">
        <v>48</v>
      </c>
      <c r="F44" s="439"/>
      <c r="G44" s="441"/>
      <c r="H44" s="273"/>
      <c r="I44" s="274"/>
      <c r="J44" s="273"/>
      <c r="K44" s="274"/>
      <c r="L44" s="273"/>
      <c r="M44" s="274"/>
      <c r="N44" s="273"/>
      <c r="O44" s="274"/>
    </row>
    <row r="45" spans="2:15" s="238" customFormat="1" ht="15" x14ac:dyDescent="0.5">
      <c r="B45" s="1155"/>
      <c r="C45" s="1145"/>
      <c r="D45" s="216" t="s">
        <v>50</v>
      </c>
      <c r="E45" s="209" t="s">
        <v>48</v>
      </c>
      <c r="F45" s="209"/>
      <c r="G45" s="210"/>
      <c r="H45" s="273"/>
      <c r="I45" s="274"/>
      <c r="J45" s="273"/>
      <c r="K45" s="274"/>
      <c r="L45" s="273"/>
      <c r="M45" s="274"/>
      <c r="N45" s="273"/>
      <c r="O45" s="274"/>
    </row>
    <row r="46" spans="2:15" s="238" customFormat="1" ht="20.65" thickBot="1" x14ac:dyDescent="0.55000000000000004">
      <c r="B46" s="1156"/>
      <c r="C46" s="1170"/>
      <c r="D46" s="457" t="s">
        <v>32</v>
      </c>
      <c r="E46" s="50"/>
      <c r="F46" s="50"/>
      <c r="G46" s="458" t="s">
        <v>51</v>
      </c>
      <c r="H46" s="266"/>
      <c r="I46" s="267"/>
      <c r="J46" s="266"/>
      <c r="K46" s="267"/>
      <c r="L46" s="266"/>
      <c r="M46" s="267"/>
      <c r="N46" s="266"/>
      <c r="O46" s="267"/>
    </row>
    <row r="47" spans="2:15" s="238" customFormat="1" ht="16.149999999999999" customHeight="1" x14ac:dyDescent="0.5">
      <c r="B47" s="1151" t="s">
        <v>56</v>
      </c>
      <c r="C47" s="1139" t="s">
        <v>57</v>
      </c>
      <c r="D47" s="69" t="s">
        <v>58</v>
      </c>
      <c r="E47" s="28" t="s">
        <v>59</v>
      </c>
      <c r="F47" s="28" t="s">
        <v>21</v>
      </c>
      <c r="G47" s="26" t="s">
        <v>60</v>
      </c>
      <c r="H47" s="262"/>
      <c r="I47" s="263"/>
      <c r="J47" s="262"/>
      <c r="K47" s="263"/>
      <c r="L47" s="262"/>
      <c r="M47" s="263"/>
      <c r="N47" s="262"/>
      <c r="O47" s="263"/>
    </row>
    <row r="48" spans="2:15" s="238" customFormat="1" ht="20.25" x14ac:dyDescent="0.5">
      <c r="B48" s="1151"/>
      <c r="C48" s="1140"/>
      <c r="D48" s="459" t="s">
        <v>61</v>
      </c>
      <c r="E48" s="19" t="s">
        <v>39</v>
      </c>
      <c r="F48" s="19" t="s">
        <v>62</v>
      </c>
      <c r="G48" s="126" t="s">
        <v>63</v>
      </c>
      <c r="H48" s="273"/>
      <c r="I48" s="274"/>
      <c r="J48" s="273"/>
      <c r="K48" s="274"/>
      <c r="L48" s="273"/>
      <c r="M48" s="274"/>
      <c r="N48" s="273"/>
      <c r="O48" s="274"/>
    </row>
    <row r="49" spans="2:15" s="238" customFormat="1" ht="15" x14ac:dyDescent="0.5">
      <c r="B49" s="1151"/>
      <c r="C49" s="1140"/>
      <c r="D49" s="64" t="s">
        <v>64</v>
      </c>
      <c r="E49" s="8" t="s">
        <v>65</v>
      </c>
      <c r="F49" s="8" t="s">
        <v>66</v>
      </c>
      <c r="G49" s="22" t="s">
        <v>67</v>
      </c>
      <c r="H49" s="273"/>
      <c r="I49" s="274"/>
      <c r="J49" s="273"/>
      <c r="K49" s="274"/>
      <c r="L49" s="273"/>
      <c r="M49" s="274"/>
      <c r="N49" s="273"/>
      <c r="O49" s="274"/>
    </row>
    <row r="50" spans="2:15" s="238" customFormat="1" ht="15" x14ac:dyDescent="0.5">
      <c r="B50" s="1151"/>
      <c r="C50" s="1140"/>
      <c r="D50" s="459" t="s">
        <v>68</v>
      </c>
      <c r="E50" s="19" t="s">
        <v>69</v>
      </c>
      <c r="F50" s="19" t="s">
        <v>70</v>
      </c>
      <c r="G50" s="126" t="s">
        <v>71</v>
      </c>
      <c r="H50" s="273"/>
      <c r="I50" s="274"/>
      <c r="J50" s="273"/>
      <c r="K50" s="274"/>
      <c r="L50" s="273"/>
      <c r="M50" s="274"/>
      <c r="N50" s="273"/>
      <c r="O50" s="274"/>
    </row>
    <row r="51" spans="2:15" s="238" customFormat="1" ht="15" x14ac:dyDescent="0.5">
      <c r="B51" s="1151"/>
      <c r="C51" s="1140"/>
      <c r="D51" s="64" t="s">
        <v>68</v>
      </c>
      <c r="E51" s="24" t="s">
        <v>72</v>
      </c>
      <c r="F51" s="24" t="s">
        <v>73</v>
      </c>
      <c r="G51" s="22"/>
      <c r="H51" s="271"/>
      <c r="I51" s="272"/>
      <c r="J51" s="271"/>
      <c r="K51" s="272"/>
      <c r="L51" s="271"/>
      <c r="M51" s="272"/>
      <c r="N51" s="271"/>
      <c r="O51" s="272"/>
    </row>
    <row r="52" spans="2:15" s="238" customFormat="1" ht="15" x14ac:dyDescent="0.5">
      <c r="B52" s="1151"/>
      <c r="C52" s="1140"/>
      <c r="D52" s="460" t="s">
        <v>74</v>
      </c>
      <c r="E52" s="29" t="s">
        <v>72</v>
      </c>
      <c r="F52" s="29" t="s">
        <v>73</v>
      </c>
      <c r="G52" s="126" t="s">
        <v>75</v>
      </c>
      <c r="H52" s="271"/>
      <c r="I52" s="272"/>
      <c r="J52" s="271"/>
      <c r="K52" s="272"/>
      <c r="L52" s="271"/>
      <c r="M52" s="272"/>
      <c r="N52" s="271"/>
      <c r="O52" s="272"/>
    </row>
    <row r="53" spans="2:15" s="238" customFormat="1" ht="15" x14ac:dyDescent="0.5">
      <c r="B53" s="1151"/>
      <c r="C53" s="1140"/>
      <c r="D53" s="220" t="s">
        <v>76</v>
      </c>
      <c r="E53" s="221" t="s">
        <v>77</v>
      </c>
      <c r="F53" s="221" t="s">
        <v>73</v>
      </c>
      <c r="G53" s="223" t="s">
        <v>78</v>
      </c>
      <c r="H53" s="271"/>
      <c r="I53" s="272"/>
      <c r="J53" s="271"/>
      <c r="K53" s="272"/>
      <c r="L53" s="271"/>
      <c r="M53" s="272"/>
      <c r="N53" s="271"/>
      <c r="O53" s="272"/>
    </row>
    <row r="54" spans="2:15" s="238" customFormat="1" ht="15" x14ac:dyDescent="0.5">
      <c r="B54" s="1151"/>
      <c r="C54" s="1140"/>
      <c r="D54" s="460" t="s">
        <v>79</v>
      </c>
      <c r="E54" s="29"/>
      <c r="F54" s="29" t="s">
        <v>20</v>
      </c>
      <c r="G54" s="461"/>
      <c r="H54" s="271"/>
      <c r="I54" s="272"/>
      <c r="J54" s="271"/>
      <c r="K54" s="272"/>
      <c r="L54" s="271"/>
      <c r="M54" s="272"/>
      <c r="N54" s="271"/>
      <c r="O54" s="272"/>
    </row>
    <row r="55" spans="2:15" s="238" customFormat="1" ht="15" x14ac:dyDescent="0.5">
      <c r="B55" s="1151"/>
      <c r="C55" s="1140"/>
      <c r="D55" s="220" t="s">
        <v>80</v>
      </c>
      <c r="E55" s="221" t="s">
        <v>72</v>
      </c>
      <c r="F55" s="221" t="s">
        <v>73</v>
      </c>
      <c r="G55" s="223" t="s">
        <v>81</v>
      </c>
      <c r="H55" s="271"/>
      <c r="I55" s="272"/>
      <c r="J55" s="271"/>
      <c r="K55" s="272"/>
      <c r="L55" s="271"/>
      <c r="M55" s="272"/>
      <c r="N55" s="271"/>
      <c r="O55" s="272"/>
    </row>
    <row r="56" spans="2:15" s="238" customFormat="1" ht="15" x14ac:dyDescent="0.5">
      <c r="B56" s="1151"/>
      <c r="C56" s="1140"/>
      <c r="D56" s="460" t="s">
        <v>76</v>
      </c>
      <c r="E56" s="29" t="s">
        <v>77</v>
      </c>
      <c r="F56" s="29" t="s">
        <v>73</v>
      </c>
      <c r="G56" s="461" t="s">
        <v>78</v>
      </c>
      <c r="H56" s="271"/>
      <c r="I56" s="272"/>
      <c r="J56" s="271"/>
      <c r="K56" s="272"/>
      <c r="L56" s="271"/>
      <c r="M56" s="272"/>
      <c r="N56" s="271"/>
      <c r="O56" s="272"/>
    </row>
    <row r="57" spans="2:15" s="238" customFormat="1" ht="15" x14ac:dyDescent="0.5">
      <c r="B57" s="1151"/>
      <c r="C57" s="1140"/>
      <c r="D57" s="220" t="s">
        <v>82</v>
      </c>
      <c r="E57" s="221"/>
      <c r="F57" s="221" t="s">
        <v>20</v>
      </c>
      <c r="G57" s="223"/>
      <c r="H57" s="271"/>
      <c r="I57" s="272"/>
      <c r="J57" s="271"/>
      <c r="K57" s="272"/>
      <c r="L57" s="271"/>
      <c r="M57" s="272"/>
      <c r="N57" s="271"/>
      <c r="O57" s="272"/>
    </row>
    <row r="58" spans="2:15" s="238" customFormat="1" ht="21" customHeight="1" thickBot="1" x14ac:dyDescent="0.55000000000000004">
      <c r="B58" s="1151"/>
      <c r="C58" s="1141"/>
      <c r="D58" s="460" t="s">
        <v>83</v>
      </c>
      <c r="E58" s="29"/>
      <c r="F58" s="29" t="s">
        <v>84</v>
      </c>
      <c r="G58" s="461" t="s">
        <v>21</v>
      </c>
      <c r="H58" s="271"/>
      <c r="I58" s="272"/>
      <c r="J58" s="271"/>
      <c r="K58" s="272"/>
      <c r="L58" s="271"/>
      <c r="M58" s="272"/>
      <c r="N58" s="271"/>
      <c r="O58" s="272"/>
    </row>
    <row r="59" spans="2:15" s="238" customFormat="1" ht="16.149999999999999" customHeight="1" x14ac:dyDescent="0.5">
      <c r="B59" s="1151"/>
      <c r="C59" s="1139" t="s">
        <v>85</v>
      </c>
      <c r="D59" s="224" t="s">
        <v>58</v>
      </c>
      <c r="E59" s="225" t="s">
        <v>59</v>
      </c>
      <c r="F59" s="225" t="s">
        <v>21</v>
      </c>
      <c r="G59" s="226" t="s">
        <v>60</v>
      </c>
      <c r="H59" s="268"/>
      <c r="I59" s="270"/>
      <c r="J59" s="268"/>
      <c r="K59" s="270"/>
      <c r="L59" s="268"/>
      <c r="M59" s="270"/>
      <c r="N59" s="268"/>
      <c r="O59" s="270"/>
    </row>
    <row r="60" spans="2:15" s="238" customFormat="1" ht="20.25" x14ac:dyDescent="0.5">
      <c r="B60" s="1151"/>
      <c r="C60" s="1140"/>
      <c r="D60" s="459" t="s">
        <v>86</v>
      </c>
      <c r="E60" s="19" t="s">
        <v>39</v>
      </c>
      <c r="F60" s="19" t="s">
        <v>87</v>
      </c>
      <c r="G60" s="126" t="s">
        <v>63</v>
      </c>
      <c r="H60" s="273"/>
      <c r="I60" s="274"/>
      <c r="J60" s="273"/>
      <c r="K60" s="274"/>
      <c r="L60" s="273"/>
      <c r="M60" s="274"/>
      <c r="N60" s="273"/>
      <c r="O60" s="274"/>
    </row>
    <row r="61" spans="2:15" s="238" customFormat="1" ht="15" x14ac:dyDescent="0.5">
      <c r="B61" s="1151"/>
      <c r="C61" s="1140"/>
      <c r="D61" s="227" t="s">
        <v>88</v>
      </c>
      <c r="E61" s="228" t="s">
        <v>65</v>
      </c>
      <c r="F61" s="228" t="s">
        <v>89</v>
      </c>
      <c r="G61" s="222" t="s">
        <v>67</v>
      </c>
      <c r="H61" s="273"/>
      <c r="I61" s="274"/>
      <c r="J61" s="273"/>
      <c r="K61" s="274"/>
      <c r="L61" s="273"/>
      <c r="M61" s="274"/>
      <c r="N61" s="273"/>
      <c r="O61" s="274"/>
    </row>
    <row r="62" spans="2:15" s="238" customFormat="1" ht="15" x14ac:dyDescent="0.5">
      <c r="B62" s="1151"/>
      <c r="C62" s="1140"/>
      <c r="D62" s="459" t="s">
        <v>68</v>
      </c>
      <c r="E62" s="19" t="s">
        <v>69</v>
      </c>
      <c r="F62" s="19" t="s">
        <v>70</v>
      </c>
      <c r="G62" s="126" t="s">
        <v>71</v>
      </c>
      <c r="H62" s="273"/>
      <c r="I62" s="274"/>
      <c r="J62" s="273"/>
      <c r="K62" s="274"/>
      <c r="L62" s="273"/>
      <c r="M62" s="274"/>
      <c r="N62" s="273"/>
      <c r="O62" s="274"/>
    </row>
    <row r="63" spans="2:15" s="238" customFormat="1" ht="15" x14ac:dyDescent="0.5">
      <c r="B63" s="1151"/>
      <c r="C63" s="1140"/>
      <c r="D63" s="227" t="s">
        <v>68</v>
      </c>
      <c r="E63" s="221" t="s">
        <v>72</v>
      </c>
      <c r="F63" s="221" t="s">
        <v>73</v>
      </c>
      <c r="G63" s="222"/>
      <c r="H63" s="271"/>
      <c r="I63" s="272"/>
      <c r="J63" s="271"/>
      <c r="K63" s="272"/>
      <c r="L63" s="271"/>
      <c r="M63" s="272"/>
      <c r="N63" s="271"/>
      <c r="O63" s="272"/>
    </row>
    <row r="64" spans="2:15" s="238" customFormat="1" ht="15" x14ac:dyDescent="0.5">
      <c r="B64" s="1151"/>
      <c r="C64" s="1140"/>
      <c r="D64" s="460" t="s">
        <v>74</v>
      </c>
      <c r="E64" s="29" t="s">
        <v>72</v>
      </c>
      <c r="F64" s="29" t="s">
        <v>73</v>
      </c>
      <c r="G64" s="126" t="s">
        <v>75</v>
      </c>
      <c r="H64" s="271"/>
      <c r="I64" s="272"/>
      <c r="J64" s="271"/>
      <c r="K64" s="272"/>
      <c r="L64" s="271"/>
      <c r="M64" s="272"/>
      <c r="N64" s="271"/>
      <c r="O64" s="272"/>
    </row>
    <row r="65" spans="2:15" s="238" customFormat="1" ht="15" x14ac:dyDescent="0.5">
      <c r="B65" s="1151"/>
      <c r="C65" s="1140"/>
      <c r="D65" s="220" t="s">
        <v>76</v>
      </c>
      <c r="E65" s="221" t="s">
        <v>77</v>
      </c>
      <c r="F65" s="221" t="s">
        <v>73</v>
      </c>
      <c r="G65" s="223" t="s">
        <v>78</v>
      </c>
      <c r="H65" s="271"/>
      <c r="I65" s="272"/>
      <c r="J65" s="271"/>
      <c r="K65" s="272"/>
      <c r="L65" s="271"/>
      <c r="M65" s="272"/>
      <c r="N65" s="271"/>
      <c r="O65" s="272"/>
    </row>
    <row r="66" spans="2:15" s="238" customFormat="1" ht="15" x14ac:dyDescent="0.5">
      <c r="B66" s="1151"/>
      <c r="C66" s="1140"/>
      <c r="D66" s="460" t="s">
        <v>79</v>
      </c>
      <c r="E66" s="29"/>
      <c r="F66" s="29" t="s">
        <v>20</v>
      </c>
      <c r="G66" s="461"/>
      <c r="H66" s="271"/>
      <c r="I66" s="272"/>
      <c r="J66" s="271"/>
      <c r="K66" s="272"/>
      <c r="L66" s="271"/>
      <c r="M66" s="272"/>
      <c r="N66" s="271"/>
      <c r="O66" s="272"/>
    </row>
    <row r="67" spans="2:15" s="238" customFormat="1" ht="15" x14ac:dyDescent="0.5">
      <c r="B67" s="1151"/>
      <c r="C67" s="1140"/>
      <c r="D67" s="220" t="s">
        <v>80</v>
      </c>
      <c r="E67" s="221" t="s">
        <v>72</v>
      </c>
      <c r="F67" s="221" t="s">
        <v>73</v>
      </c>
      <c r="G67" s="223" t="s">
        <v>81</v>
      </c>
      <c r="H67" s="271"/>
      <c r="I67" s="272"/>
      <c r="J67" s="271"/>
      <c r="K67" s="272"/>
      <c r="L67" s="271"/>
      <c r="M67" s="272"/>
      <c r="N67" s="271"/>
      <c r="O67" s="272"/>
    </row>
    <row r="68" spans="2:15" s="238" customFormat="1" ht="15" x14ac:dyDescent="0.5">
      <c r="B68" s="1151"/>
      <c r="C68" s="1140"/>
      <c r="D68" s="460" t="s">
        <v>76</v>
      </c>
      <c r="E68" s="29" t="s">
        <v>77</v>
      </c>
      <c r="F68" s="29" t="s">
        <v>73</v>
      </c>
      <c r="G68" s="461" t="s">
        <v>78</v>
      </c>
      <c r="H68" s="271"/>
      <c r="I68" s="272"/>
      <c r="J68" s="271"/>
      <c r="K68" s="272"/>
      <c r="L68" s="271"/>
      <c r="M68" s="272"/>
      <c r="N68" s="271"/>
      <c r="O68" s="272"/>
    </row>
    <row r="69" spans="2:15" s="238" customFormat="1" ht="15" x14ac:dyDescent="0.5">
      <c r="B69" s="1151"/>
      <c r="C69" s="1140"/>
      <c r="D69" s="220" t="s">
        <v>82</v>
      </c>
      <c r="E69" s="221"/>
      <c r="F69" s="221" t="s">
        <v>20</v>
      </c>
      <c r="G69" s="223"/>
      <c r="H69" s="271"/>
      <c r="I69" s="272"/>
      <c r="J69" s="271"/>
      <c r="K69" s="272"/>
      <c r="L69" s="271"/>
      <c r="M69" s="272"/>
      <c r="N69" s="271"/>
      <c r="O69" s="272"/>
    </row>
    <row r="70" spans="2:15" s="238" customFormat="1" ht="21.75" customHeight="1" thickBot="1" x14ac:dyDescent="0.55000000000000004">
      <c r="B70" s="1151"/>
      <c r="C70" s="1141"/>
      <c r="D70" s="460" t="s">
        <v>83</v>
      </c>
      <c r="E70" s="29"/>
      <c r="F70" s="29" t="s">
        <v>84</v>
      </c>
      <c r="G70" s="461" t="s">
        <v>21</v>
      </c>
      <c r="H70" s="266"/>
      <c r="I70" s="267"/>
      <c r="J70" s="266"/>
      <c r="K70" s="267"/>
      <c r="L70" s="266"/>
      <c r="M70" s="267"/>
      <c r="N70" s="266"/>
      <c r="O70" s="267"/>
    </row>
    <row r="71" spans="2:15" s="238" customFormat="1" ht="16.149999999999999" customHeight="1" x14ac:dyDescent="0.5">
      <c r="B71" s="1151"/>
      <c r="C71" s="1139" t="s">
        <v>90</v>
      </c>
      <c r="D71" s="224" t="s">
        <v>58</v>
      </c>
      <c r="E71" s="225" t="s">
        <v>59</v>
      </c>
      <c r="F71" s="225" t="s">
        <v>21</v>
      </c>
      <c r="G71" s="226" t="s">
        <v>60</v>
      </c>
      <c r="H71" s="262"/>
      <c r="I71" s="263"/>
      <c r="J71" s="262"/>
      <c r="K71" s="263"/>
      <c r="L71" s="262"/>
      <c r="M71" s="263"/>
      <c r="N71" s="262"/>
      <c r="O71" s="263"/>
    </row>
    <row r="72" spans="2:15" s="238" customFormat="1" ht="20.25" x14ac:dyDescent="0.5">
      <c r="B72" s="1151"/>
      <c r="C72" s="1140"/>
      <c r="D72" s="459" t="s">
        <v>86</v>
      </c>
      <c r="E72" s="19" t="s">
        <v>39</v>
      </c>
      <c r="F72" s="19" t="s">
        <v>62</v>
      </c>
      <c r="G72" s="126" t="s">
        <v>63</v>
      </c>
      <c r="H72" s="273"/>
      <c r="I72" s="274"/>
      <c r="J72" s="273"/>
      <c r="K72" s="274"/>
      <c r="L72" s="273"/>
      <c r="M72" s="274"/>
      <c r="N72" s="273"/>
      <c r="O72" s="274"/>
    </row>
    <row r="73" spans="2:15" s="238" customFormat="1" ht="15" x14ac:dyDescent="0.5">
      <c r="B73" s="1151"/>
      <c r="C73" s="1140"/>
      <c r="D73" s="227" t="s">
        <v>91</v>
      </c>
      <c r="E73" s="228" t="s">
        <v>65</v>
      </c>
      <c r="F73" s="228" t="s">
        <v>66</v>
      </c>
      <c r="G73" s="222" t="s">
        <v>67</v>
      </c>
      <c r="H73" s="273"/>
      <c r="I73" s="274"/>
      <c r="J73" s="273"/>
      <c r="K73" s="274"/>
      <c r="L73" s="273"/>
      <c r="M73" s="274"/>
      <c r="N73" s="273"/>
      <c r="O73" s="274"/>
    </row>
    <row r="74" spans="2:15" s="238" customFormat="1" ht="15" x14ac:dyDescent="0.5">
      <c r="B74" s="1151"/>
      <c r="C74" s="1140"/>
      <c r="D74" s="459" t="s">
        <v>68</v>
      </c>
      <c r="E74" s="19" t="s">
        <v>69</v>
      </c>
      <c r="F74" s="19" t="s">
        <v>70</v>
      </c>
      <c r="G74" s="126" t="s">
        <v>71</v>
      </c>
      <c r="H74" s="273"/>
      <c r="I74" s="274"/>
      <c r="J74" s="273"/>
      <c r="K74" s="274"/>
      <c r="L74" s="273"/>
      <c r="M74" s="274"/>
      <c r="N74" s="273"/>
      <c r="O74" s="274"/>
    </row>
    <row r="75" spans="2:15" s="238" customFormat="1" ht="15" x14ac:dyDescent="0.5">
      <c r="B75" s="1151"/>
      <c r="C75" s="1140"/>
      <c r="D75" s="227" t="s">
        <v>68</v>
      </c>
      <c r="E75" s="221" t="s">
        <v>72</v>
      </c>
      <c r="F75" s="221" t="s">
        <v>73</v>
      </c>
      <c r="G75" s="222"/>
      <c r="H75" s="271"/>
      <c r="I75" s="272"/>
      <c r="J75" s="271"/>
      <c r="K75" s="272"/>
      <c r="L75" s="271"/>
      <c r="M75" s="272"/>
      <c r="N75" s="271"/>
      <c r="O75" s="272"/>
    </row>
    <row r="76" spans="2:15" s="238" customFormat="1" ht="15" x14ac:dyDescent="0.5">
      <c r="B76" s="1151"/>
      <c r="C76" s="1140"/>
      <c r="D76" s="460" t="s">
        <v>74</v>
      </c>
      <c r="E76" s="29" t="s">
        <v>72</v>
      </c>
      <c r="F76" s="29" t="s">
        <v>73</v>
      </c>
      <c r="G76" s="126" t="s">
        <v>75</v>
      </c>
      <c r="H76" s="271"/>
      <c r="I76" s="272"/>
      <c r="J76" s="271"/>
      <c r="K76" s="272"/>
      <c r="L76" s="271"/>
      <c r="M76" s="272"/>
      <c r="N76" s="271"/>
      <c r="O76" s="272"/>
    </row>
    <row r="77" spans="2:15" s="238" customFormat="1" ht="15" x14ac:dyDescent="0.5">
      <c r="B77" s="1151"/>
      <c r="C77" s="1140"/>
      <c r="D77" s="68" t="s">
        <v>79</v>
      </c>
      <c r="E77" s="24"/>
      <c r="F77" s="24" t="s">
        <v>20</v>
      </c>
      <c r="G77" s="67"/>
      <c r="H77" s="271"/>
      <c r="I77" s="272"/>
      <c r="J77" s="271"/>
      <c r="K77" s="272"/>
      <c r="L77" s="271"/>
      <c r="M77" s="272"/>
      <c r="N77" s="271"/>
      <c r="O77" s="272"/>
    </row>
    <row r="78" spans="2:15" s="238" customFormat="1" ht="20.25" x14ac:dyDescent="0.5">
      <c r="B78" s="1151"/>
      <c r="C78" s="1140"/>
      <c r="D78" s="460" t="s">
        <v>92</v>
      </c>
      <c r="E78" s="29"/>
      <c r="F78" s="29" t="s">
        <v>93</v>
      </c>
      <c r="G78" s="461"/>
      <c r="H78" s="271"/>
      <c r="I78" s="272"/>
      <c r="J78" s="271"/>
      <c r="K78" s="272"/>
      <c r="L78" s="271"/>
      <c r="M78" s="272"/>
      <c r="N78" s="271"/>
      <c r="O78" s="272"/>
    </row>
    <row r="79" spans="2:15" s="238" customFormat="1" ht="15" x14ac:dyDescent="0.5">
      <c r="B79" s="1151"/>
      <c r="C79" s="1140"/>
      <c r="D79" s="68" t="s">
        <v>82</v>
      </c>
      <c r="E79" s="24"/>
      <c r="F79" s="24" t="s">
        <v>20</v>
      </c>
      <c r="G79" s="67"/>
      <c r="H79" s="271"/>
      <c r="I79" s="272"/>
      <c r="J79" s="271"/>
      <c r="K79" s="272"/>
      <c r="L79" s="271"/>
      <c r="M79" s="272"/>
      <c r="N79" s="271"/>
      <c r="O79" s="272"/>
    </row>
    <row r="80" spans="2:15" s="238" customFormat="1" ht="21" customHeight="1" thickBot="1" x14ac:dyDescent="0.55000000000000004">
      <c r="B80" s="1171"/>
      <c r="C80" s="1141"/>
      <c r="D80" s="460" t="s">
        <v>83</v>
      </c>
      <c r="E80" s="29"/>
      <c r="F80" s="29" t="s">
        <v>84</v>
      </c>
      <c r="G80" s="461" t="s">
        <v>21</v>
      </c>
      <c r="H80" s="271"/>
      <c r="I80" s="272"/>
      <c r="J80" s="271"/>
      <c r="K80" s="272"/>
      <c r="L80" s="271"/>
      <c r="M80" s="272"/>
      <c r="N80" s="271"/>
      <c r="O80" s="272"/>
    </row>
    <row r="81" spans="2:15" s="238" customFormat="1" ht="15" x14ac:dyDescent="0.5">
      <c r="B81" s="1159" t="s">
        <v>94</v>
      </c>
      <c r="C81" s="1161" t="s">
        <v>95</v>
      </c>
      <c r="D81" s="69" t="s">
        <v>58</v>
      </c>
      <c r="E81" s="28" t="s">
        <v>59</v>
      </c>
      <c r="F81" s="28" t="s">
        <v>21</v>
      </c>
      <c r="G81" s="26" t="s">
        <v>21</v>
      </c>
      <c r="H81" s="268"/>
      <c r="I81" s="270"/>
      <c r="J81" s="268"/>
      <c r="K81" s="270"/>
      <c r="L81" s="268"/>
      <c r="M81" s="270"/>
      <c r="N81" s="268"/>
      <c r="O81" s="270"/>
    </row>
    <row r="82" spans="2:15" s="238" customFormat="1" ht="15" x14ac:dyDescent="0.5">
      <c r="B82" s="1160"/>
      <c r="C82" s="1140"/>
      <c r="D82" s="434" t="s">
        <v>96</v>
      </c>
      <c r="E82" s="435" t="s">
        <v>72</v>
      </c>
      <c r="F82" s="435" t="s">
        <v>21</v>
      </c>
      <c r="G82" s="462"/>
      <c r="H82" s="262"/>
      <c r="I82" s="263"/>
      <c r="J82" s="262"/>
      <c r="K82" s="263"/>
      <c r="L82" s="262"/>
      <c r="M82" s="263"/>
      <c r="N82" s="262"/>
      <c r="O82" s="263"/>
    </row>
    <row r="83" spans="2:15" s="238" customFormat="1" ht="15" x14ac:dyDescent="0.5">
      <c r="B83" s="1160"/>
      <c r="C83" s="1140"/>
      <c r="D83" s="63" t="s">
        <v>76</v>
      </c>
      <c r="E83" s="27" t="s">
        <v>77</v>
      </c>
      <c r="F83" s="27" t="s">
        <v>21</v>
      </c>
      <c r="G83" s="47"/>
      <c r="H83" s="262"/>
      <c r="I83" s="263"/>
      <c r="J83" s="262"/>
      <c r="K83" s="263"/>
      <c r="L83" s="262"/>
      <c r="M83" s="263"/>
      <c r="N83" s="262"/>
      <c r="O83" s="263"/>
    </row>
    <row r="84" spans="2:15" s="238" customFormat="1" ht="15" x14ac:dyDescent="0.5">
      <c r="B84" s="1160"/>
      <c r="C84" s="1140"/>
      <c r="D84" s="459" t="s">
        <v>86</v>
      </c>
      <c r="E84" s="19" t="s">
        <v>39</v>
      </c>
      <c r="F84" s="19" t="s">
        <v>97</v>
      </c>
      <c r="G84" s="126" t="s">
        <v>21</v>
      </c>
      <c r="H84" s="273"/>
      <c r="I84" s="274"/>
      <c r="J84" s="273"/>
      <c r="K84" s="274"/>
      <c r="L84" s="273"/>
      <c r="M84" s="274"/>
      <c r="N84" s="273"/>
      <c r="O84" s="274"/>
    </row>
    <row r="85" spans="2:15" s="238" customFormat="1" ht="15" x14ac:dyDescent="0.5">
      <c r="B85" s="1160"/>
      <c r="C85" s="1140"/>
      <c r="D85" s="64" t="s">
        <v>98</v>
      </c>
      <c r="E85" s="8" t="s">
        <v>65</v>
      </c>
      <c r="F85" s="8" t="s">
        <v>66</v>
      </c>
      <c r="G85" s="22" t="s">
        <v>21</v>
      </c>
      <c r="H85" s="273"/>
      <c r="I85" s="274"/>
      <c r="J85" s="273"/>
      <c r="K85" s="274"/>
      <c r="L85" s="273"/>
      <c r="M85" s="274"/>
      <c r="N85" s="273"/>
      <c r="O85" s="274"/>
    </row>
    <row r="86" spans="2:15" s="238" customFormat="1" ht="15" x14ac:dyDescent="0.5">
      <c r="B86" s="1160"/>
      <c r="C86" s="1140"/>
      <c r="D86" s="459" t="s">
        <v>68</v>
      </c>
      <c r="E86" s="19" t="s">
        <v>69</v>
      </c>
      <c r="F86" s="19" t="s">
        <v>21</v>
      </c>
      <c r="G86" s="126" t="s">
        <v>21</v>
      </c>
      <c r="H86" s="273"/>
      <c r="I86" s="274"/>
      <c r="J86" s="273"/>
      <c r="K86" s="274"/>
      <c r="L86" s="273"/>
      <c r="M86" s="274"/>
      <c r="N86" s="273"/>
      <c r="O86" s="274"/>
    </row>
    <row r="87" spans="2:15" s="238" customFormat="1" ht="15" x14ac:dyDescent="0.5">
      <c r="B87" s="1160"/>
      <c r="C87" s="1140"/>
      <c r="D87" s="64" t="s">
        <v>68</v>
      </c>
      <c r="E87" s="8" t="s">
        <v>72</v>
      </c>
      <c r="F87" s="8" t="s">
        <v>73</v>
      </c>
      <c r="G87" s="22" t="s">
        <v>21</v>
      </c>
      <c r="H87" s="271"/>
      <c r="I87" s="272"/>
      <c r="J87" s="271"/>
      <c r="K87" s="272"/>
      <c r="L87" s="271"/>
      <c r="M87" s="272"/>
      <c r="N87" s="271"/>
      <c r="O87" s="272"/>
    </row>
    <row r="88" spans="2:15" s="238" customFormat="1" ht="15" x14ac:dyDescent="0.5">
      <c r="B88" s="1160"/>
      <c r="C88" s="1140"/>
      <c r="D88" s="460" t="s">
        <v>82</v>
      </c>
      <c r="E88" s="29"/>
      <c r="F88" s="29" t="s">
        <v>20</v>
      </c>
      <c r="G88" s="461"/>
      <c r="H88" s="271"/>
      <c r="I88" s="272"/>
      <c r="J88" s="271"/>
      <c r="K88" s="272"/>
      <c r="L88" s="271"/>
      <c r="M88" s="272"/>
      <c r="N88" s="271"/>
      <c r="O88" s="272"/>
    </row>
    <row r="89" spans="2:15" s="238" customFormat="1" ht="21.75" customHeight="1" thickBot="1" x14ac:dyDescent="0.55000000000000004">
      <c r="B89" s="1160"/>
      <c r="C89" s="1141"/>
      <c r="D89" s="68" t="s">
        <v>83</v>
      </c>
      <c r="E89" s="24" t="s">
        <v>69</v>
      </c>
      <c r="F89" s="24" t="s">
        <v>84</v>
      </c>
      <c r="G89" s="67" t="s">
        <v>21</v>
      </c>
      <c r="H89" s="266"/>
      <c r="I89" s="267"/>
      <c r="J89" s="266"/>
      <c r="K89" s="267"/>
      <c r="L89" s="266"/>
      <c r="M89" s="267"/>
      <c r="N89" s="266"/>
      <c r="O89" s="267"/>
    </row>
    <row r="90" spans="2:15" s="238" customFormat="1" ht="15" x14ac:dyDescent="0.5">
      <c r="B90" s="1160"/>
      <c r="C90" s="1139" t="s">
        <v>99</v>
      </c>
      <c r="D90" s="463" t="s">
        <v>58</v>
      </c>
      <c r="E90" s="124" t="s">
        <v>59</v>
      </c>
      <c r="F90" s="124" t="s">
        <v>21</v>
      </c>
      <c r="G90" s="125" t="s">
        <v>21</v>
      </c>
      <c r="H90" s="268"/>
      <c r="I90" s="270"/>
      <c r="J90" s="268"/>
      <c r="K90" s="270"/>
      <c r="L90" s="268"/>
      <c r="M90" s="270"/>
      <c r="N90" s="268"/>
      <c r="O90" s="270"/>
    </row>
    <row r="91" spans="2:15" s="238" customFormat="1" ht="15" x14ac:dyDescent="0.5">
      <c r="B91" s="1160"/>
      <c r="C91" s="1140"/>
      <c r="D91" s="64" t="s">
        <v>86</v>
      </c>
      <c r="E91" s="8" t="s">
        <v>39</v>
      </c>
      <c r="F91" s="8" t="s">
        <v>97</v>
      </c>
      <c r="G91" s="22" t="s">
        <v>21</v>
      </c>
      <c r="H91" s="273"/>
      <c r="I91" s="274"/>
      <c r="J91" s="273"/>
      <c r="K91" s="274"/>
      <c r="L91" s="273"/>
      <c r="M91" s="274"/>
      <c r="N91" s="273"/>
      <c r="O91" s="274"/>
    </row>
    <row r="92" spans="2:15" s="238" customFormat="1" ht="15" x14ac:dyDescent="0.5">
      <c r="B92" s="1160"/>
      <c r="C92" s="1140"/>
      <c r="D92" s="434" t="s">
        <v>100</v>
      </c>
      <c r="E92" s="435" t="s">
        <v>72</v>
      </c>
      <c r="F92" s="435" t="s">
        <v>21</v>
      </c>
      <c r="G92" s="462"/>
      <c r="H92" s="262"/>
      <c r="I92" s="263"/>
      <c r="J92" s="262"/>
      <c r="K92" s="263"/>
      <c r="L92" s="262"/>
      <c r="M92" s="263"/>
      <c r="N92" s="262"/>
      <c r="O92" s="263"/>
    </row>
    <row r="93" spans="2:15" s="238" customFormat="1" ht="15" x14ac:dyDescent="0.5">
      <c r="B93" s="1160"/>
      <c r="C93" s="1140"/>
      <c r="D93" s="63" t="s">
        <v>76</v>
      </c>
      <c r="E93" s="27" t="s">
        <v>77</v>
      </c>
      <c r="F93" s="27" t="s">
        <v>21</v>
      </c>
      <c r="G93" s="47"/>
      <c r="H93" s="262"/>
      <c r="I93" s="263"/>
      <c r="J93" s="262"/>
      <c r="K93" s="263"/>
      <c r="L93" s="262"/>
      <c r="M93" s="263"/>
      <c r="N93" s="262"/>
      <c r="O93" s="263"/>
    </row>
    <row r="94" spans="2:15" s="238" customFormat="1" ht="15" x14ac:dyDescent="0.5">
      <c r="B94" s="1160"/>
      <c r="C94" s="1140"/>
      <c r="D94" s="459" t="s">
        <v>98</v>
      </c>
      <c r="E94" s="19" t="s">
        <v>65</v>
      </c>
      <c r="F94" s="19" t="s">
        <v>66</v>
      </c>
      <c r="G94" s="126" t="s">
        <v>21</v>
      </c>
      <c r="H94" s="273"/>
      <c r="I94" s="274"/>
      <c r="J94" s="273"/>
      <c r="K94" s="274"/>
      <c r="L94" s="273"/>
      <c r="M94" s="274"/>
      <c r="N94" s="273"/>
      <c r="O94" s="274"/>
    </row>
    <row r="95" spans="2:15" s="238" customFormat="1" ht="15" x14ac:dyDescent="0.5">
      <c r="B95" s="1160"/>
      <c r="C95" s="1140"/>
      <c r="D95" s="64" t="s">
        <v>68</v>
      </c>
      <c r="E95" s="8" t="s">
        <v>69</v>
      </c>
      <c r="F95" s="8" t="s">
        <v>21</v>
      </c>
      <c r="G95" s="22" t="s">
        <v>21</v>
      </c>
      <c r="H95" s="273"/>
      <c r="I95" s="274"/>
      <c r="J95" s="273"/>
      <c r="K95" s="274"/>
      <c r="L95" s="273"/>
      <c r="M95" s="274"/>
      <c r="N95" s="273"/>
      <c r="O95" s="274"/>
    </row>
    <row r="96" spans="2:15" s="238" customFormat="1" ht="15" x14ac:dyDescent="0.5">
      <c r="B96" s="1160"/>
      <c r="C96" s="1140"/>
      <c r="D96" s="459" t="s">
        <v>68</v>
      </c>
      <c r="E96" s="19" t="s">
        <v>72</v>
      </c>
      <c r="F96" s="19" t="s">
        <v>73</v>
      </c>
      <c r="G96" s="126" t="s">
        <v>21</v>
      </c>
      <c r="H96" s="271"/>
      <c r="I96" s="272"/>
      <c r="J96" s="271"/>
      <c r="K96" s="272"/>
      <c r="L96" s="271"/>
      <c r="M96" s="272"/>
      <c r="N96" s="271"/>
      <c r="O96" s="272"/>
    </row>
    <row r="97" spans="2:15" s="238" customFormat="1" ht="15" x14ac:dyDescent="0.5">
      <c r="B97" s="1160"/>
      <c r="C97" s="1140"/>
      <c r="D97" s="68" t="s">
        <v>82</v>
      </c>
      <c r="E97" s="24"/>
      <c r="F97" s="24" t="s">
        <v>20</v>
      </c>
      <c r="G97" s="67"/>
      <c r="H97" s="271"/>
      <c r="I97" s="272"/>
      <c r="J97" s="271"/>
      <c r="K97" s="272"/>
      <c r="L97" s="271"/>
      <c r="M97" s="272"/>
      <c r="N97" s="271"/>
      <c r="O97" s="272"/>
    </row>
    <row r="98" spans="2:15" s="238" customFormat="1" ht="23.25" customHeight="1" thickBot="1" x14ac:dyDescent="0.55000000000000004">
      <c r="B98" s="1160"/>
      <c r="C98" s="1141"/>
      <c r="D98" s="460" t="s">
        <v>83</v>
      </c>
      <c r="E98" s="29" t="s">
        <v>69</v>
      </c>
      <c r="F98" s="29" t="s">
        <v>84</v>
      </c>
      <c r="G98" s="461" t="s">
        <v>21</v>
      </c>
      <c r="H98" s="271"/>
      <c r="I98" s="272"/>
      <c r="J98" s="271"/>
      <c r="K98" s="272"/>
      <c r="L98" s="271"/>
      <c r="M98" s="272"/>
      <c r="N98" s="271"/>
      <c r="O98" s="272"/>
    </row>
    <row r="99" spans="2:15" s="238" customFormat="1" ht="15" x14ac:dyDescent="0.5">
      <c r="B99" s="1160"/>
      <c r="C99" s="1139" t="s">
        <v>101</v>
      </c>
      <c r="D99" s="69" t="s">
        <v>58</v>
      </c>
      <c r="E99" s="28" t="s">
        <v>59</v>
      </c>
      <c r="F99" s="28" t="s">
        <v>21</v>
      </c>
      <c r="G99" s="26"/>
      <c r="H99" s="269"/>
      <c r="I99" s="270"/>
      <c r="J99" s="269"/>
      <c r="K99" s="270"/>
      <c r="L99" s="269"/>
      <c r="M99" s="270"/>
      <c r="N99" s="269"/>
      <c r="O99" s="270"/>
    </row>
    <row r="100" spans="2:15" s="238" customFormat="1" ht="15" x14ac:dyDescent="0.5">
      <c r="B100" s="1160"/>
      <c r="C100" s="1140"/>
      <c r="D100" s="434" t="s">
        <v>100</v>
      </c>
      <c r="E100" s="435" t="s">
        <v>72</v>
      </c>
      <c r="F100" s="435" t="s">
        <v>21</v>
      </c>
      <c r="G100" s="462"/>
      <c r="H100" s="262"/>
      <c r="I100" s="263"/>
      <c r="J100" s="262"/>
      <c r="K100" s="263"/>
      <c r="L100" s="262"/>
      <c r="M100" s="263"/>
      <c r="N100" s="262"/>
      <c r="O100" s="263"/>
    </row>
    <row r="101" spans="2:15" s="238" customFormat="1" ht="15" x14ac:dyDescent="0.5">
      <c r="B101" s="1160"/>
      <c r="C101" s="1140"/>
      <c r="D101" s="63" t="s">
        <v>76</v>
      </c>
      <c r="E101" s="27" t="s">
        <v>77</v>
      </c>
      <c r="F101" s="27" t="s">
        <v>21</v>
      </c>
      <c r="G101" s="47"/>
      <c r="H101" s="262"/>
      <c r="I101" s="263"/>
      <c r="J101" s="262"/>
      <c r="K101" s="263"/>
      <c r="L101" s="262"/>
      <c r="M101" s="263"/>
      <c r="N101" s="262"/>
      <c r="O101" s="263"/>
    </row>
    <row r="102" spans="2:15" s="238" customFormat="1" ht="15" x14ac:dyDescent="0.5">
      <c r="B102" s="1160"/>
      <c r="C102" s="1140"/>
      <c r="D102" s="459" t="s">
        <v>61</v>
      </c>
      <c r="E102" s="19" t="s">
        <v>39</v>
      </c>
      <c r="F102" s="19" t="s">
        <v>97</v>
      </c>
      <c r="G102" s="126" t="s">
        <v>21</v>
      </c>
      <c r="H102" s="273"/>
      <c r="I102" s="274"/>
      <c r="J102" s="273"/>
      <c r="K102" s="274"/>
      <c r="L102" s="273"/>
      <c r="M102" s="274"/>
      <c r="N102" s="273"/>
      <c r="O102" s="274"/>
    </row>
    <row r="103" spans="2:15" s="238" customFormat="1" ht="15" x14ac:dyDescent="0.5">
      <c r="B103" s="1160"/>
      <c r="C103" s="1140"/>
      <c r="D103" s="68" t="s">
        <v>98</v>
      </c>
      <c r="E103" s="24" t="s">
        <v>65</v>
      </c>
      <c r="F103" s="24" t="s">
        <v>66</v>
      </c>
      <c r="G103" s="67" t="s">
        <v>21</v>
      </c>
      <c r="H103" s="273"/>
      <c r="I103" s="274"/>
      <c r="J103" s="273"/>
      <c r="K103" s="274"/>
      <c r="L103" s="273"/>
      <c r="M103" s="274"/>
      <c r="N103" s="273"/>
      <c r="O103" s="274"/>
    </row>
    <row r="104" spans="2:15" s="238" customFormat="1" ht="15" x14ac:dyDescent="0.5">
      <c r="B104" s="1160"/>
      <c r="C104" s="1140"/>
      <c r="D104" s="459" t="s">
        <v>68</v>
      </c>
      <c r="E104" s="19" t="s">
        <v>72</v>
      </c>
      <c r="F104" s="19" t="s">
        <v>73</v>
      </c>
      <c r="G104" s="126" t="s">
        <v>21</v>
      </c>
      <c r="H104" s="273"/>
      <c r="I104" s="274"/>
      <c r="J104" s="273"/>
      <c r="K104" s="274"/>
      <c r="L104" s="273"/>
      <c r="M104" s="274"/>
      <c r="N104" s="273"/>
      <c r="O104" s="274"/>
    </row>
    <row r="105" spans="2:15" s="238" customFormat="1" ht="15" x14ac:dyDescent="0.5">
      <c r="B105" s="1160"/>
      <c r="C105" s="1140"/>
      <c r="D105" s="64" t="s">
        <v>68</v>
      </c>
      <c r="E105" s="8" t="s">
        <v>69</v>
      </c>
      <c r="F105" s="8" t="s">
        <v>70</v>
      </c>
      <c r="G105" s="22" t="s">
        <v>21</v>
      </c>
      <c r="H105" s="271"/>
      <c r="I105" s="272"/>
      <c r="J105" s="271"/>
      <c r="K105" s="272"/>
      <c r="L105" s="271"/>
      <c r="M105" s="272"/>
      <c r="N105" s="271"/>
      <c r="O105" s="272"/>
    </row>
    <row r="106" spans="2:15" s="238" customFormat="1" ht="15" x14ac:dyDescent="0.5">
      <c r="B106" s="1160"/>
      <c r="C106" s="1140"/>
      <c r="D106" s="460" t="s">
        <v>82</v>
      </c>
      <c r="E106" s="29"/>
      <c r="F106" s="29" t="s">
        <v>20</v>
      </c>
      <c r="G106" s="461"/>
      <c r="H106" s="271"/>
      <c r="I106" s="272"/>
      <c r="J106" s="271"/>
      <c r="K106" s="272"/>
      <c r="L106" s="271"/>
      <c r="M106" s="272"/>
      <c r="N106" s="271"/>
      <c r="O106" s="272"/>
    </row>
    <row r="107" spans="2:15" s="238" customFormat="1" ht="19.5" customHeight="1" thickBot="1" x14ac:dyDescent="0.55000000000000004">
      <c r="B107" s="1160"/>
      <c r="C107" s="1141"/>
      <c r="D107" s="65" t="s">
        <v>83</v>
      </c>
      <c r="E107" s="23" t="s">
        <v>21</v>
      </c>
      <c r="F107" s="23" t="s">
        <v>84</v>
      </c>
      <c r="G107" s="25" t="s">
        <v>21</v>
      </c>
      <c r="H107" s="266"/>
      <c r="I107" s="267"/>
      <c r="J107" s="266"/>
      <c r="K107" s="267"/>
      <c r="L107" s="266"/>
      <c r="M107" s="267"/>
      <c r="N107" s="266"/>
      <c r="O107" s="267"/>
    </row>
    <row r="108" spans="2:15" s="238" customFormat="1" ht="15" x14ac:dyDescent="0.5">
      <c r="B108" s="1160"/>
      <c r="C108" s="1139" t="s">
        <v>102</v>
      </c>
      <c r="D108" s="463" t="s">
        <v>58</v>
      </c>
      <c r="E108" s="124" t="s">
        <v>59</v>
      </c>
      <c r="F108" s="124" t="s">
        <v>21</v>
      </c>
      <c r="G108" s="125"/>
      <c r="H108" s="262"/>
      <c r="I108" s="263"/>
      <c r="J108" s="262"/>
      <c r="K108" s="263"/>
      <c r="L108" s="262"/>
      <c r="M108" s="263"/>
      <c r="N108" s="262"/>
      <c r="O108" s="263"/>
    </row>
    <row r="109" spans="2:15" s="238" customFormat="1" ht="15" x14ac:dyDescent="0.5">
      <c r="B109" s="1160"/>
      <c r="C109" s="1140"/>
      <c r="D109" s="63" t="s">
        <v>100</v>
      </c>
      <c r="E109" s="27" t="s">
        <v>72</v>
      </c>
      <c r="F109" s="27" t="s">
        <v>21</v>
      </c>
      <c r="G109" s="47"/>
      <c r="H109" s="262"/>
      <c r="I109" s="263"/>
      <c r="J109" s="262"/>
      <c r="K109" s="263"/>
      <c r="L109" s="262"/>
      <c r="M109" s="263"/>
      <c r="N109" s="262"/>
      <c r="O109" s="263"/>
    </row>
    <row r="110" spans="2:15" s="238" customFormat="1" ht="15" x14ac:dyDescent="0.5">
      <c r="B110" s="1160"/>
      <c r="C110" s="1140"/>
      <c r="D110" s="434" t="s">
        <v>76</v>
      </c>
      <c r="E110" s="435" t="s">
        <v>77</v>
      </c>
      <c r="F110" s="435" t="s">
        <v>21</v>
      </c>
      <c r="G110" s="462"/>
      <c r="H110" s="262"/>
      <c r="I110" s="263"/>
      <c r="J110" s="262"/>
      <c r="K110" s="263"/>
      <c r="L110" s="262"/>
      <c r="M110" s="263"/>
      <c r="N110" s="262"/>
      <c r="O110" s="263"/>
    </row>
    <row r="111" spans="2:15" s="238" customFormat="1" ht="15" x14ac:dyDescent="0.5">
      <c r="B111" s="1160"/>
      <c r="C111" s="1140"/>
      <c r="D111" s="64" t="s">
        <v>86</v>
      </c>
      <c r="E111" s="8" t="s">
        <v>39</v>
      </c>
      <c r="F111" s="8" t="s">
        <v>97</v>
      </c>
      <c r="G111" s="22" t="s">
        <v>21</v>
      </c>
      <c r="H111" s="273"/>
      <c r="I111" s="274"/>
      <c r="J111" s="273"/>
      <c r="K111" s="274"/>
      <c r="L111" s="273"/>
      <c r="M111" s="274"/>
      <c r="N111" s="273"/>
      <c r="O111" s="274"/>
    </row>
    <row r="112" spans="2:15" s="238" customFormat="1" ht="15" x14ac:dyDescent="0.5">
      <c r="B112" s="1160"/>
      <c r="C112" s="1140"/>
      <c r="D112" s="459" t="s">
        <v>98</v>
      </c>
      <c r="E112" s="19" t="s">
        <v>65</v>
      </c>
      <c r="F112" s="19" t="s">
        <v>66</v>
      </c>
      <c r="G112" s="126" t="s">
        <v>21</v>
      </c>
      <c r="H112" s="273"/>
      <c r="I112" s="274"/>
      <c r="J112" s="273"/>
      <c r="K112" s="274"/>
      <c r="L112" s="273"/>
      <c r="M112" s="274"/>
      <c r="N112" s="273"/>
      <c r="O112" s="274"/>
    </row>
    <row r="113" spans="2:15" s="238" customFormat="1" ht="15" x14ac:dyDescent="0.5">
      <c r="B113" s="1160"/>
      <c r="C113" s="1140"/>
      <c r="D113" s="64" t="s">
        <v>68</v>
      </c>
      <c r="E113" s="8" t="s">
        <v>72</v>
      </c>
      <c r="F113" s="8" t="s">
        <v>73</v>
      </c>
      <c r="G113" s="22" t="s">
        <v>21</v>
      </c>
      <c r="H113" s="273"/>
      <c r="I113" s="274"/>
      <c r="J113" s="273"/>
      <c r="K113" s="274"/>
      <c r="L113" s="273"/>
      <c r="M113" s="274"/>
      <c r="N113" s="273"/>
      <c r="O113" s="274"/>
    </row>
    <row r="114" spans="2:15" s="238" customFormat="1" ht="15" x14ac:dyDescent="0.5">
      <c r="B114" s="1160"/>
      <c r="C114" s="1140"/>
      <c r="D114" s="459" t="s">
        <v>68</v>
      </c>
      <c r="E114" s="19" t="s">
        <v>69</v>
      </c>
      <c r="F114" s="19" t="s">
        <v>70</v>
      </c>
      <c r="G114" s="126" t="s">
        <v>21</v>
      </c>
      <c r="H114" s="271"/>
      <c r="I114" s="272"/>
      <c r="J114" s="271"/>
      <c r="K114" s="272"/>
      <c r="L114" s="271"/>
      <c r="M114" s="272"/>
      <c r="N114" s="271"/>
      <c r="O114" s="272"/>
    </row>
    <row r="115" spans="2:15" s="238" customFormat="1" ht="15" x14ac:dyDescent="0.5">
      <c r="B115" s="1160"/>
      <c r="C115" s="1140"/>
      <c r="D115" s="68" t="s">
        <v>82</v>
      </c>
      <c r="E115" s="24" t="s">
        <v>21</v>
      </c>
      <c r="F115" s="24" t="s">
        <v>20</v>
      </c>
      <c r="G115" s="67" t="s">
        <v>21</v>
      </c>
      <c r="H115" s="271"/>
      <c r="I115" s="272"/>
      <c r="J115" s="271"/>
      <c r="K115" s="272"/>
      <c r="L115" s="271"/>
      <c r="M115" s="272"/>
      <c r="N115" s="271"/>
      <c r="O115" s="272"/>
    </row>
    <row r="116" spans="2:15" s="238" customFormat="1" ht="21" customHeight="1" thickBot="1" x14ac:dyDescent="0.55000000000000004">
      <c r="B116" s="1160"/>
      <c r="C116" s="1140"/>
      <c r="D116" s="464" t="s">
        <v>83</v>
      </c>
      <c r="E116" s="127" t="s">
        <v>21</v>
      </c>
      <c r="F116" s="127" t="s">
        <v>84</v>
      </c>
      <c r="G116" s="128" t="s">
        <v>21</v>
      </c>
      <c r="H116" s="271"/>
      <c r="I116" s="272"/>
      <c r="J116" s="271"/>
      <c r="K116" s="272"/>
      <c r="L116" s="271"/>
      <c r="M116" s="272"/>
      <c r="N116" s="271"/>
      <c r="O116" s="272"/>
    </row>
    <row r="117" spans="2:15" s="238" customFormat="1" ht="30" customHeight="1" x14ac:dyDescent="0.5">
      <c r="B117" s="1142" t="s">
        <v>103</v>
      </c>
      <c r="C117" s="1143"/>
      <c r="D117" s="63" t="s">
        <v>76</v>
      </c>
      <c r="E117" s="27" t="s">
        <v>77</v>
      </c>
      <c r="F117" s="27" t="s">
        <v>21</v>
      </c>
      <c r="G117" s="27" t="s">
        <v>104</v>
      </c>
      <c r="H117" s="314"/>
      <c r="I117" s="315"/>
      <c r="J117" s="314"/>
      <c r="K117" s="315"/>
      <c r="L117" s="314"/>
      <c r="M117" s="315"/>
      <c r="N117" s="314"/>
      <c r="O117" s="315"/>
    </row>
    <row r="118" spans="2:15" s="238" customFormat="1" ht="30" customHeight="1" x14ac:dyDescent="0.5">
      <c r="B118" s="1144"/>
      <c r="C118" s="1145"/>
      <c r="D118" s="457" t="s">
        <v>82</v>
      </c>
      <c r="E118" s="50" t="s">
        <v>21</v>
      </c>
      <c r="F118" s="50" t="s">
        <v>20</v>
      </c>
      <c r="G118" s="50" t="s">
        <v>21</v>
      </c>
      <c r="H118" s="264"/>
      <c r="I118" s="265"/>
      <c r="J118" s="264"/>
      <c r="K118" s="265"/>
      <c r="L118" s="264"/>
      <c r="M118" s="265"/>
      <c r="N118" s="264"/>
      <c r="O118" s="265"/>
    </row>
    <row r="119" spans="2:15" s="238" customFormat="1" ht="30" customHeight="1" thickBot="1" x14ac:dyDescent="0.55000000000000004">
      <c r="B119" s="1146"/>
      <c r="C119" s="1147"/>
      <c r="D119" s="66" t="s">
        <v>105</v>
      </c>
      <c r="E119" s="12" t="s">
        <v>19</v>
      </c>
      <c r="F119" s="12" t="s">
        <v>20</v>
      </c>
      <c r="G119" s="12" t="s">
        <v>21</v>
      </c>
      <c r="H119" s="266"/>
      <c r="I119" s="267"/>
      <c r="J119" s="266"/>
      <c r="K119" s="267"/>
      <c r="L119" s="266"/>
      <c r="M119" s="267"/>
      <c r="N119" s="266"/>
      <c r="O119" s="267"/>
    </row>
    <row r="120" spans="2:15" s="238" customFormat="1" ht="15" customHeight="1" x14ac:dyDescent="0.5">
      <c r="B120" s="1142" t="s">
        <v>106</v>
      </c>
      <c r="C120" s="1143"/>
      <c r="D120" s="434" t="s">
        <v>76</v>
      </c>
      <c r="E120" s="435" t="s">
        <v>77</v>
      </c>
      <c r="F120" s="435" t="s">
        <v>21</v>
      </c>
      <c r="G120" s="435" t="s">
        <v>104</v>
      </c>
      <c r="H120" s="316"/>
      <c r="I120" s="317"/>
      <c r="J120" s="316"/>
      <c r="K120" s="317"/>
      <c r="L120" s="316"/>
      <c r="M120" s="317"/>
      <c r="N120" s="316"/>
      <c r="O120" s="317"/>
    </row>
    <row r="121" spans="2:15" s="238" customFormat="1" ht="15.75" customHeight="1" x14ac:dyDescent="0.5">
      <c r="B121" s="1144"/>
      <c r="C121" s="1145"/>
      <c r="D121" s="188" t="s">
        <v>82</v>
      </c>
      <c r="E121" s="129" t="s">
        <v>21</v>
      </c>
      <c r="F121" s="129" t="s">
        <v>20</v>
      </c>
      <c r="G121" s="129" t="s">
        <v>21</v>
      </c>
      <c r="H121" s="264"/>
      <c r="I121" s="265"/>
      <c r="J121" s="264"/>
      <c r="K121" s="265"/>
      <c r="L121" s="264"/>
      <c r="M121" s="265"/>
      <c r="N121" s="264"/>
      <c r="O121" s="265"/>
    </row>
    <row r="122" spans="2:15" s="238" customFormat="1" ht="16.5" customHeight="1" thickBot="1" x14ac:dyDescent="0.55000000000000004">
      <c r="B122" s="1146"/>
      <c r="C122" s="1147"/>
      <c r="D122" s="437" t="s">
        <v>105</v>
      </c>
      <c r="E122" s="29" t="s">
        <v>19</v>
      </c>
      <c r="F122" s="29" t="s">
        <v>20</v>
      </c>
      <c r="G122" s="29" t="s">
        <v>21</v>
      </c>
      <c r="H122" s="271"/>
      <c r="I122" s="272"/>
      <c r="J122" s="271"/>
      <c r="K122" s="272"/>
      <c r="L122" s="271"/>
      <c r="M122" s="272"/>
      <c r="N122" s="271"/>
      <c r="O122" s="272"/>
    </row>
    <row r="123" spans="2:15" s="238" customFormat="1" ht="30.4" x14ac:dyDescent="0.5">
      <c r="B123" s="1142" t="s">
        <v>107</v>
      </c>
      <c r="C123" s="1143"/>
      <c r="D123" s="63" t="s">
        <v>108</v>
      </c>
      <c r="E123" s="11" t="s">
        <v>17</v>
      </c>
      <c r="F123" s="11" t="s">
        <v>109</v>
      </c>
      <c r="G123" s="11" t="s">
        <v>110</v>
      </c>
      <c r="H123" s="268"/>
      <c r="I123" s="270"/>
      <c r="J123" s="268"/>
      <c r="K123" s="270"/>
      <c r="L123" s="268"/>
      <c r="M123" s="270"/>
      <c r="N123" s="268"/>
      <c r="O123" s="270"/>
    </row>
    <row r="124" spans="2:15" s="238" customFormat="1" ht="16.5" customHeight="1" thickBot="1" x14ac:dyDescent="0.55000000000000004">
      <c r="B124" s="1146"/>
      <c r="C124" s="1147"/>
      <c r="D124" s="460" t="s">
        <v>86</v>
      </c>
      <c r="E124" s="29" t="s">
        <v>39</v>
      </c>
      <c r="F124" s="29"/>
      <c r="G124" s="29"/>
      <c r="H124" s="266"/>
      <c r="I124" s="267"/>
      <c r="J124" s="266"/>
      <c r="K124" s="267"/>
      <c r="L124" s="266"/>
      <c r="M124" s="267"/>
      <c r="N124" s="266"/>
      <c r="O124" s="267"/>
    </row>
    <row r="125" spans="2:15" s="238" customFormat="1" ht="24.75" customHeight="1" x14ac:dyDescent="0.5">
      <c r="B125" s="1142" t="s">
        <v>111</v>
      </c>
      <c r="C125" s="1143"/>
      <c r="D125" s="229" t="s">
        <v>112</v>
      </c>
      <c r="E125" s="11" t="s">
        <v>19</v>
      </c>
      <c r="F125" s="11" t="s">
        <v>20</v>
      </c>
      <c r="G125" s="37" t="s">
        <v>21</v>
      </c>
      <c r="H125" s="268"/>
      <c r="I125" s="270"/>
      <c r="J125" s="268"/>
      <c r="K125" s="270"/>
      <c r="L125" s="268"/>
      <c r="M125" s="270"/>
      <c r="N125" s="268"/>
      <c r="O125" s="270"/>
    </row>
    <row r="126" spans="2:15" s="238" customFormat="1" ht="15.75" customHeight="1" x14ac:dyDescent="0.5">
      <c r="B126" s="1144"/>
      <c r="C126" s="1145"/>
      <c r="D126" s="465" t="s">
        <v>76</v>
      </c>
      <c r="E126" s="19" t="s">
        <v>77</v>
      </c>
      <c r="F126" s="19" t="s">
        <v>21</v>
      </c>
      <c r="G126" s="42" t="s">
        <v>104</v>
      </c>
      <c r="H126" s="273"/>
      <c r="I126" s="274"/>
      <c r="J126" s="273"/>
      <c r="K126" s="274"/>
      <c r="L126" s="273"/>
      <c r="M126" s="274"/>
      <c r="N126" s="273"/>
      <c r="O126" s="274"/>
    </row>
    <row r="127" spans="2:15" s="238" customFormat="1" ht="15.75" customHeight="1" x14ac:dyDescent="0.5">
      <c r="B127" s="1144"/>
      <c r="C127" s="1145"/>
      <c r="D127" s="230" t="s">
        <v>82</v>
      </c>
      <c r="E127" s="8" t="s">
        <v>21</v>
      </c>
      <c r="F127" s="8" t="s">
        <v>20</v>
      </c>
      <c r="G127" s="41" t="s">
        <v>21</v>
      </c>
      <c r="H127" s="273"/>
      <c r="I127" s="274"/>
      <c r="J127" s="273"/>
      <c r="K127" s="274"/>
      <c r="L127" s="273"/>
      <c r="M127" s="274"/>
      <c r="N127" s="273"/>
      <c r="O127" s="274"/>
    </row>
    <row r="128" spans="2:15" s="238" customFormat="1" ht="21" customHeight="1" x14ac:dyDescent="0.5">
      <c r="B128" s="1144"/>
      <c r="C128" s="1145"/>
      <c r="D128" s="465" t="s">
        <v>83</v>
      </c>
      <c r="E128" s="19" t="s">
        <v>69</v>
      </c>
      <c r="F128" s="19" t="s">
        <v>84</v>
      </c>
      <c r="G128" s="42" t="s">
        <v>21</v>
      </c>
      <c r="H128" s="273"/>
      <c r="I128" s="274"/>
      <c r="J128" s="273"/>
      <c r="K128" s="274"/>
      <c r="L128" s="273"/>
      <c r="M128" s="274"/>
      <c r="N128" s="273"/>
      <c r="O128" s="274"/>
    </row>
    <row r="129" spans="2:15" s="238" customFormat="1" ht="15.75" customHeight="1" x14ac:dyDescent="0.5">
      <c r="B129" s="1144"/>
      <c r="C129" s="1145"/>
      <c r="D129" s="231" t="s">
        <v>68</v>
      </c>
      <c r="E129" s="24" t="s">
        <v>72</v>
      </c>
      <c r="F129" s="24" t="s">
        <v>73</v>
      </c>
      <c r="G129" s="43" t="s">
        <v>21</v>
      </c>
      <c r="H129" s="271"/>
      <c r="I129" s="272"/>
      <c r="J129" s="271"/>
      <c r="K129" s="272"/>
      <c r="L129" s="271"/>
      <c r="M129" s="272"/>
      <c r="N129" s="271"/>
      <c r="O129" s="272"/>
    </row>
    <row r="130" spans="2:15" s="238" customFormat="1" ht="16.5" customHeight="1" thickBot="1" x14ac:dyDescent="0.55000000000000004">
      <c r="B130" s="1146"/>
      <c r="C130" s="1147"/>
      <c r="D130" s="466" t="s">
        <v>68</v>
      </c>
      <c r="E130" s="21" t="s">
        <v>69</v>
      </c>
      <c r="F130" s="21" t="s">
        <v>70</v>
      </c>
      <c r="G130" s="197" t="s">
        <v>71</v>
      </c>
      <c r="H130" s="266"/>
      <c r="I130" s="267"/>
      <c r="J130" s="266"/>
      <c r="K130" s="267"/>
      <c r="L130" s="266"/>
      <c r="M130" s="267"/>
      <c r="N130" s="266"/>
      <c r="O130" s="267"/>
    </row>
    <row r="131" spans="2:15" s="238" customFormat="1" ht="15" customHeight="1" x14ac:dyDescent="0.5">
      <c r="B131" s="1142" t="s">
        <v>113</v>
      </c>
      <c r="C131" s="1143"/>
      <c r="D131" s="233" t="s">
        <v>112</v>
      </c>
      <c r="E131" s="27" t="s">
        <v>19</v>
      </c>
      <c r="F131" s="27" t="s">
        <v>20</v>
      </c>
      <c r="G131" s="79" t="s">
        <v>21</v>
      </c>
      <c r="H131" s="268"/>
      <c r="I131" s="275"/>
      <c r="J131" s="268"/>
      <c r="K131" s="275"/>
      <c r="L131" s="268"/>
      <c r="M131" s="275"/>
      <c r="N131" s="268"/>
      <c r="O131" s="275"/>
    </row>
    <row r="132" spans="2:15" s="238" customFormat="1" ht="15.75" customHeight="1" x14ac:dyDescent="0.5">
      <c r="B132" s="1144"/>
      <c r="C132" s="1145"/>
      <c r="D132" s="465" t="s">
        <v>76</v>
      </c>
      <c r="E132" s="19" t="s">
        <v>77</v>
      </c>
      <c r="F132" s="19" t="s">
        <v>21</v>
      </c>
      <c r="G132" s="42" t="s">
        <v>104</v>
      </c>
      <c r="H132" s="277"/>
      <c r="I132" s="276"/>
      <c r="J132" s="277"/>
      <c r="K132" s="276"/>
      <c r="L132" s="277"/>
      <c r="M132" s="276"/>
      <c r="N132" s="277"/>
      <c r="O132" s="276"/>
    </row>
    <row r="133" spans="2:15" s="238" customFormat="1" ht="16.5" customHeight="1" thickBot="1" x14ac:dyDescent="0.55000000000000004">
      <c r="B133" s="1146"/>
      <c r="C133" s="1147"/>
      <c r="D133" s="232" t="s">
        <v>82</v>
      </c>
      <c r="E133" s="12" t="s">
        <v>21</v>
      </c>
      <c r="F133" s="12" t="s">
        <v>20</v>
      </c>
      <c r="G133" s="78" t="s">
        <v>21</v>
      </c>
      <c r="H133" s="266"/>
      <c r="I133" s="278"/>
      <c r="J133" s="266"/>
      <c r="K133" s="278"/>
      <c r="L133" s="266"/>
      <c r="M133" s="278"/>
      <c r="N133" s="266"/>
      <c r="O133" s="278"/>
    </row>
    <row r="134" spans="2:15" s="238" customFormat="1" ht="34.5" customHeight="1" x14ac:dyDescent="0.4">
      <c r="B134" s="1142" t="s">
        <v>18</v>
      </c>
      <c r="C134" s="1143"/>
      <c r="D134" s="467" t="s">
        <v>114</v>
      </c>
      <c r="E134" s="435" t="s">
        <v>115</v>
      </c>
      <c r="F134" s="435" t="s">
        <v>116</v>
      </c>
      <c r="G134" s="468" t="s">
        <v>21</v>
      </c>
      <c r="H134" s="280"/>
      <c r="I134" s="279"/>
      <c r="J134" s="280"/>
      <c r="K134" s="279"/>
      <c r="L134" s="280"/>
      <c r="M134" s="279"/>
      <c r="N134" s="280"/>
      <c r="O134" s="279"/>
    </row>
    <row r="135" spans="2:15" s="238" customFormat="1" ht="21" customHeight="1" thickBot="1" x14ac:dyDescent="0.45">
      <c r="B135" s="1146"/>
      <c r="C135" s="1147"/>
      <c r="D135" s="234" t="s">
        <v>117</v>
      </c>
      <c r="E135" s="24" t="s">
        <v>21</v>
      </c>
      <c r="F135" s="24" t="s">
        <v>118</v>
      </c>
      <c r="G135" s="235" t="s">
        <v>21</v>
      </c>
      <c r="H135" s="282"/>
      <c r="I135" s="281"/>
      <c r="J135" s="282"/>
      <c r="K135" s="281"/>
      <c r="L135" s="282"/>
      <c r="M135" s="281"/>
      <c r="N135" s="282"/>
      <c r="O135" s="281"/>
    </row>
    <row r="136" spans="2:15" ht="20.65" thickBot="1" x14ac:dyDescent="0.45">
      <c r="B136" s="1148" t="s">
        <v>119</v>
      </c>
      <c r="C136" s="1149"/>
      <c r="D136" s="469" t="s">
        <v>114</v>
      </c>
      <c r="E136" s="186" t="s">
        <v>115</v>
      </c>
      <c r="F136" s="186" t="s">
        <v>120</v>
      </c>
      <c r="G136" s="186" t="s">
        <v>121</v>
      </c>
      <c r="H136" s="283"/>
      <c r="I136" s="284"/>
      <c r="J136" s="283"/>
      <c r="K136" s="284"/>
      <c r="L136" s="283"/>
      <c r="M136" s="284"/>
      <c r="N136" s="283"/>
      <c r="O136" s="284"/>
    </row>
    <row r="137" spans="2:15" ht="15.4" thickBot="1" x14ac:dyDescent="0.45"/>
    <row r="138" spans="2:15" ht="16.149999999999999" customHeight="1" thickBot="1" x14ac:dyDescent="0.45">
      <c r="C138" s="6"/>
      <c r="D138" s="1136" t="s">
        <v>122</v>
      </c>
      <c r="E138" s="1137"/>
      <c r="F138" s="1137"/>
      <c r="G138" s="1138"/>
      <c r="H138" s="1134"/>
      <c r="I138" s="1134"/>
      <c r="J138" s="1134"/>
      <c r="K138" s="1134"/>
      <c r="L138" s="1134"/>
      <c r="M138" s="1134"/>
      <c r="N138" s="1134"/>
      <c r="O138" s="1134"/>
    </row>
    <row r="139" spans="2:15" ht="16.149999999999999" customHeight="1" thickBot="1" x14ac:dyDescent="0.45">
      <c r="C139" s="6"/>
      <c r="D139" s="1136"/>
      <c r="E139" s="1137"/>
      <c r="F139" s="1137"/>
      <c r="G139" s="1138"/>
      <c r="H139" s="1135"/>
      <c r="I139" s="1135"/>
      <c r="J139" s="1135"/>
      <c r="K139" s="1135"/>
      <c r="L139" s="1135"/>
      <c r="M139" s="1135"/>
      <c r="N139" s="1135"/>
      <c r="O139" s="1135"/>
    </row>
    <row r="140" spans="2:15" ht="16.149999999999999" customHeight="1" thickBot="1" x14ac:dyDescent="0.45">
      <c r="C140" s="6"/>
      <c r="D140" s="1136" t="s">
        <v>123</v>
      </c>
      <c r="E140" s="1137"/>
      <c r="F140" s="1137"/>
      <c r="G140" s="1138"/>
      <c r="H140" s="420"/>
      <c r="I140" s="421"/>
      <c r="J140" s="420"/>
      <c r="K140" s="421"/>
      <c r="L140" s="420"/>
      <c r="M140" s="421"/>
      <c r="N140" s="420"/>
      <c r="O140" s="421"/>
    </row>
  </sheetData>
  <mergeCells count="42">
    <mergeCell ref="B1:G1"/>
    <mergeCell ref="B117:C119"/>
    <mergeCell ref="B120:C122"/>
    <mergeCell ref="B123:C124"/>
    <mergeCell ref="B125:C130"/>
    <mergeCell ref="B2:G2"/>
    <mergeCell ref="B3:C3"/>
    <mergeCell ref="D3:E3"/>
    <mergeCell ref="F3:G3"/>
    <mergeCell ref="B5:C5"/>
    <mergeCell ref="C35:C39"/>
    <mergeCell ref="C40:C46"/>
    <mergeCell ref="B47:B80"/>
    <mergeCell ref="C47:C58"/>
    <mergeCell ref="C59:C70"/>
    <mergeCell ref="C71:C80"/>
    <mergeCell ref="H5:I5"/>
    <mergeCell ref="B131:C133"/>
    <mergeCell ref="B134:C135"/>
    <mergeCell ref="B136:C136"/>
    <mergeCell ref="B8:B10"/>
    <mergeCell ref="C8:C10"/>
    <mergeCell ref="B11:B46"/>
    <mergeCell ref="C11:C15"/>
    <mergeCell ref="C16:C17"/>
    <mergeCell ref="C18:C22"/>
    <mergeCell ref="C23:C25"/>
    <mergeCell ref="C26:C34"/>
    <mergeCell ref="B81:B116"/>
    <mergeCell ref="C81:C89"/>
    <mergeCell ref="C90:C98"/>
    <mergeCell ref="D140:G140"/>
    <mergeCell ref="H138:I139"/>
    <mergeCell ref="D138:G139"/>
    <mergeCell ref="C99:C107"/>
    <mergeCell ref="C108:C116"/>
    <mergeCell ref="J5:K5"/>
    <mergeCell ref="L5:M5"/>
    <mergeCell ref="J138:K139"/>
    <mergeCell ref="L138:M139"/>
    <mergeCell ref="N138:O139"/>
    <mergeCell ref="N5:O5"/>
  </mergeCells>
  <dataValidations count="1">
    <dataValidation type="list" allowBlank="1" showInputMessage="1" showErrorMessage="1" sqref="H140:O140" xr:uid="{CE75FB50-D1AF-44C2-BD37-16254B263FDF}">
      <formula1>"C.C, F.M, G.P, I.A, K.T, L.M, L.CH, M.P, M.M"</formula1>
    </dataValidation>
  </dataValidations>
  <printOptions horizontalCentered="1" verticalCentered="1"/>
  <pageMargins left="0.43307086614173229" right="3.937007874015748E-2" top="0.15748031496062992" bottom="0.3543307086614173" header="0.31496062992125984" footer="0.31496062992125984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71ED-F758-4962-BCE3-5213D1D58E1C}">
  <sheetPr codeName="Hoja2">
    <tabColor rgb="FFFFFF99"/>
    <pageSetUpPr fitToPage="1"/>
  </sheetPr>
  <dimension ref="B1:Y146"/>
  <sheetViews>
    <sheetView showGridLines="0" topLeftCell="C3" zoomScale="85" zoomScaleNormal="85" workbookViewId="0">
      <pane xSplit="6" ySplit="5" topLeftCell="S11" activePane="bottomRight" state="frozen"/>
      <selection pane="topRight"/>
      <selection pane="bottomLeft"/>
      <selection pane="bottomRight" activeCell="X141" sqref="X141"/>
    </sheetView>
  </sheetViews>
  <sheetFormatPr baseColWidth="10" defaultColWidth="10" defaultRowHeight="16.149999999999999" customHeight="1" x14ac:dyDescent="0.4"/>
  <cols>
    <col min="1" max="1" width="1.625" style="237" customWidth="1"/>
    <col min="2" max="2" width="11.5" style="237" customWidth="1"/>
    <col min="3" max="3" width="9.625" style="297" customWidth="1"/>
    <col min="4" max="4" width="16" style="297" bestFit="1" customWidth="1"/>
    <col min="5" max="5" width="48.625" style="238" customWidth="1"/>
    <col min="6" max="6" width="7" style="238" bestFit="1" customWidth="1"/>
    <col min="7" max="7" width="6.5" style="238" customWidth="1"/>
    <col min="8" max="8" width="8.125" style="238" customWidth="1"/>
    <col min="9" max="9" width="10" style="237"/>
    <col min="10" max="10" width="10" style="237" customWidth="1"/>
    <col min="11" max="16384" width="10" style="237"/>
  </cols>
  <sheetData>
    <row r="1" spans="2:25" ht="52.5" customHeight="1" x14ac:dyDescent="0.4">
      <c r="B1" s="1039" t="s">
        <v>0</v>
      </c>
      <c r="C1" s="1039"/>
      <c r="D1" s="1039"/>
      <c r="E1" s="1039"/>
      <c r="F1" s="1039"/>
      <c r="G1" s="1039"/>
      <c r="H1" s="1039"/>
    </row>
    <row r="2" spans="2:25" ht="33.75" customHeight="1" x14ac:dyDescent="0.4">
      <c r="B2" s="1040" t="s">
        <v>1</v>
      </c>
      <c r="C2" s="1041"/>
      <c r="D2" s="1041"/>
      <c r="E2" s="1041"/>
      <c r="F2" s="1041"/>
      <c r="G2" s="1041"/>
      <c r="H2" s="1041"/>
    </row>
    <row r="3" spans="2:25" ht="39.75" customHeight="1" x14ac:dyDescent="0.4">
      <c r="B3" s="1200" t="s">
        <v>124</v>
      </c>
      <c r="C3" s="1201"/>
      <c r="D3" s="1202" t="s">
        <v>125</v>
      </c>
      <c r="E3" s="1203"/>
      <c r="F3" s="1204" t="s">
        <v>4</v>
      </c>
      <c r="G3" s="1205"/>
      <c r="H3" s="1206"/>
    </row>
    <row r="4" spans="2:25" ht="3.75" customHeight="1" thickBot="1" x14ac:dyDescent="0.45">
      <c r="B4" s="191"/>
      <c r="C4" s="191"/>
      <c r="D4" s="192"/>
      <c r="E4" s="192"/>
      <c r="F4" s="193"/>
      <c r="G4" s="193"/>
      <c r="H4" s="193"/>
    </row>
    <row r="5" spans="2:25" ht="15.75" customHeight="1" x14ac:dyDescent="0.4">
      <c r="B5" s="1188" t="s">
        <v>126</v>
      </c>
      <c r="C5" s="1182" t="s">
        <v>5</v>
      </c>
      <c r="D5" s="1183"/>
      <c r="E5" s="1182" t="s">
        <v>6</v>
      </c>
      <c r="F5" s="1178" t="s">
        <v>7</v>
      </c>
      <c r="G5" s="1178" t="s">
        <v>8</v>
      </c>
      <c r="H5" s="1180" t="s">
        <v>9</v>
      </c>
      <c r="I5" s="1174">
        <v>46144</v>
      </c>
      <c r="J5" s="1175"/>
      <c r="K5" s="1174">
        <v>46145</v>
      </c>
      <c r="L5" s="1175"/>
      <c r="M5" s="1174">
        <v>46146</v>
      </c>
      <c r="N5" s="1175"/>
      <c r="O5" s="1174">
        <v>46147</v>
      </c>
      <c r="P5" s="1175"/>
      <c r="Q5" s="1174">
        <v>46148</v>
      </c>
      <c r="R5" s="1175"/>
      <c r="S5" s="1174">
        <v>46154</v>
      </c>
      <c r="T5" s="1175"/>
      <c r="U5" s="997">
        <v>46157</v>
      </c>
      <c r="V5" s="997">
        <v>46158</v>
      </c>
      <c r="W5" s="997">
        <v>46159</v>
      </c>
      <c r="X5" s="1174">
        <v>46161</v>
      </c>
      <c r="Y5" s="1175"/>
    </row>
    <row r="6" spans="2:25" ht="15.75" customHeight="1" thickBot="1" x14ac:dyDescent="0.45">
      <c r="B6" s="1189"/>
      <c r="C6" s="1179"/>
      <c r="D6" s="1184"/>
      <c r="E6" s="1179"/>
      <c r="F6" s="1179"/>
      <c r="G6" s="1179"/>
      <c r="H6" s="1181"/>
      <c r="I6" s="45">
        <v>0.4375</v>
      </c>
      <c r="J6" s="82"/>
      <c r="K6" s="45">
        <v>0.4375</v>
      </c>
      <c r="L6" s="82"/>
      <c r="M6" s="45">
        <v>0.4375</v>
      </c>
      <c r="N6" s="82"/>
      <c r="O6" s="45">
        <v>0.72916666666666663</v>
      </c>
      <c r="P6" s="82"/>
      <c r="Q6" s="45">
        <v>0.77083333333333337</v>
      </c>
      <c r="R6" s="82"/>
      <c r="S6" s="45">
        <v>0.66666666666666663</v>
      </c>
      <c r="T6" s="82"/>
      <c r="U6" s="45">
        <v>0.70833333333333337</v>
      </c>
      <c r="V6" s="82">
        <v>0.125</v>
      </c>
      <c r="W6" s="82">
        <v>0.66666666666666663</v>
      </c>
      <c r="X6" s="82">
        <v>0.10416666666666667</v>
      </c>
      <c r="Y6" s="82"/>
    </row>
    <row r="7" spans="2:25" s="298" customFormat="1" ht="21" customHeight="1" thickBot="1" x14ac:dyDescent="0.45">
      <c r="B7" s="325">
        <v>0</v>
      </c>
      <c r="C7" s="326" t="s">
        <v>10</v>
      </c>
      <c r="D7" s="327" t="s">
        <v>10</v>
      </c>
      <c r="E7" s="328" t="s">
        <v>11</v>
      </c>
      <c r="F7" s="329" t="s">
        <v>12</v>
      </c>
      <c r="G7" s="329"/>
      <c r="H7" s="330" t="s">
        <v>13</v>
      </c>
      <c r="I7" s="331">
        <v>157</v>
      </c>
      <c r="J7" s="332"/>
      <c r="K7" s="331">
        <v>157</v>
      </c>
      <c r="L7" s="332"/>
      <c r="M7" s="331">
        <v>157</v>
      </c>
      <c r="N7" s="332"/>
      <c r="O7" s="331">
        <v>157</v>
      </c>
      <c r="P7" s="332"/>
      <c r="Q7" s="331">
        <v>157</v>
      </c>
      <c r="R7" s="332"/>
      <c r="S7" s="331">
        <v>157</v>
      </c>
      <c r="T7" s="332"/>
      <c r="U7" s="331">
        <v>102.8</v>
      </c>
      <c r="V7" s="332">
        <v>204</v>
      </c>
      <c r="W7" s="332">
        <v>205</v>
      </c>
      <c r="X7" s="332">
        <v>203.7</v>
      </c>
      <c r="Y7" s="332"/>
    </row>
    <row r="8" spans="2:25" ht="30.75" customHeight="1" x14ac:dyDescent="0.4">
      <c r="B8" s="1190" t="s">
        <v>127</v>
      </c>
      <c r="C8" s="1193" t="s">
        <v>128</v>
      </c>
      <c r="D8" s="1199" t="s">
        <v>129</v>
      </c>
      <c r="E8" s="424" t="s">
        <v>130</v>
      </c>
      <c r="F8" s="425"/>
      <c r="G8" s="133"/>
      <c r="H8" s="40" t="s">
        <v>131</v>
      </c>
      <c r="I8" s="285" t="s">
        <v>132</v>
      </c>
      <c r="J8" s="286"/>
      <c r="K8" s="285" t="s">
        <v>132</v>
      </c>
      <c r="L8" s="286"/>
      <c r="M8" s="285" t="s">
        <v>132</v>
      </c>
      <c r="N8" s="286"/>
      <c r="O8" s="285" t="s">
        <v>132</v>
      </c>
      <c r="P8" s="286"/>
      <c r="Q8" s="285" t="s">
        <v>132</v>
      </c>
      <c r="R8" s="286"/>
      <c r="S8" s="285" t="s">
        <v>132</v>
      </c>
      <c r="T8" s="286"/>
      <c r="U8" s="285" t="s">
        <v>132</v>
      </c>
      <c r="V8" s="286" t="s">
        <v>132</v>
      </c>
      <c r="W8" s="286" t="s">
        <v>132</v>
      </c>
      <c r="X8" s="286" t="s">
        <v>133</v>
      </c>
      <c r="Y8" s="286"/>
    </row>
    <row r="9" spans="2:25" ht="22.9" customHeight="1" x14ac:dyDescent="0.4">
      <c r="B9" s="1191"/>
      <c r="C9" s="1194"/>
      <c r="D9" s="1186"/>
      <c r="E9" s="180" t="s">
        <v>134</v>
      </c>
      <c r="F9" s="172" t="s">
        <v>39</v>
      </c>
      <c r="G9" s="137" t="s">
        <v>135</v>
      </c>
      <c r="H9" s="138"/>
      <c r="I9" s="287">
        <v>24.3</v>
      </c>
      <c r="J9" s="288"/>
      <c r="K9" s="287">
        <v>24.5</v>
      </c>
      <c r="L9" s="288"/>
      <c r="M9" s="287">
        <v>24.5</v>
      </c>
      <c r="N9" s="288"/>
      <c r="O9" s="287">
        <v>29.1</v>
      </c>
      <c r="P9" s="288"/>
      <c r="Q9" s="287">
        <v>26.6</v>
      </c>
      <c r="R9" s="288"/>
      <c r="S9" s="287">
        <v>20.7</v>
      </c>
      <c r="T9" s="288"/>
      <c r="U9" s="287">
        <v>22.8</v>
      </c>
      <c r="V9" s="288">
        <v>22.3</v>
      </c>
      <c r="W9" s="288">
        <v>23.1</v>
      </c>
      <c r="X9" s="288">
        <v>44.2</v>
      </c>
      <c r="Y9" s="288"/>
    </row>
    <row r="10" spans="2:25" ht="22.9" customHeight="1" x14ac:dyDescent="0.4">
      <c r="B10" s="1191"/>
      <c r="C10" s="1194"/>
      <c r="D10" s="1186"/>
      <c r="E10" s="426" t="s">
        <v>136</v>
      </c>
      <c r="F10" s="144" t="s">
        <v>137</v>
      </c>
      <c r="G10" s="136" t="s">
        <v>138</v>
      </c>
      <c r="H10" s="153"/>
      <c r="I10" s="287">
        <v>0</v>
      </c>
      <c r="J10" s="288"/>
      <c r="K10" s="287">
        <v>0</v>
      </c>
      <c r="L10" s="288"/>
      <c r="M10" s="287">
        <v>0</v>
      </c>
      <c r="N10" s="288"/>
      <c r="O10" s="287">
        <v>0</v>
      </c>
      <c r="P10" s="288"/>
      <c r="Q10" s="287">
        <v>0</v>
      </c>
      <c r="R10" s="288"/>
      <c r="S10" s="287">
        <v>0</v>
      </c>
      <c r="T10" s="288"/>
      <c r="U10" s="287">
        <v>0</v>
      </c>
      <c r="V10" s="288">
        <v>0</v>
      </c>
      <c r="W10" s="288">
        <v>0</v>
      </c>
      <c r="X10" s="288">
        <v>3.56</v>
      </c>
      <c r="Y10" s="288"/>
    </row>
    <row r="11" spans="2:25" ht="45.75" customHeight="1" x14ac:dyDescent="0.4">
      <c r="B11" s="1191"/>
      <c r="C11" s="1194"/>
      <c r="D11" s="1186"/>
      <c r="E11" s="180" t="s">
        <v>139</v>
      </c>
      <c r="F11" s="172" t="s">
        <v>140</v>
      </c>
      <c r="G11" s="137" t="s">
        <v>141</v>
      </c>
      <c r="H11" s="138"/>
      <c r="I11" s="287">
        <v>5.76</v>
      </c>
      <c r="J11" s="288"/>
      <c r="K11" s="287">
        <v>5.76</v>
      </c>
      <c r="L11" s="288"/>
      <c r="M11" s="287">
        <v>5.76</v>
      </c>
      <c r="N11" s="288"/>
      <c r="O11" s="287">
        <v>5.75</v>
      </c>
      <c r="P11" s="288"/>
      <c r="Q11" s="287">
        <v>5.75</v>
      </c>
      <c r="R11" s="288"/>
      <c r="S11" s="287">
        <v>5.76</v>
      </c>
      <c r="T11" s="288"/>
      <c r="U11" s="287">
        <v>0.03</v>
      </c>
      <c r="V11" s="288">
        <v>0.03</v>
      </c>
      <c r="W11" s="288">
        <v>0.02</v>
      </c>
      <c r="X11" s="288">
        <v>2.44</v>
      </c>
      <c r="Y11" s="288"/>
    </row>
    <row r="12" spans="2:25" ht="15" x14ac:dyDescent="0.4">
      <c r="B12" s="1191"/>
      <c r="C12" s="1194"/>
      <c r="D12" s="1186"/>
      <c r="E12" s="426" t="s">
        <v>142</v>
      </c>
      <c r="F12" s="144" t="s">
        <v>143</v>
      </c>
      <c r="G12" s="136"/>
      <c r="H12" s="153"/>
      <c r="I12" s="287">
        <v>0</v>
      </c>
      <c r="J12" s="288"/>
      <c r="K12" s="287">
        <v>0</v>
      </c>
      <c r="L12" s="288"/>
      <c r="M12" s="287">
        <v>0</v>
      </c>
      <c r="N12" s="288"/>
      <c r="O12" s="287">
        <v>0</v>
      </c>
      <c r="P12" s="288"/>
      <c r="Q12" s="287">
        <v>0</v>
      </c>
      <c r="R12" s="288"/>
      <c r="S12" s="287">
        <v>0</v>
      </c>
      <c r="T12" s="288"/>
      <c r="U12" s="287">
        <v>0</v>
      </c>
      <c r="V12" s="288">
        <v>0</v>
      </c>
      <c r="W12" s="288">
        <v>0</v>
      </c>
      <c r="X12" s="288">
        <v>15.29</v>
      </c>
      <c r="Y12" s="288"/>
    </row>
    <row r="13" spans="2:25" ht="15" x14ac:dyDescent="0.4">
      <c r="B13" s="1191"/>
      <c r="C13" s="1194"/>
      <c r="D13" s="1186"/>
      <c r="E13" s="180" t="s">
        <v>144</v>
      </c>
      <c r="F13" s="172" t="s">
        <v>143</v>
      </c>
      <c r="G13" s="137"/>
      <c r="H13" s="138"/>
      <c r="I13" s="287">
        <v>367.9</v>
      </c>
      <c r="J13" s="288"/>
      <c r="K13" s="287">
        <v>367.9</v>
      </c>
      <c r="L13" s="288"/>
      <c r="M13" s="287">
        <v>367.9</v>
      </c>
      <c r="N13" s="288"/>
      <c r="O13" s="287">
        <v>367.9</v>
      </c>
      <c r="P13" s="288"/>
      <c r="Q13" s="287">
        <v>367.9</v>
      </c>
      <c r="R13" s="288"/>
      <c r="S13" s="287">
        <v>367.9</v>
      </c>
      <c r="T13" s="288"/>
      <c r="U13" s="287">
        <v>368.76</v>
      </c>
      <c r="V13" s="288">
        <v>368.76</v>
      </c>
      <c r="W13" s="288">
        <v>369.06</v>
      </c>
      <c r="X13" s="288">
        <v>385.21</v>
      </c>
      <c r="Y13" s="288"/>
    </row>
    <row r="14" spans="2:25" ht="15" x14ac:dyDescent="0.4">
      <c r="B14" s="1191"/>
      <c r="C14" s="1194"/>
      <c r="D14" s="1186"/>
      <c r="E14" s="180" t="s">
        <v>145</v>
      </c>
      <c r="F14" s="172" t="s">
        <v>146</v>
      </c>
      <c r="G14" s="137"/>
      <c r="H14" s="138"/>
      <c r="I14" s="287">
        <v>0</v>
      </c>
      <c r="J14" s="288"/>
      <c r="K14" s="287">
        <v>0</v>
      </c>
      <c r="L14" s="288"/>
      <c r="M14" s="287">
        <v>0</v>
      </c>
      <c r="N14" s="288"/>
      <c r="O14" s="287">
        <v>0</v>
      </c>
      <c r="P14" s="288"/>
      <c r="Q14" s="287">
        <v>0</v>
      </c>
      <c r="R14" s="288"/>
      <c r="S14" s="287">
        <v>0</v>
      </c>
      <c r="T14" s="288"/>
      <c r="U14" s="287">
        <v>0</v>
      </c>
      <c r="V14" s="288">
        <v>0</v>
      </c>
      <c r="W14" s="288">
        <v>0</v>
      </c>
      <c r="X14" s="288">
        <v>2.2000000000000002</v>
      </c>
      <c r="Y14" s="288"/>
    </row>
    <row r="15" spans="2:25" ht="15" x14ac:dyDescent="0.4">
      <c r="B15" s="1191"/>
      <c r="C15" s="1194"/>
      <c r="D15" s="1186"/>
      <c r="E15" s="426" t="s">
        <v>147</v>
      </c>
      <c r="F15" s="144" t="s">
        <v>146</v>
      </c>
      <c r="G15" s="136"/>
      <c r="H15" s="153"/>
      <c r="I15" s="287">
        <v>0</v>
      </c>
      <c r="J15" s="288"/>
      <c r="K15" s="287">
        <v>0</v>
      </c>
      <c r="L15" s="288"/>
      <c r="M15" s="287">
        <v>0</v>
      </c>
      <c r="N15" s="288"/>
      <c r="O15" s="287">
        <v>0</v>
      </c>
      <c r="P15" s="288"/>
      <c r="Q15" s="287">
        <v>0</v>
      </c>
      <c r="R15" s="288"/>
      <c r="S15" s="287">
        <v>0</v>
      </c>
      <c r="T15" s="288"/>
      <c r="U15" s="287">
        <v>0</v>
      </c>
      <c r="V15" s="288">
        <v>0</v>
      </c>
      <c r="W15" s="288">
        <v>0</v>
      </c>
      <c r="X15" s="288">
        <v>9</v>
      </c>
      <c r="Y15" s="288"/>
    </row>
    <row r="16" spans="2:25" ht="15" x14ac:dyDescent="0.4">
      <c r="B16" s="1191"/>
      <c r="C16" s="1194"/>
      <c r="D16" s="1186"/>
      <c r="E16" s="180" t="s">
        <v>148</v>
      </c>
      <c r="F16" s="172" t="s">
        <v>146</v>
      </c>
      <c r="G16" s="137"/>
      <c r="H16" s="138"/>
      <c r="I16" s="287">
        <v>0</v>
      </c>
      <c r="J16" s="288"/>
      <c r="K16" s="287">
        <v>0</v>
      </c>
      <c r="L16" s="288"/>
      <c r="M16" s="287">
        <v>0</v>
      </c>
      <c r="N16" s="288"/>
      <c r="O16" s="287">
        <v>0</v>
      </c>
      <c r="P16" s="288"/>
      <c r="Q16" s="287">
        <v>0</v>
      </c>
      <c r="R16" s="288"/>
      <c r="S16" s="287">
        <v>0</v>
      </c>
      <c r="T16" s="288"/>
      <c r="U16" s="287">
        <v>0</v>
      </c>
      <c r="V16" s="288">
        <v>0</v>
      </c>
      <c r="W16" s="288">
        <v>0</v>
      </c>
      <c r="X16" s="288">
        <v>34</v>
      </c>
      <c r="Y16" s="288"/>
    </row>
    <row r="17" spans="2:25" ht="15" x14ac:dyDescent="0.4">
      <c r="B17" s="1191"/>
      <c r="C17" s="1194"/>
      <c r="D17" s="1186"/>
      <c r="E17" s="426" t="s">
        <v>149</v>
      </c>
      <c r="F17" s="144" t="s">
        <v>146</v>
      </c>
      <c r="G17" s="136"/>
      <c r="H17" s="153"/>
      <c r="I17" s="287">
        <v>0</v>
      </c>
      <c r="J17" s="288"/>
      <c r="K17" s="287">
        <v>0</v>
      </c>
      <c r="L17" s="288"/>
      <c r="M17" s="287">
        <v>0</v>
      </c>
      <c r="N17" s="288"/>
      <c r="O17" s="287">
        <v>0</v>
      </c>
      <c r="P17" s="288"/>
      <c r="Q17" s="287">
        <v>0</v>
      </c>
      <c r="R17" s="288"/>
      <c r="S17" s="287">
        <v>0</v>
      </c>
      <c r="T17" s="288"/>
      <c r="U17" s="287">
        <v>0</v>
      </c>
      <c r="V17" s="288">
        <v>0</v>
      </c>
      <c r="W17" s="288">
        <v>0</v>
      </c>
      <c r="X17" s="288">
        <v>2.5</v>
      </c>
      <c r="Y17" s="288"/>
    </row>
    <row r="18" spans="2:25" ht="15" x14ac:dyDescent="0.4">
      <c r="B18" s="1191"/>
      <c r="C18" s="1194"/>
      <c r="D18" s="1186"/>
      <c r="E18" s="426" t="s">
        <v>68</v>
      </c>
      <c r="F18" s="144" t="s">
        <v>77</v>
      </c>
      <c r="G18" s="136"/>
      <c r="H18" s="153"/>
      <c r="I18" s="287">
        <v>0</v>
      </c>
      <c r="J18" s="288"/>
      <c r="K18" s="287">
        <v>0</v>
      </c>
      <c r="L18" s="288"/>
      <c r="M18" s="287">
        <v>0</v>
      </c>
      <c r="N18" s="288"/>
      <c r="O18" s="287">
        <v>0</v>
      </c>
      <c r="P18" s="288"/>
      <c r="Q18" s="287">
        <v>0</v>
      </c>
      <c r="R18" s="288"/>
      <c r="S18" s="287">
        <v>0</v>
      </c>
      <c r="T18" s="288"/>
      <c r="U18" s="287">
        <v>0</v>
      </c>
      <c r="V18" s="288">
        <v>0</v>
      </c>
      <c r="W18" s="288">
        <v>30</v>
      </c>
      <c r="X18" s="288">
        <v>25</v>
      </c>
      <c r="Y18" s="288"/>
    </row>
    <row r="19" spans="2:25" ht="22.9" customHeight="1" x14ac:dyDescent="0.4">
      <c r="B19" s="1191"/>
      <c r="C19" s="1194"/>
      <c r="D19" s="1186"/>
      <c r="E19" s="180" t="s">
        <v>150</v>
      </c>
      <c r="F19" s="172"/>
      <c r="G19" s="137"/>
      <c r="H19" s="138" t="s">
        <v>51</v>
      </c>
      <c r="I19" s="289" t="s">
        <v>151</v>
      </c>
      <c r="J19" s="290"/>
      <c r="K19" s="289" t="s">
        <v>151</v>
      </c>
      <c r="L19" s="290"/>
      <c r="M19" s="289" t="s">
        <v>151</v>
      </c>
      <c r="N19" s="290"/>
      <c r="O19" s="289" t="s">
        <v>151</v>
      </c>
      <c r="P19" s="290"/>
      <c r="Q19" s="289" t="s">
        <v>151</v>
      </c>
      <c r="R19" s="290"/>
      <c r="S19" s="289" t="s">
        <v>151</v>
      </c>
      <c r="T19" s="290"/>
      <c r="U19" s="289">
        <v>0</v>
      </c>
      <c r="V19" s="290">
        <v>0</v>
      </c>
      <c r="W19" s="290" t="s">
        <v>151</v>
      </c>
      <c r="X19" s="290" t="s">
        <v>48</v>
      </c>
      <c r="Y19" s="290"/>
    </row>
    <row r="20" spans="2:25" ht="15.75" customHeight="1" thickBot="1" x14ac:dyDescent="0.45">
      <c r="B20" s="1191"/>
      <c r="C20" s="1194"/>
      <c r="D20" s="1187"/>
      <c r="E20" s="427" t="s">
        <v>152</v>
      </c>
      <c r="F20" s="428"/>
      <c r="G20" s="148"/>
      <c r="H20" s="149" t="s">
        <v>153</v>
      </c>
      <c r="I20" s="291" t="s">
        <v>154</v>
      </c>
      <c r="J20" s="292"/>
      <c r="K20" s="291" t="s">
        <v>154</v>
      </c>
      <c r="L20" s="292"/>
      <c r="M20" s="291" t="s">
        <v>154</v>
      </c>
      <c r="N20" s="292"/>
      <c r="O20" s="291" t="s">
        <v>154</v>
      </c>
      <c r="P20" s="292"/>
      <c r="Q20" s="291" t="s">
        <v>154</v>
      </c>
      <c r="R20" s="292"/>
      <c r="S20" s="291" t="s">
        <v>154</v>
      </c>
      <c r="T20" s="292"/>
      <c r="U20" s="291" t="s">
        <v>154</v>
      </c>
      <c r="V20" s="292" t="s">
        <v>154</v>
      </c>
      <c r="W20" s="292" t="s">
        <v>154</v>
      </c>
      <c r="X20" s="292" t="s">
        <v>154</v>
      </c>
      <c r="Y20" s="292"/>
    </row>
    <row r="21" spans="2:25" ht="30.75" customHeight="1" x14ac:dyDescent="0.4">
      <c r="B21" s="1191"/>
      <c r="C21" s="1195"/>
      <c r="D21" s="1199" t="s">
        <v>155</v>
      </c>
      <c r="E21" s="179" t="s">
        <v>130</v>
      </c>
      <c r="F21" s="171"/>
      <c r="G21" s="132"/>
      <c r="H21" s="37" t="s">
        <v>131</v>
      </c>
      <c r="I21" s="285" t="s">
        <v>132</v>
      </c>
      <c r="J21" s="286"/>
      <c r="K21" s="285" t="s">
        <v>132</v>
      </c>
      <c r="L21" s="286"/>
      <c r="M21" s="285" t="s">
        <v>132</v>
      </c>
      <c r="N21" s="286"/>
      <c r="O21" s="285" t="s">
        <v>133</v>
      </c>
      <c r="P21" s="286"/>
      <c r="Q21" s="285" t="s">
        <v>133</v>
      </c>
      <c r="R21" s="286"/>
      <c r="S21" s="285" t="s">
        <v>132</v>
      </c>
      <c r="T21" s="286"/>
      <c r="U21" s="285" t="s">
        <v>132</v>
      </c>
      <c r="V21" s="286" t="s">
        <v>132</v>
      </c>
      <c r="W21" s="286" t="s">
        <v>132</v>
      </c>
      <c r="X21" s="286" t="s">
        <v>132</v>
      </c>
      <c r="Y21" s="286"/>
    </row>
    <row r="22" spans="2:25" ht="22.9" customHeight="1" x14ac:dyDescent="0.4">
      <c r="B22" s="1191"/>
      <c r="C22" s="1195"/>
      <c r="D22" s="1186"/>
      <c r="E22" s="426" t="s">
        <v>134</v>
      </c>
      <c r="F22" s="144" t="s">
        <v>39</v>
      </c>
      <c r="G22" s="136" t="s">
        <v>135</v>
      </c>
      <c r="H22" s="153"/>
      <c r="I22" s="287">
        <v>24.1</v>
      </c>
      <c r="J22" s="288"/>
      <c r="K22" s="287">
        <v>23.5</v>
      </c>
      <c r="L22" s="288"/>
      <c r="M22" s="287">
        <v>23.5</v>
      </c>
      <c r="N22" s="288"/>
      <c r="O22" s="287">
        <v>51.3</v>
      </c>
      <c r="P22" s="288"/>
      <c r="Q22" s="287">
        <v>50</v>
      </c>
      <c r="R22" s="288"/>
      <c r="S22" s="287">
        <v>20</v>
      </c>
      <c r="T22" s="288"/>
      <c r="U22" s="287">
        <v>22.6</v>
      </c>
      <c r="V22" s="288">
        <v>21.3</v>
      </c>
      <c r="W22" s="288">
        <v>22.8</v>
      </c>
      <c r="X22" s="288">
        <v>27</v>
      </c>
      <c r="Y22" s="288"/>
    </row>
    <row r="23" spans="2:25" ht="22.9" customHeight="1" x14ac:dyDescent="0.4">
      <c r="B23" s="1191"/>
      <c r="C23" s="1195"/>
      <c r="D23" s="1186"/>
      <c r="E23" s="180" t="s">
        <v>136</v>
      </c>
      <c r="F23" s="172" t="s">
        <v>137</v>
      </c>
      <c r="G23" s="137" t="s">
        <v>138</v>
      </c>
      <c r="H23" s="138"/>
      <c r="I23" s="287">
        <v>0</v>
      </c>
      <c r="J23" s="288"/>
      <c r="K23" s="287">
        <v>0</v>
      </c>
      <c r="L23" s="288"/>
      <c r="M23" s="287">
        <v>0</v>
      </c>
      <c r="N23" s="288"/>
      <c r="O23" s="287">
        <v>3.63</v>
      </c>
      <c r="P23" s="288"/>
      <c r="Q23" s="287">
        <v>3.66</v>
      </c>
      <c r="R23" s="288"/>
      <c r="S23" s="287">
        <v>0</v>
      </c>
      <c r="T23" s="288"/>
      <c r="U23" s="287">
        <v>0</v>
      </c>
      <c r="V23" s="288">
        <v>0</v>
      </c>
      <c r="W23" s="288">
        <v>0</v>
      </c>
      <c r="X23" s="288">
        <v>0</v>
      </c>
      <c r="Y23" s="288"/>
    </row>
    <row r="24" spans="2:25" ht="45.75" customHeight="1" x14ac:dyDescent="0.4">
      <c r="B24" s="1191"/>
      <c r="C24" s="1195"/>
      <c r="D24" s="1186"/>
      <c r="E24" s="426" t="s">
        <v>139</v>
      </c>
      <c r="F24" s="144" t="s">
        <v>140</v>
      </c>
      <c r="G24" s="136" t="s">
        <v>141</v>
      </c>
      <c r="H24" s="153"/>
      <c r="I24" s="287">
        <v>0.06</v>
      </c>
      <c r="J24" s="288"/>
      <c r="K24" s="287">
        <v>7.0000000000000007E-2</v>
      </c>
      <c r="L24" s="288"/>
      <c r="M24" s="287">
        <v>7.0000000000000007E-2</v>
      </c>
      <c r="N24" s="288"/>
      <c r="O24" s="287">
        <v>2.67</v>
      </c>
      <c r="P24" s="288"/>
      <c r="Q24" s="287">
        <v>2.57</v>
      </c>
      <c r="R24" s="288"/>
      <c r="S24" s="287">
        <v>7.0000000000000007E-2</v>
      </c>
      <c r="T24" s="288"/>
      <c r="U24" s="287">
        <v>0.08</v>
      </c>
      <c r="V24" s="288">
        <v>0.08</v>
      </c>
      <c r="W24" s="288">
        <v>0.08</v>
      </c>
      <c r="X24" s="288">
        <v>0.08</v>
      </c>
      <c r="Y24" s="288"/>
    </row>
    <row r="25" spans="2:25" ht="15" x14ac:dyDescent="0.4">
      <c r="B25" s="1191"/>
      <c r="C25" s="1195"/>
      <c r="D25" s="1186"/>
      <c r="E25" s="180" t="s">
        <v>142</v>
      </c>
      <c r="F25" s="172" t="s">
        <v>143</v>
      </c>
      <c r="G25" s="137"/>
      <c r="H25" s="138"/>
      <c r="I25" s="287">
        <v>0</v>
      </c>
      <c r="J25" s="288"/>
      <c r="K25" s="287">
        <v>0</v>
      </c>
      <c r="L25" s="288"/>
      <c r="M25" s="287">
        <v>0</v>
      </c>
      <c r="N25" s="288"/>
      <c r="O25" s="287">
        <v>8.1300000000000008</v>
      </c>
      <c r="P25" s="288"/>
      <c r="Q25" s="287">
        <v>32.97</v>
      </c>
      <c r="R25" s="288"/>
      <c r="S25" s="287">
        <v>0</v>
      </c>
      <c r="T25" s="288"/>
      <c r="U25" s="287">
        <v>0</v>
      </c>
      <c r="V25" s="288">
        <v>0</v>
      </c>
      <c r="W25" s="288">
        <v>0</v>
      </c>
      <c r="X25" s="288">
        <v>0</v>
      </c>
      <c r="Y25" s="288"/>
    </row>
    <row r="26" spans="2:25" ht="15" x14ac:dyDescent="0.4">
      <c r="B26" s="1191"/>
      <c r="C26" s="1195"/>
      <c r="D26" s="1186"/>
      <c r="E26" s="426" t="s">
        <v>144</v>
      </c>
      <c r="F26" s="144" t="s">
        <v>143</v>
      </c>
      <c r="G26" s="136"/>
      <c r="H26" s="153"/>
      <c r="I26" s="287">
        <v>958.56</v>
      </c>
      <c r="J26" s="288"/>
      <c r="K26" s="287">
        <v>958.56</v>
      </c>
      <c r="L26" s="288"/>
      <c r="M26" s="287">
        <v>958.56</v>
      </c>
      <c r="N26" s="288"/>
      <c r="O26" s="287">
        <v>967.11</v>
      </c>
      <c r="P26" s="288"/>
      <c r="Q26" s="287">
        <v>991.96</v>
      </c>
      <c r="R26" s="288"/>
      <c r="S26" s="287">
        <v>9.02</v>
      </c>
      <c r="T26" s="288"/>
      <c r="U26" s="287">
        <v>9.02</v>
      </c>
      <c r="V26" s="288">
        <v>9.02</v>
      </c>
      <c r="W26" s="288">
        <v>9.02</v>
      </c>
      <c r="X26" s="288">
        <v>9.02</v>
      </c>
      <c r="Y26" s="288"/>
    </row>
    <row r="27" spans="2:25" ht="15" x14ac:dyDescent="0.4">
      <c r="B27" s="1191"/>
      <c r="C27" s="1195"/>
      <c r="D27" s="1186"/>
      <c r="E27" s="180" t="s">
        <v>145</v>
      </c>
      <c r="F27" s="172" t="s">
        <v>146</v>
      </c>
      <c r="G27" s="137"/>
      <c r="H27" s="138"/>
      <c r="I27" s="287">
        <v>0</v>
      </c>
      <c r="J27" s="288"/>
      <c r="K27" s="287">
        <v>0</v>
      </c>
      <c r="L27" s="288"/>
      <c r="M27" s="287">
        <v>0</v>
      </c>
      <c r="N27" s="288"/>
      <c r="O27" s="287">
        <v>2.1</v>
      </c>
      <c r="P27" s="288"/>
      <c r="Q27" s="287">
        <v>2.2999999999999998</v>
      </c>
      <c r="R27" s="288"/>
      <c r="S27" s="287">
        <v>0</v>
      </c>
      <c r="T27" s="288"/>
      <c r="U27" s="287">
        <v>0</v>
      </c>
      <c r="V27" s="288">
        <v>0</v>
      </c>
      <c r="W27" s="288">
        <v>0</v>
      </c>
      <c r="X27" s="288">
        <v>0</v>
      </c>
      <c r="Y27" s="288"/>
    </row>
    <row r="28" spans="2:25" ht="15" x14ac:dyDescent="0.4">
      <c r="B28" s="1191"/>
      <c r="C28" s="1195"/>
      <c r="D28" s="1186"/>
      <c r="E28" s="426" t="s">
        <v>147</v>
      </c>
      <c r="F28" s="144" t="s">
        <v>146</v>
      </c>
      <c r="G28" s="136"/>
      <c r="H28" s="153"/>
      <c r="I28" s="287">
        <v>0</v>
      </c>
      <c r="J28" s="288"/>
      <c r="K28" s="287">
        <v>0</v>
      </c>
      <c r="L28" s="288"/>
      <c r="M28" s="287">
        <v>0</v>
      </c>
      <c r="N28" s="288"/>
      <c r="O28" s="287">
        <v>9.9</v>
      </c>
      <c r="P28" s="288"/>
      <c r="Q28" s="287">
        <v>9.9</v>
      </c>
      <c r="R28" s="288"/>
      <c r="S28" s="287">
        <v>0</v>
      </c>
      <c r="T28" s="288"/>
      <c r="U28" s="287">
        <v>0</v>
      </c>
      <c r="V28" s="288">
        <v>0</v>
      </c>
      <c r="W28" s="288">
        <v>0</v>
      </c>
      <c r="X28" s="288">
        <v>0</v>
      </c>
      <c r="Y28" s="288"/>
    </row>
    <row r="29" spans="2:25" ht="15" x14ac:dyDescent="0.4">
      <c r="B29" s="1191"/>
      <c r="C29" s="1195"/>
      <c r="D29" s="1186"/>
      <c r="E29" s="180" t="s">
        <v>148</v>
      </c>
      <c r="F29" s="172" t="s">
        <v>146</v>
      </c>
      <c r="G29" s="137"/>
      <c r="H29" s="138"/>
      <c r="I29" s="287">
        <v>0</v>
      </c>
      <c r="J29" s="288"/>
      <c r="K29" s="287">
        <v>0</v>
      </c>
      <c r="L29" s="288"/>
      <c r="M29" s="287">
        <v>0</v>
      </c>
      <c r="N29" s="288"/>
      <c r="O29" s="287">
        <v>33</v>
      </c>
      <c r="P29" s="288"/>
      <c r="Q29" s="287">
        <v>36</v>
      </c>
      <c r="R29" s="288"/>
      <c r="S29" s="287">
        <v>0</v>
      </c>
      <c r="T29" s="288"/>
      <c r="U29" s="287">
        <v>0</v>
      </c>
      <c r="V29" s="288">
        <v>0</v>
      </c>
      <c r="W29" s="288">
        <v>0</v>
      </c>
      <c r="X29" s="288">
        <v>0</v>
      </c>
      <c r="Y29" s="288"/>
    </row>
    <row r="30" spans="2:25" ht="15" x14ac:dyDescent="0.4">
      <c r="B30" s="1191"/>
      <c r="C30" s="1195"/>
      <c r="D30" s="1186"/>
      <c r="E30" s="426" t="s">
        <v>149</v>
      </c>
      <c r="F30" s="144" t="s">
        <v>146</v>
      </c>
      <c r="G30" s="136"/>
      <c r="H30" s="153"/>
      <c r="I30" s="287">
        <v>0</v>
      </c>
      <c r="J30" s="288"/>
      <c r="K30" s="287">
        <v>0</v>
      </c>
      <c r="L30" s="288"/>
      <c r="M30" s="287">
        <v>0</v>
      </c>
      <c r="N30" s="288"/>
      <c r="O30" s="287">
        <v>2.6</v>
      </c>
      <c r="P30" s="288"/>
      <c r="Q30" s="287">
        <v>2.6</v>
      </c>
      <c r="R30" s="288"/>
      <c r="S30" s="287">
        <v>0</v>
      </c>
      <c r="T30" s="288"/>
      <c r="U30" s="287">
        <v>0</v>
      </c>
      <c r="V30" s="288">
        <v>0</v>
      </c>
      <c r="W30" s="288">
        <v>0</v>
      </c>
      <c r="X30" s="288">
        <v>0</v>
      </c>
      <c r="Y30" s="288"/>
    </row>
    <row r="31" spans="2:25" ht="15" x14ac:dyDescent="0.4">
      <c r="B31" s="1191"/>
      <c r="C31" s="1195"/>
      <c r="D31" s="1186"/>
      <c r="E31" s="180" t="s">
        <v>68</v>
      </c>
      <c r="F31" s="172" t="s">
        <v>77</v>
      </c>
      <c r="G31" s="137"/>
      <c r="H31" s="138"/>
      <c r="I31" s="287">
        <v>40</v>
      </c>
      <c r="J31" s="288"/>
      <c r="K31" s="287">
        <v>25</v>
      </c>
      <c r="L31" s="288"/>
      <c r="M31" s="287">
        <v>25</v>
      </c>
      <c r="N31" s="288"/>
      <c r="O31" s="287">
        <v>30</v>
      </c>
      <c r="P31" s="288"/>
      <c r="Q31" s="287">
        <v>30</v>
      </c>
      <c r="R31" s="288"/>
      <c r="S31" s="287">
        <v>30</v>
      </c>
      <c r="T31" s="288"/>
      <c r="U31" s="287">
        <v>30</v>
      </c>
      <c r="V31" s="288">
        <v>30</v>
      </c>
      <c r="W31" s="288">
        <v>30</v>
      </c>
      <c r="X31" s="288">
        <v>30</v>
      </c>
      <c r="Y31" s="288"/>
    </row>
    <row r="32" spans="2:25" ht="22.9" customHeight="1" x14ac:dyDescent="0.4">
      <c r="B32" s="1191"/>
      <c r="C32" s="1195"/>
      <c r="D32" s="1186"/>
      <c r="E32" s="426" t="s">
        <v>150</v>
      </c>
      <c r="F32" s="144"/>
      <c r="G32" s="136"/>
      <c r="H32" s="153" t="s">
        <v>51</v>
      </c>
      <c r="I32" s="289" t="s">
        <v>151</v>
      </c>
      <c r="J32" s="290"/>
      <c r="K32" s="289" t="s">
        <v>151</v>
      </c>
      <c r="L32" s="290"/>
      <c r="M32" s="289" t="s">
        <v>151</v>
      </c>
      <c r="N32" s="290"/>
      <c r="O32" s="289" t="s">
        <v>48</v>
      </c>
      <c r="P32" s="290"/>
      <c r="Q32" s="289" t="s">
        <v>48</v>
      </c>
      <c r="R32" s="290"/>
      <c r="S32" s="289" t="s">
        <v>151</v>
      </c>
      <c r="T32" s="290"/>
      <c r="U32" s="289" t="s">
        <v>151</v>
      </c>
      <c r="V32" s="290" t="s">
        <v>151</v>
      </c>
      <c r="W32" s="290" t="s">
        <v>151</v>
      </c>
      <c r="X32" s="290" t="s">
        <v>151</v>
      </c>
      <c r="Y32" s="290"/>
    </row>
    <row r="33" spans="2:25" ht="15.75" customHeight="1" thickBot="1" x14ac:dyDescent="0.45">
      <c r="B33" s="1191"/>
      <c r="C33" s="1195"/>
      <c r="D33" s="1187"/>
      <c r="E33" s="181" t="s">
        <v>152</v>
      </c>
      <c r="F33" s="173"/>
      <c r="G33" s="159"/>
      <c r="H33" s="160" t="s">
        <v>153</v>
      </c>
      <c r="I33" s="291" t="s">
        <v>154</v>
      </c>
      <c r="J33" s="292"/>
      <c r="K33" s="291" t="s">
        <v>154</v>
      </c>
      <c r="L33" s="292"/>
      <c r="M33" s="291" t="s">
        <v>154</v>
      </c>
      <c r="N33" s="292"/>
      <c r="O33" s="291" t="s">
        <v>154</v>
      </c>
      <c r="P33" s="292"/>
      <c r="Q33" s="291" t="s">
        <v>154</v>
      </c>
      <c r="R33" s="292"/>
      <c r="S33" s="291" t="s">
        <v>154</v>
      </c>
      <c r="T33" s="292"/>
      <c r="U33" s="291" t="s">
        <v>154</v>
      </c>
      <c r="V33" s="292" t="s">
        <v>154</v>
      </c>
      <c r="W33" s="292" t="s">
        <v>154</v>
      </c>
      <c r="X33" s="292" t="s">
        <v>154</v>
      </c>
      <c r="Y33" s="292"/>
    </row>
    <row r="34" spans="2:25" ht="30.75" customHeight="1" x14ac:dyDescent="0.4">
      <c r="B34" s="1191"/>
      <c r="C34" s="1195"/>
      <c r="D34" s="1199" t="s">
        <v>156</v>
      </c>
      <c r="E34" s="424" t="s">
        <v>130</v>
      </c>
      <c r="F34" s="425"/>
      <c r="G34" s="133"/>
      <c r="H34" s="40" t="s">
        <v>131</v>
      </c>
      <c r="I34" s="285" t="s">
        <v>132</v>
      </c>
      <c r="J34" s="286"/>
      <c r="K34" s="285" t="s">
        <v>132</v>
      </c>
      <c r="L34" s="286"/>
      <c r="M34" s="285" t="s">
        <v>132</v>
      </c>
      <c r="N34" s="286"/>
      <c r="O34" s="285" t="s">
        <v>133</v>
      </c>
      <c r="P34" s="286"/>
      <c r="Q34" s="285" t="s">
        <v>133</v>
      </c>
      <c r="R34" s="286"/>
      <c r="S34" s="285" t="s">
        <v>132</v>
      </c>
      <c r="T34" s="286"/>
      <c r="U34" s="285" t="s">
        <v>132</v>
      </c>
      <c r="V34" s="286" t="s">
        <v>132</v>
      </c>
      <c r="W34" s="286" t="s">
        <v>132</v>
      </c>
      <c r="X34" s="286" t="s">
        <v>132</v>
      </c>
      <c r="Y34" s="286"/>
    </row>
    <row r="35" spans="2:25" ht="22.9" customHeight="1" x14ac:dyDescent="0.4">
      <c r="B35" s="1191"/>
      <c r="C35" s="1195"/>
      <c r="D35" s="1186"/>
      <c r="E35" s="180" t="s">
        <v>134</v>
      </c>
      <c r="F35" s="172" t="s">
        <v>39</v>
      </c>
      <c r="G35" s="137" t="s">
        <v>135</v>
      </c>
      <c r="H35" s="138"/>
      <c r="I35" s="287">
        <v>24.3</v>
      </c>
      <c r="J35" s="288"/>
      <c r="K35" s="287">
        <v>24.3</v>
      </c>
      <c r="L35" s="288"/>
      <c r="M35" s="287">
        <v>24.3</v>
      </c>
      <c r="N35" s="288"/>
      <c r="O35" s="287">
        <v>58.3</v>
      </c>
      <c r="P35" s="288"/>
      <c r="Q35" s="287">
        <v>56.8</v>
      </c>
      <c r="R35" s="288"/>
      <c r="S35" s="287">
        <v>20.8</v>
      </c>
      <c r="T35" s="288"/>
      <c r="U35" s="287">
        <v>22.7</v>
      </c>
      <c r="V35" s="288">
        <v>22</v>
      </c>
      <c r="W35" s="288">
        <v>23.2</v>
      </c>
      <c r="X35" s="288">
        <v>23.9</v>
      </c>
      <c r="Y35" s="288"/>
    </row>
    <row r="36" spans="2:25" ht="22.9" customHeight="1" x14ac:dyDescent="0.4">
      <c r="B36" s="1191"/>
      <c r="C36" s="1195"/>
      <c r="D36" s="1186"/>
      <c r="E36" s="426" t="s">
        <v>136</v>
      </c>
      <c r="F36" s="144" t="s">
        <v>137</v>
      </c>
      <c r="G36" s="136" t="s">
        <v>138</v>
      </c>
      <c r="H36" s="153"/>
      <c r="I36" s="287">
        <v>0</v>
      </c>
      <c r="J36" s="288"/>
      <c r="K36" s="287">
        <v>0</v>
      </c>
      <c r="L36" s="288"/>
      <c r="M36" s="287">
        <v>0</v>
      </c>
      <c r="N36" s="288"/>
      <c r="O36" s="287">
        <v>3.66</v>
      </c>
      <c r="P36" s="288"/>
      <c r="Q36" s="287">
        <v>3.65</v>
      </c>
      <c r="R36" s="288"/>
      <c r="S36" s="287">
        <v>0</v>
      </c>
      <c r="T36" s="288"/>
      <c r="U36" s="287">
        <v>0</v>
      </c>
      <c r="V36" s="288">
        <v>0</v>
      </c>
      <c r="W36" s="288">
        <v>0</v>
      </c>
      <c r="X36" s="288">
        <v>0</v>
      </c>
      <c r="Y36" s="288"/>
    </row>
    <row r="37" spans="2:25" ht="45.75" customHeight="1" x14ac:dyDescent="0.4">
      <c r="B37" s="1191"/>
      <c r="C37" s="1195"/>
      <c r="D37" s="1186"/>
      <c r="E37" s="180" t="s">
        <v>139</v>
      </c>
      <c r="F37" s="172" t="s">
        <v>140</v>
      </c>
      <c r="G37" s="137" t="s">
        <v>141</v>
      </c>
      <c r="H37" s="138"/>
      <c r="I37" s="287">
        <v>0.31</v>
      </c>
      <c r="J37" s="288"/>
      <c r="K37" s="287">
        <v>0.31</v>
      </c>
      <c r="L37" s="288"/>
      <c r="M37" s="287">
        <v>0.31</v>
      </c>
      <c r="N37" s="288"/>
      <c r="O37" s="287">
        <v>2.77</v>
      </c>
      <c r="P37" s="288"/>
      <c r="Q37" s="287">
        <v>2.77</v>
      </c>
      <c r="R37" s="288"/>
      <c r="S37" s="287">
        <v>0.3</v>
      </c>
      <c r="T37" s="288"/>
      <c r="U37" s="287">
        <v>0.3</v>
      </c>
      <c r="V37" s="288">
        <v>0.3</v>
      </c>
      <c r="W37" s="288">
        <v>0.3</v>
      </c>
      <c r="X37" s="288">
        <v>0</v>
      </c>
      <c r="Y37" s="288"/>
    </row>
    <row r="38" spans="2:25" ht="15" x14ac:dyDescent="0.4">
      <c r="B38" s="1191"/>
      <c r="C38" s="1195"/>
      <c r="D38" s="1186"/>
      <c r="E38" s="426" t="s">
        <v>142</v>
      </c>
      <c r="F38" s="144" t="s">
        <v>143</v>
      </c>
      <c r="G38" s="136"/>
      <c r="H38" s="153"/>
      <c r="I38" s="287">
        <v>0</v>
      </c>
      <c r="J38" s="288"/>
      <c r="K38" s="287">
        <v>0</v>
      </c>
      <c r="L38" s="288"/>
      <c r="M38" s="287">
        <v>0</v>
      </c>
      <c r="N38" s="288"/>
      <c r="O38" s="287">
        <v>8.15</v>
      </c>
      <c r="P38" s="288"/>
      <c r="Q38" s="287">
        <v>32.979999999999997</v>
      </c>
      <c r="R38" s="288"/>
      <c r="S38" s="287">
        <v>0</v>
      </c>
      <c r="T38" s="288"/>
      <c r="U38" s="287">
        <v>0</v>
      </c>
      <c r="V38" s="288">
        <v>0</v>
      </c>
      <c r="W38" s="288">
        <v>0</v>
      </c>
      <c r="X38" s="288">
        <v>0</v>
      </c>
      <c r="Y38" s="288"/>
    </row>
    <row r="39" spans="2:25" ht="15" x14ac:dyDescent="0.4">
      <c r="B39" s="1191"/>
      <c r="C39" s="1195"/>
      <c r="D39" s="1186"/>
      <c r="E39" s="180" t="s">
        <v>144</v>
      </c>
      <c r="F39" s="172" t="s">
        <v>143</v>
      </c>
      <c r="G39" s="137"/>
      <c r="H39" s="138"/>
      <c r="I39" s="287">
        <v>70.709999999999994</v>
      </c>
      <c r="J39" s="288"/>
      <c r="K39" s="287">
        <v>70.709999999999994</v>
      </c>
      <c r="L39" s="288"/>
      <c r="M39" s="287">
        <v>70.709999999999994</v>
      </c>
      <c r="N39" s="288"/>
      <c r="O39" s="287">
        <v>79.319999999999993</v>
      </c>
      <c r="P39" s="288"/>
      <c r="Q39" s="287">
        <v>104.15</v>
      </c>
      <c r="R39" s="288"/>
      <c r="S39" s="287">
        <v>121.19</v>
      </c>
      <c r="T39" s="288"/>
      <c r="U39" s="287">
        <v>121.19</v>
      </c>
      <c r="V39" s="288">
        <v>121.19</v>
      </c>
      <c r="W39" s="288">
        <v>121.19</v>
      </c>
      <c r="X39" s="288">
        <v>121.19</v>
      </c>
      <c r="Y39" s="288"/>
    </row>
    <row r="40" spans="2:25" ht="15" x14ac:dyDescent="0.4">
      <c r="B40" s="1191"/>
      <c r="C40" s="1195"/>
      <c r="D40" s="1186"/>
      <c r="E40" s="180" t="s">
        <v>145</v>
      </c>
      <c r="F40" s="172" t="s">
        <v>146</v>
      </c>
      <c r="G40" s="137"/>
      <c r="H40" s="138"/>
      <c r="I40" s="287">
        <v>0</v>
      </c>
      <c r="J40" s="288"/>
      <c r="K40" s="287">
        <v>0</v>
      </c>
      <c r="L40" s="288"/>
      <c r="M40" s="287">
        <v>0</v>
      </c>
      <c r="N40" s="288"/>
      <c r="O40" s="287">
        <v>2.1</v>
      </c>
      <c r="P40" s="288"/>
      <c r="Q40" s="287">
        <v>2.1</v>
      </c>
      <c r="R40" s="288"/>
      <c r="S40" s="287">
        <v>0</v>
      </c>
      <c r="T40" s="288"/>
      <c r="U40" s="287">
        <v>0</v>
      </c>
      <c r="V40" s="288">
        <v>0</v>
      </c>
      <c r="W40" s="288">
        <v>0</v>
      </c>
      <c r="X40" s="288">
        <v>0</v>
      </c>
      <c r="Y40" s="288"/>
    </row>
    <row r="41" spans="2:25" ht="15" x14ac:dyDescent="0.4">
      <c r="B41" s="1191"/>
      <c r="C41" s="1195"/>
      <c r="D41" s="1186"/>
      <c r="E41" s="426" t="s">
        <v>147</v>
      </c>
      <c r="F41" s="144" t="s">
        <v>146</v>
      </c>
      <c r="G41" s="136"/>
      <c r="H41" s="153"/>
      <c r="I41" s="287">
        <v>0</v>
      </c>
      <c r="J41" s="288"/>
      <c r="K41" s="287">
        <v>0</v>
      </c>
      <c r="L41" s="288"/>
      <c r="M41" s="287">
        <v>0</v>
      </c>
      <c r="N41" s="288"/>
      <c r="O41" s="287">
        <v>9.1</v>
      </c>
      <c r="P41" s="288"/>
      <c r="Q41" s="287">
        <v>9</v>
      </c>
      <c r="R41" s="288"/>
      <c r="S41" s="287">
        <v>0</v>
      </c>
      <c r="T41" s="288"/>
      <c r="U41" s="287">
        <v>0</v>
      </c>
      <c r="V41" s="288">
        <v>0</v>
      </c>
      <c r="W41" s="288">
        <v>0</v>
      </c>
      <c r="X41" s="288">
        <v>0</v>
      </c>
      <c r="Y41" s="288"/>
    </row>
    <row r="42" spans="2:25" ht="15" x14ac:dyDescent="0.4">
      <c r="B42" s="1191"/>
      <c r="C42" s="1195"/>
      <c r="D42" s="1186"/>
      <c r="E42" s="180" t="s">
        <v>148</v>
      </c>
      <c r="F42" s="172" t="s">
        <v>146</v>
      </c>
      <c r="G42" s="137"/>
      <c r="H42" s="138"/>
      <c r="I42" s="287">
        <v>0</v>
      </c>
      <c r="J42" s="288"/>
      <c r="K42" s="287">
        <v>0</v>
      </c>
      <c r="L42" s="288"/>
      <c r="M42" s="287">
        <v>0</v>
      </c>
      <c r="N42" s="288"/>
      <c r="O42" s="287">
        <v>36</v>
      </c>
      <c r="P42" s="288"/>
      <c r="Q42" s="287">
        <v>36</v>
      </c>
      <c r="R42" s="288"/>
      <c r="S42" s="287">
        <v>0</v>
      </c>
      <c r="T42" s="288"/>
      <c r="U42" s="287">
        <v>0</v>
      </c>
      <c r="V42" s="288">
        <v>0</v>
      </c>
      <c r="W42" s="288">
        <v>0</v>
      </c>
      <c r="X42" s="288">
        <v>0</v>
      </c>
      <c r="Y42" s="288"/>
    </row>
    <row r="43" spans="2:25" ht="15" x14ac:dyDescent="0.4">
      <c r="B43" s="1191"/>
      <c r="C43" s="1195"/>
      <c r="D43" s="1186"/>
      <c r="E43" s="426" t="s">
        <v>149</v>
      </c>
      <c r="F43" s="144" t="s">
        <v>146</v>
      </c>
      <c r="G43" s="136"/>
      <c r="H43" s="153"/>
      <c r="I43" s="287">
        <v>0</v>
      </c>
      <c r="J43" s="288"/>
      <c r="K43" s="287">
        <v>0</v>
      </c>
      <c r="L43" s="288"/>
      <c r="M43" s="287">
        <v>0</v>
      </c>
      <c r="N43" s="288"/>
      <c r="O43" s="287">
        <v>2.6</v>
      </c>
      <c r="P43" s="288"/>
      <c r="Q43" s="287">
        <v>2.6</v>
      </c>
      <c r="R43" s="288"/>
      <c r="S43" s="287">
        <v>0</v>
      </c>
      <c r="T43" s="288"/>
      <c r="U43" s="287">
        <v>0</v>
      </c>
      <c r="V43" s="288">
        <v>0</v>
      </c>
      <c r="W43" s="288">
        <v>0</v>
      </c>
      <c r="X43" s="288">
        <v>0</v>
      </c>
      <c r="Y43" s="288"/>
    </row>
    <row r="44" spans="2:25" ht="15" x14ac:dyDescent="0.4">
      <c r="B44" s="1191"/>
      <c r="C44" s="1195"/>
      <c r="D44" s="1186"/>
      <c r="E44" s="426" t="s">
        <v>68</v>
      </c>
      <c r="F44" s="144" t="s">
        <v>77</v>
      </c>
      <c r="G44" s="136"/>
      <c r="H44" s="153"/>
      <c r="I44" s="287">
        <v>40</v>
      </c>
      <c r="J44" s="288"/>
      <c r="K44" s="287">
        <v>25</v>
      </c>
      <c r="L44" s="288"/>
      <c r="M44" s="287">
        <v>25</v>
      </c>
      <c r="N44" s="288"/>
      <c r="O44" s="287">
        <v>30</v>
      </c>
      <c r="P44" s="288"/>
      <c r="Q44" s="287">
        <v>30</v>
      </c>
      <c r="R44" s="288"/>
      <c r="S44" s="287">
        <v>30</v>
      </c>
      <c r="T44" s="288"/>
      <c r="U44" s="287">
        <v>30</v>
      </c>
      <c r="V44" s="288">
        <v>30</v>
      </c>
      <c r="W44" s="288">
        <v>30</v>
      </c>
      <c r="X44" s="288">
        <v>30</v>
      </c>
      <c r="Y44" s="288"/>
    </row>
    <row r="45" spans="2:25" ht="22.9" customHeight="1" x14ac:dyDescent="0.4">
      <c r="B45" s="1191"/>
      <c r="C45" s="1195"/>
      <c r="D45" s="1186"/>
      <c r="E45" s="180" t="s">
        <v>157</v>
      </c>
      <c r="F45" s="172"/>
      <c r="G45" s="137"/>
      <c r="H45" s="138" t="s">
        <v>51</v>
      </c>
      <c r="I45" s="289" t="s">
        <v>151</v>
      </c>
      <c r="J45" s="290"/>
      <c r="K45" s="289" t="s">
        <v>151</v>
      </c>
      <c r="L45" s="290"/>
      <c r="M45" s="289" t="s">
        <v>151</v>
      </c>
      <c r="N45" s="290"/>
      <c r="O45" s="289" t="s">
        <v>48</v>
      </c>
      <c r="P45" s="290"/>
      <c r="Q45" s="289" t="s">
        <v>48</v>
      </c>
      <c r="R45" s="290"/>
      <c r="S45" s="289" t="s">
        <v>151</v>
      </c>
      <c r="T45" s="290"/>
      <c r="U45" s="289" t="s">
        <v>151</v>
      </c>
      <c r="V45" s="290" t="s">
        <v>151</v>
      </c>
      <c r="W45" s="290" t="s">
        <v>151</v>
      </c>
      <c r="X45" s="290" t="s">
        <v>151</v>
      </c>
      <c r="Y45" s="290"/>
    </row>
    <row r="46" spans="2:25" ht="15.75" customHeight="1" thickBot="1" x14ac:dyDescent="0.45">
      <c r="B46" s="1191"/>
      <c r="C46" s="1195"/>
      <c r="D46" s="1187"/>
      <c r="E46" s="427" t="s">
        <v>152</v>
      </c>
      <c r="F46" s="428"/>
      <c r="G46" s="148"/>
      <c r="H46" s="149" t="s">
        <v>153</v>
      </c>
      <c r="I46" s="291" t="s">
        <v>154</v>
      </c>
      <c r="J46" s="292"/>
      <c r="K46" s="291" t="s">
        <v>154</v>
      </c>
      <c r="L46" s="292"/>
      <c r="M46" s="291" t="s">
        <v>154</v>
      </c>
      <c r="N46" s="292"/>
      <c r="O46" s="291" t="s">
        <v>154</v>
      </c>
      <c r="P46" s="292"/>
      <c r="Q46" s="291" t="s">
        <v>154</v>
      </c>
      <c r="R46" s="292"/>
      <c r="S46" s="291" t="s">
        <v>154</v>
      </c>
      <c r="T46" s="292"/>
      <c r="U46" s="291" t="s">
        <v>154</v>
      </c>
      <c r="V46" s="292" t="s">
        <v>154</v>
      </c>
      <c r="W46" s="292" t="s">
        <v>154</v>
      </c>
      <c r="X46" s="292" t="s">
        <v>154</v>
      </c>
      <c r="Y46" s="292"/>
    </row>
    <row r="47" spans="2:25" ht="30.75" customHeight="1" x14ac:dyDescent="0.4">
      <c r="B47" s="1191"/>
      <c r="C47" s="1195"/>
      <c r="D47" s="1199" t="s">
        <v>158</v>
      </c>
      <c r="E47" s="179" t="s">
        <v>130</v>
      </c>
      <c r="F47" s="171"/>
      <c r="G47" s="132"/>
      <c r="H47" s="37" t="s">
        <v>131</v>
      </c>
      <c r="I47" s="285" t="s">
        <v>132</v>
      </c>
      <c r="J47" s="286"/>
      <c r="K47" s="285" t="s">
        <v>132</v>
      </c>
      <c r="L47" s="286"/>
      <c r="M47" s="285" t="s">
        <v>132</v>
      </c>
      <c r="N47" s="286"/>
      <c r="O47" s="285" t="s">
        <v>132</v>
      </c>
      <c r="P47" s="286"/>
      <c r="Q47" s="285" t="s">
        <v>132</v>
      </c>
      <c r="R47" s="286"/>
      <c r="S47" s="285" t="s">
        <v>132</v>
      </c>
      <c r="T47" s="286"/>
      <c r="U47" s="285" t="s">
        <v>132</v>
      </c>
      <c r="V47" s="286" t="s">
        <v>132</v>
      </c>
      <c r="W47" s="286" t="s">
        <v>132</v>
      </c>
      <c r="X47" s="286" t="s">
        <v>133</v>
      </c>
      <c r="Y47" s="286"/>
    </row>
    <row r="48" spans="2:25" ht="22.9" customHeight="1" x14ac:dyDescent="0.4">
      <c r="B48" s="1191"/>
      <c r="C48" s="1195"/>
      <c r="D48" s="1186"/>
      <c r="E48" s="426" t="s">
        <v>134</v>
      </c>
      <c r="F48" s="144" t="s">
        <v>39</v>
      </c>
      <c r="G48" s="136" t="s">
        <v>135</v>
      </c>
      <c r="H48" s="153"/>
      <c r="I48" s="287">
        <v>24.4</v>
      </c>
      <c r="J48" s="288"/>
      <c r="K48" s="287">
        <v>24.4</v>
      </c>
      <c r="L48" s="288"/>
      <c r="M48" s="287">
        <v>24.4</v>
      </c>
      <c r="N48" s="288"/>
      <c r="O48" s="287">
        <v>40.700000000000003</v>
      </c>
      <c r="P48" s="288"/>
      <c r="Q48" s="287">
        <v>35.799999999999997</v>
      </c>
      <c r="R48" s="288"/>
      <c r="S48" s="287">
        <v>20.9</v>
      </c>
      <c r="T48" s="288"/>
      <c r="U48" s="287">
        <v>23.1</v>
      </c>
      <c r="V48" s="288">
        <v>22.8</v>
      </c>
      <c r="W48" s="288">
        <v>23.2</v>
      </c>
      <c r="X48" s="288">
        <v>44.4</v>
      </c>
      <c r="Y48" s="288"/>
    </row>
    <row r="49" spans="2:25" ht="22.9" customHeight="1" x14ac:dyDescent="0.4">
      <c r="B49" s="1191"/>
      <c r="C49" s="1195"/>
      <c r="D49" s="1186"/>
      <c r="E49" s="180" t="s">
        <v>136</v>
      </c>
      <c r="F49" s="172" t="s">
        <v>137</v>
      </c>
      <c r="G49" s="137" t="s">
        <v>138</v>
      </c>
      <c r="H49" s="138"/>
      <c r="I49" s="287">
        <v>0</v>
      </c>
      <c r="J49" s="288"/>
      <c r="K49" s="287">
        <v>0</v>
      </c>
      <c r="L49" s="288"/>
      <c r="M49" s="287">
        <v>0</v>
      </c>
      <c r="N49" s="288"/>
      <c r="O49" s="287">
        <v>0.01</v>
      </c>
      <c r="P49" s="288"/>
      <c r="Q49" s="287">
        <v>0.01</v>
      </c>
      <c r="R49" s="288"/>
      <c r="S49" s="287">
        <v>0</v>
      </c>
      <c r="T49" s="288"/>
      <c r="U49" s="287">
        <v>0</v>
      </c>
      <c r="V49" s="288">
        <v>0</v>
      </c>
      <c r="W49" s="288">
        <v>0</v>
      </c>
      <c r="X49" s="288">
        <v>3.58</v>
      </c>
      <c r="Y49" s="288"/>
    </row>
    <row r="50" spans="2:25" ht="45.75" customHeight="1" x14ac:dyDescent="0.4">
      <c r="B50" s="1191"/>
      <c r="C50" s="1195"/>
      <c r="D50" s="1186"/>
      <c r="E50" s="426" t="s">
        <v>139</v>
      </c>
      <c r="F50" s="144" t="s">
        <v>140</v>
      </c>
      <c r="G50" s="136" t="s">
        <v>141</v>
      </c>
      <c r="H50" s="153"/>
      <c r="I50" s="287">
        <v>0.02</v>
      </c>
      <c r="J50" s="288"/>
      <c r="K50" s="287">
        <v>0.02</v>
      </c>
      <c r="L50" s="288"/>
      <c r="M50" s="287">
        <v>0.02</v>
      </c>
      <c r="N50" s="288"/>
      <c r="O50" s="287">
        <v>0.03</v>
      </c>
      <c r="P50" s="288"/>
      <c r="Q50" s="287">
        <v>0.02</v>
      </c>
      <c r="R50" s="288"/>
      <c r="S50" s="287">
        <v>0.01</v>
      </c>
      <c r="T50" s="288"/>
      <c r="U50" s="287">
        <v>0.02</v>
      </c>
      <c r="V50" s="288">
        <v>0.03</v>
      </c>
      <c r="W50" s="288">
        <v>0.02</v>
      </c>
      <c r="X50" s="288">
        <v>2.76</v>
      </c>
      <c r="Y50" s="288"/>
    </row>
    <row r="51" spans="2:25" ht="15" x14ac:dyDescent="0.4">
      <c r="B51" s="1191"/>
      <c r="C51" s="1195"/>
      <c r="D51" s="1186"/>
      <c r="E51" s="180" t="s">
        <v>142</v>
      </c>
      <c r="F51" s="172" t="s">
        <v>143</v>
      </c>
      <c r="G51" s="137"/>
      <c r="H51" s="138"/>
      <c r="I51" s="287">
        <v>0</v>
      </c>
      <c r="J51" s="288"/>
      <c r="K51" s="287">
        <v>0</v>
      </c>
      <c r="L51" s="288"/>
      <c r="M51" s="287">
        <v>0</v>
      </c>
      <c r="N51" s="288"/>
      <c r="O51" s="287">
        <v>0</v>
      </c>
      <c r="P51" s="288"/>
      <c r="Q51" s="287">
        <v>0</v>
      </c>
      <c r="R51" s="288"/>
      <c r="S51" s="287">
        <v>0</v>
      </c>
      <c r="T51" s="288"/>
      <c r="U51" s="287">
        <v>0</v>
      </c>
      <c r="V51" s="288">
        <v>0</v>
      </c>
      <c r="W51" s="288">
        <v>0</v>
      </c>
      <c r="X51" s="288">
        <v>16.82</v>
      </c>
      <c r="Y51" s="288"/>
    </row>
    <row r="52" spans="2:25" ht="15" x14ac:dyDescent="0.4">
      <c r="B52" s="1191"/>
      <c r="C52" s="1195"/>
      <c r="D52" s="1186"/>
      <c r="E52" s="426" t="s">
        <v>144</v>
      </c>
      <c r="F52" s="144" t="s">
        <v>143</v>
      </c>
      <c r="G52" s="136"/>
      <c r="H52" s="153"/>
      <c r="I52" s="287">
        <v>464.95</v>
      </c>
      <c r="J52" s="288"/>
      <c r="K52" s="287">
        <v>464.95</v>
      </c>
      <c r="L52" s="288"/>
      <c r="M52" s="287">
        <v>464.95</v>
      </c>
      <c r="N52" s="288"/>
      <c r="O52" s="287">
        <v>464.85</v>
      </c>
      <c r="P52" s="288"/>
      <c r="Q52" s="287">
        <v>464.85</v>
      </c>
      <c r="R52" s="288"/>
      <c r="S52" s="287">
        <v>464.85</v>
      </c>
      <c r="T52" s="288"/>
      <c r="U52" s="287">
        <v>464.95</v>
      </c>
      <c r="V52" s="288">
        <v>465.23</v>
      </c>
      <c r="W52" s="288">
        <v>465.77</v>
      </c>
      <c r="X52" s="288">
        <v>482.64</v>
      </c>
      <c r="Y52" s="288"/>
    </row>
    <row r="53" spans="2:25" ht="15" x14ac:dyDescent="0.4">
      <c r="B53" s="1191"/>
      <c r="C53" s="1195"/>
      <c r="D53" s="1186"/>
      <c r="E53" s="180" t="s">
        <v>145</v>
      </c>
      <c r="F53" s="172" t="s">
        <v>146</v>
      </c>
      <c r="G53" s="137"/>
      <c r="H53" s="138"/>
      <c r="I53" s="287">
        <v>0</v>
      </c>
      <c r="J53" s="288"/>
      <c r="K53" s="287">
        <v>0</v>
      </c>
      <c r="L53" s="288"/>
      <c r="M53" s="287">
        <v>0</v>
      </c>
      <c r="N53" s="288"/>
      <c r="O53" s="287">
        <v>0</v>
      </c>
      <c r="P53" s="288"/>
      <c r="Q53" s="287">
        <v>0</v>
      </c>
      <c r="R53" s="288"/>
      <c r="S53" s="287">
        <v>0</v>
      </c>
      <c r="T53" s="288"/>
      <c r="U53" s="287">
        <v>0</v>
      </c>
      <c r="V53" s="288">
        <v>0</v>
      </c>
      <c r="W53" s="288">
        <v>0</v>
      </c>
      <c r="X53" s="288">
        <v>2.1</v>
      </c>
      <c r="Y53" s="288"/>
    </row>
    <row r="54" spans="2:25" ht="15" x14ac:dyDescent="0.4">
      <c r="B54" s="1191"/>
      <c r="C54" s="1195"/>
      <c r="D54" s="1186"/>
      <c r="E54" s="426" t="s">
        <v>147</v>
      </c>
      <c r="F54" s="144" t="s">
        <v>146</v>
      </c>
      <c r="G54" s="136"/>
      <c r="H54" s="153"/>
      <c r="I54" s="287">
        <v>0</v>
      </c>
      <c r="J54" s="288"/>
      <c r="K54" s="287">
        <v>0</v>
      </c>
      <c r="L54" s="288"/>
      <c r="M54" s="287">
        <v>0</v>
      </c>
      <c r="N54" s="288"/>
      <c r="O54" s="287">
        <v>0</v>
      </c>
      <c r="P54" s="288"/>
      <c r="Q54" s="287">
        <v>0</v>
      </c>
      <c r="R54" s="288"/>
      <c r="S54" s="287">
        <v>0</v>
      </c>
      <c r="T54" s="288"/>
      <c r="U54" s="287">
        <v>0</v>
      </c>
      <c r="V54" s="288">
        <v>0</v>
      </c>
      <c r="W54" s="288">
        <v>0</v>
      </c>
      <c r="X54" s="288">
        <v>9.1999999999999993</v>
      </c>
      <c r="Y54" s="288"/>
    </row>
    <row r="55" spans="2:25" ht="15" x14ac:dyDescent="0.4">
      <c r="B55" s="1191"/>
      <c r="C55" s="1195"/>
      <c r="D55" s="1186"/>
      <c r="E55" s="180" t="s">
        <v>148</v>
      </c>
      <c r="F55" s="172" t="s">
        <v>146</v>
      </c>
      <c r="G55" s="137"/>
      <c r="H55" s="138"/>
      <c r="I55" s="287">
        <v>0</v>
      </c>
      <c r="J55" s="288"/>
      <c r="K55" s="287">
        <v>0</v>
      </c>
      <c r="L55" s="288"/>
      <c r="M55" s="287">
        <v>0</v>
      </c>
      <c r="N55" s="288"/>
      <c r="O55" s="287">
        <v>0</v>
      </c>
      <c r="P55" s="288"/>
      <c r="Q55" s="287">
        <v>0</v>
      </c>
      <c r="R55" s="288"/>
      <c r="S55" s="287">
        <v>0</v>
      </c>
      <c r="T55" s="288"/>
      <c r="U55" s="287">
        <v>0</v>
      </c>
      <c r="V55" s="288">
        <v>0</v>
      </c>
      <c r="W55" s="288">
        <v>0</v>
      </c>
      <c r="X55" s="288">
        <v>35</v>
      </c>
      <c r="Y55" s="288"/>
    </row>
    <row r="56" spans="2:25" ht="15" x14ac:dyDescent="0.4">
      <c r="B56" s="1191"/>
      <c r="C56" s="1195"/>
      <c r="D56" s="1186"/>
      <c r="E56" s="426" t="s">
        <v>149</v>
      </c>
      <c r="F56" s="144" t="s">
        <v>146</v>
      </c>
      <c r="G56" s="136"/>
      <c r="H56" s="153"/>
      <c r="I56" s="287">
        <v>0</v>
      </c>
      <c r="J56" s="288"/>
      <c r="K56" s="287">
        <v>0</v>
      </c>
      <c r="L56" s="288"/>
      <c r="M56" s="287">
        <v>0</v>
      </c>
      <c r="N56" s="288"/>
      <c r="O56" s="287">
        <v>0</v>
      </c>
      <c r="P56" s="288"/>
      <c r="Q56" s="287">
        <v>0</v>
      </c>
      <c r="R56" s="288"/>
      <c r="S56" s="287">
        <v>0</v>
      </c>
      <c r="T56" s="288"/>
      <c r="U56" s="287">
        <v>0</v>
      </c>
      <c r="V56" s="288">
        <v>0</v>
      </c>
      <c r="W56" s="288">
        <v>0</v>
      </c>
      <c r="X56" s="288">
        <v>3</v>
      </c>
      <c r="Y56" s="288"/>
    </row>
    <row r="57" spans="2:25" ht="15" x14ac:dyDescent="0.4">
      <c r="B57" s="1191"/>
      <c r="C57" s="1195"/>
      <c r="D57" s="1186"/>
      <c r="E57" s="180" t="s">
        <v>68</v>
      </c>
      <c r="F57" s="172" t="s">
        <v>77</v>
      </c>
      <c r="G57" s="137"/>
      <c r="H57" s="138"/>
      <c r="I57" s="287">
        <v>45</v>
      </c>
      <c r="J57" s="288"/>
      <c r="K57" s="287">
        <v>30</v>
      </c>
      <c r="L57" s="288"/>
      <c r="M57" s="287">
        <v>30</v>
      </c>
      <c r="N57" s="288"/>
      <c r="O57" s="287">
        <v>30</v>
      </c>
      <c r="P57" s="288"/>
      <c r="Q57" s="287">
        <v>30</v>
      </c>
      <c r="R57" s="288"/>
      <c r="S57" s="287">
        <v>30</v>
      </c>
      <c r="T57" s="288"/>
      <c r="U57" s="287">
        <v>30</v>
      </c>
      <c r="V57" s="288">
        <v>30</v>
      </c>
      <c r="W57" s="288">
        <v>30</v>
      </c>
      <c r="X57" s="288">
        <v>20</v>
      </c>
      <c r="Y57" s="288"/>
    </row>
    <row r="58" spans="2:25" ht="22.9" customHeight="1" x14ac:dyDescent="0.4">
      <c r="B58" s="1191"/>
      <c r="C58" s="1195"/>
      <c r="D58" s="1186"/>
      <c r="E58" s="426" t="s">
        <v>150</v>
      </c>
      <c r="F58" s="144"/>
      <c r="G58" s="136"/>
      <c r="H58" s="153" t="s">
        <v>51</v>
      </c>
      <c r="I58" s="289" t="s">
        <v>151</v>
      </c>
      <c r="J58" s="290"/>
      <c r="K58" s="289" t="s">
        <v>151</v>
      </c>
      <c r="L58" s="290"/>
      <c r="M58" s="289" t="s">
        <v>151</v>
      </c>
      <c r="N58" s="290"/>
      <c r="O58" s="289" t="s">
        <v>151</v>
      </c>
      <c r="P58" s="290"/>
      <c r="Q58" s="289" t="s">
        <v>151</v>
      </c>
      <c r="R58" s="290"/>
      <c r="S58" s="289" t="s">
        <v>151</v>
      </c>
      <c r="T58" s="290"/>
      <c r="U58" s="289" t="s">
        <v>151</v>
      </c>
      <c r="V58" s="290" t="s">
        <v>151</v>
      </c>
      <c r="W58" s="290" t="s">
        <v>151</v>
      </c>
      <c r="X58" s="290" t="s">
        <v>48</v>
      </c>
      <c r="Y58" s="290"/>
    </row>
    <row r="59" spans="2:25" ht="15.75" customHeight="1" thickBot="1" x14ac:dyDescent="0.45">
      <c r="B59" s="1191"/>
      <c r="C59" s="1195"/>
      <c r="D59" s="1187"/>
      <c r="E59" s="181" t="s">
        <v>152</v>
      </c>
      <c r="F59" s="173"/>
      <c r="G59" s="159"/>
      <c r="H59" s="160" t="s">
        <v>153</v>
      </c>
      <c r="I59" s="291" t="s">
        <v>154</v>
      </c>
      <c r="J59" s="292"/>
      <c r="K59" s="291" t="s">
        <v>154</v>
      </c>
      <c r="L59" s="292"/>
      <c r="M59" s="291" t="s">
        <v>154</v>
      </c>
      <c r="N59" s="292"/>
      <c r="O59" s="291" t="s">
        <v>154</v>
      </c>
      <c r="P59" s="292"/>
      <c r="Q59" s="291" t="s">
        <v>154</v>
      </c>
      <c r="R59" s="292"/>
      <c r="S59" s="291" t="s">
        <v>154</v>
      </c>
      <c r="T59" s="292"/>
      <c r="U59" s="291" t="s">
        <v>154</v>
      </c>
      <c r="V59" s="292" t="s">
        <v>154</v>
      </c>
      <c r="W59" s="292" t="s">
        <v>154</v>
      </c>
      <c r="X59" s="292" t="s">
        <v>154</v>
      </c>
      <c r="Y59" s="292"/>
    </row>
    <row r="60" spans="2:25" ht="30.75" customHeight="1" x14ac:dyDescent="0.4">
      <c r="B60" s="1191"/>
      <c r="C60" s="1195"/>
      <c r="D60" s="1199" t="s">
        <v>159</v>
      </c>
      <c r="E60" s="179" t="s">
        <v>130</v>
      </c>
      <c r="F60" s="171"/>
      <c r="G60" s="132"/>
      <c r="H60" s="37" t="s">
        <v>131</v>
      </c>
      <c r="I60" s="285" t="s">
        <v>132</v>
      </c>
      <c r="J60" s="286"/>
      <c r="K60" s="285" t="s">
        <v>132</v>
      </c>
      <c r="L60" s="286"/>
      <c r="M60" s="285" t="s">
        <v>132</v>
      </c>
      <c r="N60" s="286"/>
      <c r="O60" s="285" t="s">
        <v>133</v>
      </c>
      <c r="P60" s="286"/>
      <c r="Q60" s="285" t="s">
        <v>133</v>
      </c>
      <c r="R60" s="286"/>
      <c r="S60" s="285" t="s">
        <v>132</v>
      </c>
      <c r="T60" s="286"/>
      <c r="U60" s="285" t="s">
        <v>132</v>
      </c>
      <c r="V60" s="286" t="s">
        <v>132</v>
      </c>
      <c r="W60" s="286" t="s">
        <v>132</v>
      </c>
      <c r="X60" s="286" t="s">
        <v>132</v>
      </c>
      <c r="Y60" s="286"/>
    </row>
    <row r="61" spans="2:25" ht="22.9" customHeight="1" x14ac:dyDescent="0.4">
      <c r="B61" s="1191"/>
      <c r="C61" s="1195"/>
      <c r="D61" s="1186"/>
      <c r="E61" s="426" t="s">
        <v>134</v>
      </c>
      <c r="F61" s="144" t="s">
        <v>39</v>
      </c>
      <c r="G61" s="136" t="s">
        <v>135</v>
      </c>
      <c r="H61" s="153"/>
      <c r="I61" s="287">
        <v>24.4</v>
      </c>
      <c r="J61" s="288"/>
      <c r="K61" s="287">
        <v>24.5</v>
      </c>
      <c r="L61" s="288"/>
      <c r="M61" s="287">
        <v>24.5</v>
      </c>
      <c r="N61" s="288"/>
      <c r="O61" s="287">
        <v>54.3</v>
      </c>
      <c r="P61" s="288"/>
      <c r="Q61" s="287">
        <v>54.4</v>
      </c>
      <c r="R61" s="288"/>
      <c r="S61" s="287">
        <v>21.1</v>
      </c>
      <c r="T61" s="288"/>
      <c r="U61" s="287">
        <v>22.9</v>
      </c>
      <c r="V61" s="288">
        <v>22</v>
      </c>
      <c r="W61" s="288">
        <v>23.2</v>
      </c>
      <c r="X61" s="288">
        <v>20.9</v>
      </c>
      <c r="Y61" s="288"/>
    </row>
    <row r="62" spans="2:25" ht="22.9" customHeight="1" x14ac:dyDescent="0.4">
      <c r="B62" s="1191"/>
      <c r="C62" s="1195"/>
      <c r="D62" s="1186"/>
      <c r="E62" s="180" t="s">
        <v>136</v>
      </c>
      <c r="F62" s="172" t="s">
        <v>137</v>
      </c>
      <c r="G62" s="137" t="s">
        <v>138</v>
      </c>
      <c r="H62" s="138"/>
      <c r="I62" s="287">
        <v>0</v>
      </c>
      <c r="J62" s="288"/>
      <c r="K62" s="287">
        <v>0</v>
      </c>
      <c r="L62" s="288"/>
      <c r="M62" s="287">
        <v>0</v>
      </c>
      <c r="N62" s="288"/>
      <c r="O62" s="287">
        <v>3.65</v>
      </c>
      <c r="P62" s="288"/>
      <c r="Q62" s="287">
        <v>3.67</v>
      </c>
      <c r="R62" s="288"/>
      <c r="S62" s="287">
        <v>0</v>
      </c>
      <c r="T62" s="288"/>
      <c r="U62" s="287">
        <v>0</v>
      </c>
      <c r="V62" s="288">
        <v>0</v>
      </c>
      <c r="W62" s="288">
        <v>0</v>
      </c>
      <c r="X62" s="288">
        <v>0</v>
      </c>
      <c r="Y62" s="288"/>
    </row>
    <row r="63" spans="2:25" ht="45.75" customHeight="1" x14ac:dyDescent="0.4">
      <c r="B63" s="1191"/>
      <c r="C63" s="1195"/>
      <c r="D63" s="1186"/>
      <c r="E63" s="426" t="s">
        <v>139</v>
      </c>
      <c r="F63" s="144" t="s">
        <v>140</v>
      </c>
      <c r="G63" s="136" t="s">
        <v>141</v>
      </c>
      <c r="H63" s="153"/>
      <c r="I63" s="287">
        <v>0.25</v>
      </c>
      <c r="J63" s="288"/>
      <c r="K63" s="287">
        <v>0.25</v>
      </c>
      <c r="L63" s="288"/>
      <c r="M63" s="287">
        <v>0.25</v>
      </c>
      <c r="N63" s="288"/>
      <c r="O63" s="287">
        <v>2.93</v>
      </c>
      <c r="P63" s="288"/>
      <c r="Q63" s="287">
        <v>2.67</v>
      </c>
      <c r="R63" s="288"/>
      <c r="S63" s="287">
        <v>0.25</v>
      </c>
      <c r="T63" s="288"/>
      <c r="U63" s="287">
        <v>0.25</v>
      </c>
      <c r="V63" s="288">
        <v>0.25</v>
      </c>
      <c r="W63" s="288">
        <v>0.25</v>
      </c>
      <c r="X63" s="288">
        <v>0.26</v>
      </c>
      <c r="Y63" s="288"/>
    </row>
    <row r="64" spans="2:25" ht="15" x14ac:dyDescent="0.4">
      <c r="B64" s="1191"/>
      <c r="C64" s="1195"/>
      <c r="D64" s="1186"/>
      <c r="E64" s="180" t="s">
        <v>142</v>
      </c>
      <c r="F64" s="172" t="s">
        <v>143</v>
      </c>
      <c r="G64" s="137"/>
      <c r="H64" s="138"/>
      <c r="I64" s="287">
        <v>0</v>
      </c>
      <c r="J64" s="288"/>
      <c r="K64" s="287">
        <v>0</v>
      </c>
      <c r="L64" s="288"/>
      <c r="M64" s="287">
        <v>0</v>
      </c>
      <c r="N64" s="288"/>
      <c r="O64" s="287">
        <v>8.18</v>
      </c>
      <c r="P64" s="288"/>
      <c r="Q64" s="287">
        <v>18.8</v>
      </c>
      <c r="R64" s="288"/>
      <c r="S64" s="287">
        <v>0</v>
      </c>
      <c r="T64" s="288"/>
      <c r="U64" s="287">
        <v>0</v>
      </c>
      <c r="V64" s="288">
        <v>0</v>
      </c>
      <c r="W64" s="288">
        <v>0</v>
      </c>
      <c r="X64" s="288">
        <v>0</v>
      </c>
      <c r="Y64" s="288"/>
    </row>
    <row r="65" spans="2:25" ht="21" customHeight="1" x14ac:dyDescent="0.4">
      <c r="B65" s="1191"/>
      <c r="C65" s="1195"/>
      <c r="D65" s="1186"/>
      <c r="E65" s="426" t="s">
        <v>144</v>
      </c>
      <c r="F65" s="144" t="s">
        <v>143</v>
      </c>
      <c r="G65" s="136"/>
      <c r="H65" s="153"/>
      <c r="I65" s="287">
        <v>984.28</v>
      </c>
      <c r="J65" s="288"/>
      <c r="K65" s="287">
        <v>984.28</v>
      </c>
      <c r="L65" s="288"/>
      <c r="M65" s="287">
        <v>984.28</v>
      </c>
      <c r="N65" s="288"/>
      <c r="O65" s="287">
        <v>992.8</v>
      </c>
      <c r="P65" s="288"/>
      <c r="Q65" s="287">
        <v>17.46</v>
      </c>
      <c r="R65" s="288"/>
      <c r="S65" s="287">
        <v>34.47</v>
      </c>
      <c r="T65" s="288"/>
      <c r="U65" s="287">
        <v>34.47</v>
      </c>
      <c r="V65" s="288">
        <v>34.47</v>
      </c>
      <c r="W65" s="288">
        <v>34.47</v>
      </c>
      <c r="X65" s="288">
        <v>34.47</v>
      </c>
      <c r="Y65" s="288"/>
    </row>
    <row r="66" spans="2:25" ht="15" x14ac:dyDescent="0.4">
      <c r="B66" s="1191"/>
      <c r="C66" s="1195"/>
      <c r="D66" s="1186"/>
      <c r="E66" s="180" t="s">
        <v>145</v>
      </c>
      <c r="F66" s="172" t="s">
        <v>146</v>
      </c>
      <c r="G66" s="137"/>
      <c r="H66" s="138"/>
      <c r="I66" s="287">
        <v>0</v>
      </c>
      <c r="J66" s="288"/>
      <c r="K66" s="287">
        <v>0</v>
      </c>
      <c r="L66" s="288"/>
      <c r="M66" s="287">
        <v>0</v>
      </c>
      <c r="N66" s="288"/>
      <c r="O66" s="287">
        <v>1.9</v>
      </c>
      <c r="P66" s="288"/>
      <c r="Q66" s="287">
        <v>1.9</v>
      </c>
      <c r="R66" s="288"/>
      <c r="S66" s="287">
        <v>0</v>
      </c>
      <c r="T66" s="288"/>
      <c r="U66" s="287">
        <v>0</v>
      </c>
      <c r="V66" s="288">
        <v>0</v>
      </c>
      <c r="W66" s="288">
        <v>0</v>
      </c>
      <c r="X66" s="288">
        <v>0</v>
      </c>
      <c r="Y66" s="288"/>
    </row>
    <row r="67" spans="2:25" ht="15" x14ac:dyDescent="0.4">
      <c r="B67" s="1191"/>
      <c r="C67" s="1195"/>
      <c r="D67" s="1186"/>
      <c r="E67" s="426" t="s">
        <v>147</v>
      </c>
      <c r="F67" s="144" t="s">
        <v>146</v>
      </c>
      <c r="G67" s="136"/>
      <c r="H67" s="153"/>
      <c r="I67" s="287">
        <v>0</v>
      </c>
      <c r="J67" s="288"/>
      <c r="K67" s="287">
        <v>0</v>
      </c>
      <c r="L67" s="288"/>
      <c r="M67" s="287">
        <v>0</v>
      </c>
      <c r="N67" s="288"/>
      <c r="O67" s="287">
        <v>9.1999999999999993</v>
      </c>
      <c r="P67" s="288"/>
      <c r="Q67" s="287">
        <v>9.6</v>
      </c>
      <c r="R67" s="288"/>
      <c r="S67" s="287">
        <v>0</v>
      </c>
      <c r="T67" s="288"/>
      <c r="U67" s="287">
        <v>0</v>
      </c>
      <c r="V67" s="288">
        <v>0</v>
      </c>
      <c r="W67" s="288">
        <v>0</v>
      </c>
      <c r="X67" s="288">
        <v>0</v>
      </c>
      <c r="Y67" s="288"/>
    </row>
    <row r="68" spans="2:25" ht="15" x14ac:dyDescent="0.4">
      <c r="B68" s="1191"/>
      <c r="C68" s="1195"/>
      <c r="D68" s="1186"/>
      <c r="E68" s="180" t="s">
        <v>148</v>
      </c>
      <c r="F68" s="172" t="s">
        <v>146</v>
      </c>
      <c r="G68" s="137"/>
      <c r="H68" s="138"/>
      <c r="I68" s="287">
        <v>0</v>
      </c>
      <c r="J68" s="288"/>
      <c r="K68" s="287">
        <v>0</v>
      </c>
      <c r="L68" s="288"/>
      <c r="M68" s="287">
        <v>0</v>
      </c>
      <c r="N68" s="288"/>
      <c r="O68" s="287">
        <v>38</v>
      </c>
      <c r="P68" s="288"/>
      <c r="Q68" s="287">
        <v>38</v>
      </c>
      <c r="R68" s="288"/>
      <c r="S68" s="287">
        <v>0</v>
      </c>
      <c r="T68" s="288"/>
      <c r="U68" s="287">
        <v>0</v>
      </c>
      <c r="V68" s="288">
        <v>0</v>
      </c>
      <c r="W68" s="288">
        <v>0</v>
      </c>
      <c r="X68" s="288">
        <v>0</v>
      </c>
      <c r="Y68" s="288"/>
    </row>
    <row r="69" spans="2:25" ht="15" x14ac:dyDescent="0.4">
      <c r="B69" s="1191"/>
      <c r="C69" s="1195"/>
      <c r="D69" s="1186"/>
      <c r="E69" s="426" t="s">
        <v>149</v>
      </c>
      <c r="F69" s="144" t="s">
        <v>146</v>
      </c>
      <c r="G69" s="136"/>
      <c r="H69" s="153"/>
      <c r="I69" s="287">
        <v>0</v>
      </c>
      <c r="J69" s="288"/>
      <c r="K69" s="287">
        <v>0</v>
      </c>
      <c r="L69" s="288"/>
      <c r="M69" s="287">
        <v>0</v>
      </c>
      <c r="N69" s="288"/>
      <c r="O69" s="287">
        <v>2.6</v>
      </c>
      <c r="P69" s="288"/>
      <c r="Q69" s="287">
        <v>2.6</v>
      </c>
      <c r="R69" s="288"/>
      <c r="S69" s="287">
        <v>0</v>
      </c>
      <c r="T69" s="288"/>
      <c r="U69" s="287">
        <v>0</v>
      </c>
      <c r="V69" s="288">
        <v>0</v>
      </c>
      <c r="W69" s="288">
        <v>0</v>
      </c>
      <c r="X69" s="288">
        <v>0</v>
      </c>
      <c r="Y69" s="288"/>
    </row>
    <row r="70" spans="2:25" ht="15" x14ac:dyDescent="0.4">
      <c r="B70" s="1191"/>
      <c r="C70" s="1195"/>
      <c r="D70" s="1186"/>
      <c r="E70" s="180" t="s">
        <v>68</v>
      </c>
      <c r="F70" s="172" t="s">
        <v>77</v>
      </c>
      <c r="G70" s="137"/>
      <c r="H70" s="138"/>
      <c r="I70" s="287">
        <v>30</v>
      </c>
      <c r="J70" s="288"/>
      <c r="K70" s="287">
        <v>25</v>
      </c>
      <c r="L70" s="288"/>
      <c r="M70" s="287">
        <v>25</v>
      </c>
      <c r="N70" s="288"/>
      <c r="O70" s="287">
        <v>30</v>
      </c>
      <c r="P70" s="288"/>
      <c r="Q70" s="287">
        <v>30</v>
      </c>
      <c r="R70" s="288"/>
      <c r="S70" s="287">
        <v>30</v>
      </c>
      <c r="T70" s="288"/>
      <c r="U70" s="287">
        <v>30</v>
      </c>
      <c r="V70" s="288">
        <v>30</v>
      </c>
      <c r="W70" s="288">
        <v>30</v>
      </c>
      <c r="X70" s="288">
        <v>30</v>
      </c>
      <c r="Y70" s="288"/>
    </row>
    <row r="71" spans="2:25" ht="22.9" customHeight="1" x14ac:dyDescent="0.4">
      <c r="B71" s="1191"/>
      <c r="C71" s="1195"/>
      <c r="D71" s="1186"/>
      <c r="E71" s="426" t="s">
        <v>150</v>
      </c>
      <c r="F71" s="144"/>
      <c r="G71" s="136"/>
      <c r="H71" s="153" t="s">
        <v>51</v>
      </c>
      <c r="I71" s="289" t="s">
        <v>151</v>
      </c>
      <c r="J71" s="290"/>
      <c r="K71" s="289" t="s">
        <v>151</v>
      </c>
      <c r="L71" s="290"/>
      <c r="M71" s="289" t="s">
        <v>151</v>
      </c>
      <c r="N71" s="290"/>
      <c r="O71" s="289" t="s">
        <v>48</v>
      </c>
      <c r="P71" s="290"/>
      <c r="Q71" s="289" t="s">
        <v>48</v>
      </c>
      <c r="R71" s="290"/>
      <c r="S71" s="289" t="s">
        <v>151</v>
      </c>
      <c r="T71" s="290"/>
      <c r="U71" s="289" t="s">
        <v>151</v>
      </c>
      <c r="V71" s="290" t="s">
        <v>151</v>
      </c>
      <c r="W71" s="290" t="s">
        <v>151</v>
      </c>
      <c r="X71" s="290" t="s">
        <v>151</v>
      </c>
      <c r="Y71" s="290"/>
    </row>
    <row r="72" spans="2:25" ht="15.75" customHeight="1" thickBot="1" x14ac:dyDescent="0.45">
      <c r="B72" s="1191"/>
      <c r="C72" s="1195"/>
      <c r="D72" s="1187"/>
      <c r="E72" s="181" t="s">
        <v>152</v>
      </c>
      <c r="F72" s="173"/>
      <c r="G72" s="159"/>
      <c r="H72" s="160" t="s">
        <v>153</v>
      </c>
      <c r="I72" s="291" t="s">
        <v>154</v>
      </c>
      <c r="J72" s="292"/>
      <c r="K72" s="291" t="s">
        <v>154</v>
      </c>
      <c r="L72" s="292"/>
      <c r="M72" s="291" t="s">
        <v>154</v>
      </c>
      <c r="N72" s="292"/>
      <c r="O72" s="291" t="s">
        <v>154</v>
      </c>
      <c r="P72" s="292"/>
      <c r="Q72" s="291" t="s">
        <v>154</v>
      </c>
      <c r="R72" s="292"/>
      <c r="S72" s="291" t="s">
        <v>154</v>
      </c>
      <c r="T72" s="292"/>
      <c r="U72" s="291" t="s">
        <v>154</v>
      </c>
      <c r="V72" s="292" t="s">
        <v>154</v>
      </c>
      <c r="W72" s="292" t="s">
        <v>154</v>
      </c>
      <c r="X72" s="292" t="s">
        <v>154</v>
      </c>
      <c r="Y72" s="292"/>
    </row>
    <row r="73" spans="2:25" ht="30.75" customHeight="1" x14ac:dyDescent="0.4">
      <c r="B73" s="1191"/>
      <c r="C73" s="1195"/>
      <c r="D73" s="1199" t="s">
        <v>160</v>
      </c>
      <c r="E73" s="424" t="s">
        <v>130</v>
      </c>
      <c r="F73" s="425"/>
      <c r="G73" s="133"/>
      <c r="H73" s="40" t="s">
        <v>131</v>
      </c>
      <c r="I73" s="285" t="s">
        <v>132</v>
      </c>
      <c r="J73" s="286"/>
      <c r="K73" s="285" t="s">
        <v>132</v>
      </c>
      <c r="L73" s="286"/>
      <c r="M73" s="285" t="s">
        <v>132</v>
      </c>
      <c r="N73" s="286"/>
      <c r="O73" s="285" t="s">
        <v>132</v>
      </c>
      <c r="P73" s="286"/>
      <c r="Q73" s="285" t="s">
        <v>132</v>
      </c>
      <c r="R73" s="286"/>
      <c r="S73" s="285" t="s">
        <v>132</v>
      </c>
      <c r="T73" s="286"/>
      <c r="U73" s="285" t="s">
        <v>132</v>
      </c>
      <c r="V73" s="286" t="s">
        <v>132</v>
      </c>
      <c r="W73" s="286" t="s">
        <v>132</v>
      </c>
      <c r="X73" s="286" t="s">
        <v>133</v>
      </c>
      <c r="Y73" s="286"/>
    </row>
    <row r="74" spans="2:25" ht="22.9" customHeight="1" x14ac:dyDescent="0.4">
      <c r="B74" s="1191"/>
      <c r="C74" s="1195"/>
      <c r="D74" s="1186"/>
      <c r="E74" s="180" t="s">
        <v>134</v>
      </c>
      <c r="F74" s="172" t="s">
        <v>39</v>
      </c>
      <c r="G74" s="137" t="s">
        <v>135</v>
      </c>
      <c r="H74" s="138"/>
      <c r="I74" s="287">
        <v>23.5</v>
      </c>
      <c r="J74" s="288"/>
      <c r="K74" s="287">
        <v>23.5</v>
      </c>
      <c r="L74" s="288"/>
      <c r="M74" s="287">
        <v>23.5</v>
      </c>
      <c r="N74" s="288"/>
      <c r="O74" s="287">
        <v>33.299999999999997</v>
      </c>
      <c r="P74" s="288"/>
      <c r="Q74" s="287">
        <v>32.5</v>
      </c>
      <c r="R74" s="288"/>
      <c r="S74" s="287">
        <v>20.8</v>
      </c>
      <c r="T74" s="288"/>
      <c r="U74" s="287">
        <v>22.7</v>
      </c>
      <c r="V74" s="288">
        <v>22.6</v>
      </c>
      <c r="W74" s="288">
        <v>23.3</v>
      </c>
      <c r="X74" s="288">
        <v>49</v>
      </c>
      <c r="Y74" s="288"/>
    </row>
    <row r="75" spans="2:25" ht="22.9" customHeight="1" x14ac:dyDescent="0.4">
      <c r="B75" s="1191"/>
      <c r="C75" s="1195"/>
      <c r="D75" s="1186"/>
      <c r="E75" s="426" t="s">
        <v>136</v>
      </c>
      <c r="F75" s="144" t="s">
        <v>137</v>
      </c>
      <c r="G75" s="136" t="s">
        <v>138</v>
      </c>
      <c r="H75" s="153"/>
      <c r="I75" s="287">
        <v>0</v>
      </c>
      <c r="J75" s="288"/>
      <c r="K75" s="287">
        <v>0</v>
      </c>
      <c r="L75" s="288"/>
      <c r="M75" s="287">
        <v>0</v>
      </c>
      <c r="N75" s="288"/>
      <c r="O75" s="287">
        <v>0</v>
      </c>
      <c r="P75" s="288"/>
      <c r="Q75" s="287">
        <v>0</v>
      </c>
      <c r="R75" s="288"/>
      <c r="S75" s="287">
        <v>0</v>
      </c>
      <c r="T75" s="288"/>
      <c r="U75" s="287">
        <v>0</v>
      </c>
      <c r="V75" s="288">
        <v>0</v>
      </c>
      <c r="W75" s="288">
        <v>0</v>
      </c>
      <c r="X75" s="288">
        <v>3.57</v>
      </c>
      <c r="Y75" s="288"/>
    </row>
    <row r="76" spans="2:25" ht="45.75" customHeight="1" x14ac:dyDescent="0.4">
      <c r="B76" s="1191"/>
      <c r="C76" s="1195"/>
      <c r="D76" s="1186"/>
      <c r="E76" s="180" t="s">
        <v>139</v>
      </c>
      <c r="F76" s="172" t="s">
        <v>140</v>
      </c>
      <c r="G76" s="137" t="s">
        <v>141</v>
      </c>
      <c r="H76" s="138"/>
      <c r="I76" s="287">
        <v>0.05</v>
      </c>
      <c r="J76" s="288"/>
      <c r="K76" s="287">
        <v>0.05</v>
      </c>
      <c r="L76" s="288"/>
      <c r="M76" s="287">
        <v>0.05</v>
      </c>
      <c r="N76" s="288"/>
      <c r="O76" s="287">
        <v>0.06</v>
      </c>
      <c r="P76" s="288"/>
      <c r="Q76" s="287">
        <v>0.06</v>
      </c>
      <c r="R76" s="288"/>
      <c r="S76" s="287">
        <v>0.04</v>
      </c>
      <c r="T76" s="288"/>
      <c r="U76" s="287">
        <v>0.05</v>
      </c>
      <c r="V76" s="288">
        <v>0.05</v>
      </c>
      <c r="W76" s="288">
        <v>0</v>
      </c>
      <c r="X76" s="288">
        <v>2.82</v>
      </c>
      <c r="Y76" s="288"/>
    </row>
    <row r="77" spans="2:25" ht="15" x14ac:dyDescent="0.4">
      <c r="B77" s="1191"/>
      <c r="C77" s="1195"/>
      <c r="D77" s="1186"/>
      <c r="E77" s="426" t="s">
        <v>142</v>
      </c>
      <c r="F77" s="144" t="s">
        <v>143</v>
      </c>
      <c r="G77" s="136"/>
      <c r="H77" s="153"/>
      <c r="I77" s="287">
        <v>0</v>
      </c>
      <c r="J77" s="288"/>
      <c r="K77" s="287">
        <v>0</v>
      </c>
      <c r="L77" s="288"/>
      <c r="M77" s="287">
        <v>0</v>
      </c>
      <c r="N77" s="288"/>
      <c r="O77" s="287">
        <v>0</v>
      </c>
      <c r="P77" s="288"/>
      <c r="Q77" s="287">
        <v>0</v>
      </c>
      <c r="R77" s="288"/>
      <c r="S77" s="287">
        <v>0</v>
      </c>
      <c r="T77" s="288"/>
      <c r="U77" s="287">
        <v>0</v>
      </c>
      <c r="V77" s="288">
        <v>0</v>
      </c>
      <c r="W77" s="288">
        <v>0</v>
      </c>
      <c r="X77" s="288">
        <v>16.920000000000002</v>
      </c>
      <c r="Y77" s="288"/>
    </row>
    <row r="78" spans="2:25" ht="15" x14ac:dyDescent="0.4">
      <c r="B78" s="1191"/>
      <c r="C78" s="1195"/>
      <c r="D78" s="1186"/>
      <c r="E78" s="180" t="s">
        <v>144</v>
      </c>
      <c r="F78" s="172" t="s">
        <v>143</v>
      </c>
      <c r="G78" s="137"/>
      <c r="H78" s="138"/>
      <c r="I78" s="287">
        <v>502.8</v>
      </c>
      <c r="J78" s="288"/>
      <c r="K78" s="287">
        <v>502.8</v>
      </c>
      <c r="L78" s="288"/>
      <c r="M78" s="287">
        <v>502.8</v>
      </c>
      <c r="N78" s="288"/>
      <c r="O78" s="287">
        <v>502.8</v>
      </c>
      <c r="P78" s="288"/>
      <c r="Q78" s="287">
        <v>502.8</v>
      </c>
      <c r="R78" s="288"/>
      <c r="S78" s="287">
        <v>502.8</v>
      </c>
      <c r="T78" s="288"/>
      <c r="U78" s="287">
        <v>502.8</v>
      </c>
      <c r="V78" s="288">
        <v>502.8</v>
      </c>
      <c r="W78" s="288">
        <v>503.09</v>
      </c>
      <c r="X78" s="288">
        <v>520.07000000000005</v>
      </c>
      <c r="Y78" s="288"/>
    </row>
    <row r="79" spans="2:25" ht="15" x14ac:dyDescent="0.4">
      <c r="B79" s="1191"/>
      <c r="C79" s="1195"/>
      <c r="D79" s="1186"/>
      <c r="E79" s="180" t="s">
        <v>145</v>
      </c>
      <c r="F79" s="172" t="s">
        <v>146</v>
      </c>
      <c r="G79" s="137"/>
      <c r="H79" s="138"/>
      <c r="I79" s="287">
        <v>0</v>
      </c>
      <c r="J79" s="288"/>
      <c r="K79" s="287">
        <v>0</v>
      </c>
      <c r="L79" s="288"/>
      <c r="M79" s="287">
        <v>0</v>
      </c>
      <c r="N79" s="288"/>
      <c r="O79" s="287">
        <v>0</v>
      </c>
      <c r="P79" s="288"/>
      <c r="Q79" s="287">
        <v>0</v>
      </c>
      <c r="R79" s="288"/>
      <c r="S79" s="287">
        <v>0</v>
      </c>
      <c r="T79" s="288"/>
      <c r="U79" s="287">
        <v>0</v>
      </c>
      <c r="V79" s="288">
        <v>0</v>
      </c>
      <c r="W79" s="288">
        <v>0</v>
      </c>
      <c r="X79" s="288">
        <v>2.2000000000000002</v>
      </c>
      <c r="Y79" s="288"/>
    </row>
    <row r="80" spans="2:25" ht="15" x14ac:dyDescent="0.4">
      <c r="B80" s="1191"/>
      <c r="C80" s="1195"/>
      <c r="D80" s="1186"/>
      <c r="E80" s="426" t="s">
        <v>147</v>
      </c>
      <c r="F80" s="144" t="s">
        <v>146</v>
      </c>
      <c r="G80" s="136"/>
      <c r="H80" s="153"/>
      <c r="I80" s="287">
        <v>0</v>
      </c>
      <c r="J80" s="288"/>
      <c r="K80" s="287">
        <v>0</v>
      </c>
      <c r="L80" s="288"/>
      <c r="M80" s="287">
        <v>0</v>
      </c>
      <c r="N80" s="288"/>
      <c r="O80" s="287">
        <v>0</v>
      </c>
      <c r="P80" s="288"/>
      <c r="Q80" s="287">
        <v>0</v>
      </c>
      <c r="R80" s="288"/>
      <c r="S80" s="287">
        <v>0</v>
      </c>
      <c r="T80" s="288"/>
      <c r="U80" s="287">
        <v>0</v>
      </c>
      <c r="V80" s="288">
        <v>0</v>
      </c>
      <c r="W80" s="288">
        <v>0</v>
      </c>
      <c r="X80" s="288">
        <v>9.6999999999999993</v>
      </c>
      <c r="Y80" s="288"/>
    </row>
    <row r="81" spans="2:25" ht="15" x14ac:dyDescent="0.4">
      <c r="B81" s="1191"/>
      <c r="C81" s="1195"/>
      <c r="D81" s="1186"/>
      <c r="E81" s="180" t="s">
        <v>148</v>
      </c>
      <c r="F81" s="172" t="s">
        <v>146</v>
      </c>
      <c r="G81" s="137"/>
      <c r="H81" s="138"/>
      <c r="I81" s="287">
        <v>0</v>
      </c>
      <c r="J81" s="288"/>
      <c r="K81" s="287">
        <v>0</v>
      </c>
      <c r="L81" s="288"/>
      <c r="M81" s="287">
        <v>0</v>
      </c>
      <c r="N81" s="288"/>
      <c r="O81" s="287">
        <v>0</v>
      </c>
      <c r="P81" s="288"/>
      <c r="Q81" s="287">
        <v>0</v>
      </c>
      <c r="R81" s="288"/>
      <c r="S81" s="287">
        <v>0</v>
      </c>
      <c r="T81" s="288"/>
      <c r="U81" s="287">
        <v>0</v>
      </c>
      <c r="V81" s="288">
        <v>0</v>
      </c>
      <c r="W81" s="288">
        <v>0</v>
      </c>
      <c r="X81" s="288">
        <v>36</v>
      </c>
      <c r="Y81" s="288"/>
    </row>
    <row r="82" spans="2:25" ht="15" x14ac:dyDescent="0.4">
      <c r="B82" s="1191"/>
      <c r="C82" s="1195"/>
      <c r="D82" s="1186"/>
      <c r="E82" s="426" t="s">
        <v>149</v>
      </c>
      <c r="F82" s="144" t="s">
        <v>146</v>
      </c>
      <c r="G82" s="136"/>
      <c r="H82" s="153"/>
      <c r="I82" s="287">
        <v>0</v>
      </c>
      <c r="J82" s="288"/>
      <c r="K82" s="287">
        <v>0</v>
      </c>
      <c r="L82" s="288"/>
      <c r="M82" s="287">
        <v>0</v>
      </c>
      <c r="N82" s="288"/>
      <c r="O82" s="287">
        <v>0</v>
      </c>
      <c r="P82" s="288"/>
      <c r="Q82" s="287">
        <v>0</v>
      </c>
      <c r="R82" s="288"/>
      <c r="S82" s="287">
        <v>0</v>
      </c>
      <c r="T82" s="288"/>
      <c r="U82" s="287">
        <v>0</v>
      </c>
      <c r="V82" s="288">
        <v>0</v>
      </c>
      <c r="W82" s="288">
        <v>0</v>
      </c>
      <c r="X82" s="288">
        <v>2.8</v>
      </c>
      <c r="Y82" s="288"/>
    </row>
    <row r="83" spans="2:25" ht="15" x14ac:dyDescent="0.4">
      <c r="B83" s="1191"/>
      <c r="C83" s="1195"/>
      <c r="D83" s="1186"/>
      <c r="E83" s="180" t="s">
        <v>68</v>
      </c>
      <c r="F83" s="172" t="s">
        <v>77</v>
      </c>
      <c r="G83" s="137"/>
      <c r="H83" s="138"/>
      <c r="I83" s="287">
        <v>40</v>
      </c>
      <c r="J83" s="288"/>
      <c r="K83" s="287">
        <v>30</v>
      </c>
      <c r="L83" s="288"/>
      <c r="M83" s="287">
        <v>30</v>
      </c>
      <c r="N83" s="288"/>
      <c r="O83" s="287">
        <v>30</v>
      </c>
      <c r="P83" s="288"/>
      <c r="Q83" s="287">
        <v>30</v>
      </c>
      <c r="R83" s="288"/>
      <c r="S83" s="287">
        <v>30</v>
      </c>
      <c r="T83" s="288"/>
      <c r="U83" s="287">
        <v>30</v>
      </c>
      <c r="V83" s="288">
        <v>30</v>
      </c>
      <c r="W83" s="288">
        <v>30</v>
      </c>
      <c r="X83" s="288">
        <v>25</v>
      </c>
      <c r="Y83" s="288"/>
    </row>
    <row r="84" spans="2:25" ht="22.9" customHeight="1" x14ac:dyDescent="0.4">
      <c r="B84" s="1191"/>
      <c r="C84" s="1195"/>
      <c r="D84" s="1186"/>
      <c r="E84" s="180" t="s">
        <v>150</v>
      </c>
      <c r="F84" s="172"/>
      <c r="G84" s="137"/>
      <c r="H84" s="138" t="s">
        <v>51</v>
      </c>
      <c r="I84" s="289" t="s">
        <v>151</v>
      </c>
      <c r="J84" s="290"/>
      <c r="K84" s="289" t="s">
        <v>151</v>
      </c>
      <c r="L84" s="290"/>
      <c r="M84" s="289" t="s">
        <v>151</v>
      </c>
      <c r="N84" s="290"/>
      <c r="O84" s="289" t="s">
        <v>151</v>
      </c>
      <c r="P84" s="290"/>
      <c r="Q84" s="289" t="s">
        <v>151</v>
      </c>
      <c r="R84" s="290"/>
      <c r="S84" s="289" t="s">
        <v>151</v>
      </c>
      <c r="T84" s="290"/>
      <c r="U84" s="289" t="s">
        <v>151</v>
      </c>
      <c r="V84" s="290" t="s">
        <v>151</v>
      </c>
      <c r="W84" s="290" t="s">
        <v>151</v>
      </c>
      <c r="X84" s="290" t="s">
        <v>48</v>
      </c>
      <c r="Y84" s="290"/>
    </row>
    <row r="85" spans="2:25" ht="15.75" customHeight="1" thickBot="1" x14ac:dyDescent="0.45">
      <c r="B85" s="1191"/>
      <c r="C85" s="1195"/>
      <c r="D85" s="1187"/>
      <c r="E85" s="427" t="s">
        <v>152</v>
      </c>
      <c r="F85" s="428"/>
      <c r="G85" s="148"/>
      <c r="H85" s="149" t="s">
        <v>153</v>
      </c>
      <c r="I85" s="291" t="s">
        <v>154</v>
      </c>
      <c r="J85" s="292"/>
      <c r="K85" s="291" t="s">
        <v>154</v>
      </c>
      <c r="L85" s="292"/>
      <c r="M85" s="291" t="s">
        <v>154</v>
      </c>
      <c r="N85" s="292"/>
      <c r="O85" s="291" t="s">
        <v>154</v>
      </c>
      <c r="P85" s="292"/>
      <c r="Q85" s="291" t="s">
        <v>154</v>
      </c>
      <c r="R85" s="292"/>
      <c r="S85" s="291" t="s">
        <v>154</v>
      </c>
      <c r="T85" s="292"/>
      <c r="U85" s="291" t="s">
        <v>154</v>
      </c>
      <c r="V85" s="292" t="s">
        <v>154</v>
      </c>
      <c r="W85" s="292" t="s">
        <v>154</v>
      </c>
      <c r="X85" s="292" t="s">
        <v>154</v>
      </c>
      <c r="Y85" s="292"/>
    </row>
    <row r="86" spans="2:25" ht="30.75" customHeight="1" x14ac:dyDescent="0.4">
      <c r="B86" s="1191"/>
      <c r="C86" s="1195"/>
      <c r="D86" s="1199" t="s">
        <v>161</v>
      </c>
      <c r="E86" s="179" t="s">
        <v>130</v>
      </c>
      <c r="F86" s="171"/>
      <c r="G86" s="132"/>
      <c r="H86" s="37" t="s">
        <v>131</v>
      </c>
      <c r="I86" s="285" t="s">
        <v>132</v>
      </c>
      <c r="J86" s="286"/>
      <c r="K86" s="285" t="s">
        <v>132</v>
      </c>
      <c r="L86" s="286"/>
      <c r="M86" s="285" t="s">
        <v>132</v>
      </c>
      <c r="N86" s="286"/>
      <c r="O86" s="285" t="s">
        <v>133</v>
      </c>
      <c r="P86" s="286"/>
      <c r="Q86" s="285" t="s">
        <v>133</v>
      </c>
      <c r="R86" s="286"/>
      <c r="S86" s="285" t="s">
        <v>132</v>
      </c>
      <c r="T86" s="286"/>
      <c r="U86" s="285" t="s">
        <v>132</v>
      </c>
      <c r="V86" s="286" t="s">
        <v>132</v>
      </c>
      <c r="W86" s="286" t="s">
        <v>132</v>
      </c>
      <c r="X86" s="286" t="s">
        <v>132</v>
      </c>
      <c r="Y86" s="286"/>
    </row>
    <row r="87" spans="2:25" ht="22.9" customHeight="1" x14ac:dyDescent="0.4">
      <c r="B87" s="1191"/>
      <c r="C87" s="1195"/>
      <c r="D87" s="1186"/>
      <c r="E87" s="426" t="s">
        <v>134</v>
      </c>
      <c r="F87" s="144" t="s">
        <v>39</v>
      </c>
      <c r="G87" s="136" t="s">
        <v>135</v>
      </c>
      <c r="H87" s="153"/>
      <c r="I87" s="287">
        <v>23.6</v>
      </c>
      <c r="J87" s="288"/>
      <c r="K87" s="287">
        <v>23.5</v>
      </c>
      <c r="L87" s="288"/>
      <c r="M87" s="287">
        <v>23.5</v>
      </c>
      <c r="N87" s="288"/>
      <c r="O87" s="287">
        <v>51.9</v>
      </c>
      <c r="P87" s="288"/>
      <c r="Q87" s="287">
        <v>51.6</v>
      </c>
      <c r="R87" s="288"/>
      <c r="S87" s="287">
        <v>20.399999999999999</v>
      </c>
      <c r="T87" s="288"/>
      <c r="U87" s="287">
        <v>22.5</v>
      </c>
      <c r="V87" s="288">
        <v>21.9</v>
      </c>
      <c r="W87" s="288">
        <v>22.5</v>
      </c>
      <c r="X87" s="288">
        <v>21.1</v>
      </c>
      <c r="Y87" s="288"/>
    </row>
    <row r="88" spans="2:25" ht="22.9" customHeight="1" x14ac:dyDescent="0.4">
      <c r="B88" s="1191"/>
      <c r="C88" s="1195"/>
      <c r="D88" s="1186"/>
      <c r="E88" s="180" t="s">
        <v>136</v>
      </c>
      <c r="F88" s="172" t="s">
        <v>137</v>
      </c>
      <c r="G88" s="137" t="s">
        <v>138</v>
      </c>
      <c r="H88" s="138"/>
      <c r="I88" s="287">
        <v>0</v>
      </c>
      <c r="J88" s="288"/>
      <c r="K88" s="287">
        <v>0</v>
      </c>
      <c r="L88" s="288"/>
      <c r="M88" s="287">
        <v>0</v>
      </c>
      <c r="N88" s="288"/>
      <c r="O88" s="287">
        <v>3.66</v>
      </c>
      <c r="P88" s="288"/>
      <c r="Q88" s="287">
        <v>3.66</v>
      </c>
      <c r="R88" s="288"/>
      <c r="S88" s="287">
        <v>0</v>
      </c>
      <c r="T88" s="288"/>
      <c r="U88" s="287">
        <v>0</v>
      </c>
      <c r="V88" s="288">
        <v>0</v>
      </c>
      <c r="W88" s="288">
        <v>0</v>
      </c>
      <c r="X88" s="288">
        <v>0</v>
      </c>
      <c r="Y88" s="288"/>
    </row>
    <row r="89" spans="2:25" ht="45.75" customHeight="1" x14ac:dyDescent="0.4">
      <c r="B89" s="1191"/>
      <c r="C89" s="1195"/>
      <c r="D89" s="1186"/>
      <c r="E89" s="426" t="s">
        <v>139</v>
      </c>
      <c r="F89" s="144" t="s">
        <v>140</v>
      </c>
      <c r="G89" s="136" t="s">
        <v>141</v>
      </c>
      <c r="H89" s="153"/>
      <c r="I89" s="287">
        <v>0.88</v>
      </c>
      <c r="J89" s="288"/>
      <c r="K89" s="287">
        <v>0.89</v>
      </c>
      <c r="L89" s="288"/>
      <c r="M89" s="287">
        <v>0.89</v>
      </c>
      <c r="N89" s="288"/>
      <c r="O89" s="287">
        <v>3.31</v>
      </c>
      <c r="P89" s="288"/>
      <c r="Q89" s="287">
        <v>2.48</v>
      </c>
      <c r="R89" s="288"/>
      <c r="S89" s="287">
        <v>0</v>
      </c>
      <c r="T89" s="288"/>
      <c r="U89" s="287">
        <v>0</v>
      </c>
      <c r="V89" s="288">
        <v>0</v>
      </c>
      <c r="W89" s="288">
        <v>0</v>
      </c>
      <c r="X89" s="288">
        <v>0</v>
      </c>
      <c r="Y89" s="288"/>
    </row>
    <row r="90" spans="2:25" ht="15" x14ac:dyDescent="0.4">
      <c r="B90" s="1191"/>
      <c r="C90" s="1195"/>
      <c r="D90" s="1186"/>
      <c r="E90" s="180" t="s">
        <v>142</v>
      </c>
      <c r="F90" s="172" t="s">
        <v>143</v>
      </c>
      <c r="G90" s="137"/>
      <c r="H90" s="138"/>
      <c r="I90" s="287">
        <v>0</v>
      </c>
      <c r="J90" s="288"/>
      <c r="K90" s="287">
        <v>0</v>
      </c>
      <c r="L90" s="288"/>
      <c r="M90" s="287">
        <v>0</v>
      </c>
      <c r="N90" s="288"/>
      <c r="O90" s="287">
        <v>8.1999999999999993</v>
      </c>
      <c r="P90" s="288"/>
      <c r="Q90" s="287">
        <v>8.44</v>
      </c>
      <c r="R90" s="288"/>
      <c r="S90" s="287">
        <v>0</v>
      </c>
      <c r="T90" s="288"/>
      <c r="U90" s="287">
        <v>0</v>
      </c>
      <c r="V90" s="288">
        <v>0</v>
      </c>
      <c r="W90" s="288">
        <v>0</v>
      </c>
      <c r="X90" s="288">
        <v>0</v>
      </c>
      <c r="Y90" s="288"/>
    </row>
    <row r="91" spans="2:25" ht="15" x14ac:dyDescent="0.4">
      <c r="B91" s="1191"/>
      <c r="C91" s="1195"/>
      <c r="D91" s="1186"/>
      <c r="E91" s="426" t="s">
        <v>144</v>
      </c>
      <c r="F91" s="144" t="s">
        <v>143</v>
      </c>
      <c r="G91" s="136"/>
      <c r="H91" s="153"/>
      <c r="I91" s="287">
        <v>937.46</v>
      </c>
      <c r="J91" s="288"/>
      <c r="K91" s="287">
        <v>937.46</v>
      </c>
      <c r="L91" s="288"/>
      <c r="M91" s="287">
        <v>937.46</v>
      </c>
      <c r="N91" s="288"/>
      <c r="O91" s="287">
        <v>946.08</v>
      </c>
      <c r="P91" s="288"/>
      <c r="Q91" s="287">
        <v>961.14</v>
      </c>
      <c r="R91" s="288"/>
      <c r="S91" s="287">
        <v>978.14</v>
      </c>
      <c r="T91" s="288"/>
      <c r="U91" s="287">
        <v>978.14</v>
      </c>
      <c r="V91" s="288">
        <v>978.14</v>
      </c>
      <c r="W91" s="288">
        <v>978.14</v>
      </c>
      <c r="X91" s="288">
        <v>978.14</v>
      </c>
      <c r="Y91" s="288"/>
    </row>
    <row r="92" spans="2:25" ht="15" x14ac:dyDescent="0.4">
      <c r="B92" s="1191"/>
      <c r="C92" s="1195"/>
      <c r="D92" s="1186"/>
      <c r="E92" s="180" t="s">
        <v>145</v>
      </c>
      <c r="F92" s="172" t="s">
        <v>146</v>
      </c>
      <c r="G92" s="137"/>
      <c r="H92" s="138"/>
      <c r="I92" s="287">
        <v>0</v>
      </c>
      <c r="J92" s="288"/>
      <c r="K92" s="287">
        <v>0</v>
      </c>
      <c r="L92" s="288"/>
      <c r="M92" s="287">
        <v>0</v>
      </c>
      <c r="N92" s="288"/>
      <c r="O92" s="287">
        <v>2.1</v>
      </c>
      <c r="P92" s="288"/>
      <c r="Q92" s="287">
        <v>2.1</v>
      </c>
      <c r="R92" s="288"/>
      <c r="S92" s="287">
        <v>0</v>
      </c>
      <c r="T92" s="288"/>
      <c r="U92" s="287">
        <v>0</v>
      </c>
      <c r="V92" s="288">
        <v>0</v>
      </c>
      <c r="W92" s="288">
        <v>0</v>
      </c>
      <c r="X92" s="288">
        <v>0</v>
      </c>
      <c r="Y92" s="288"/>
    </row>
    <row r="93" spans="2:25" ht="15" x14ac:dyDescent="0.4">
      <c r="B93" s="1191"/>
      <c r="C93" s="1195"/>
      <c r="D93" s="1186"/>
      <c r="E93" s="426" t="s">
        <v>147</v>
      </c>
      <c r="F93" s="144" t="s">
        <v>146</v>
      </c>
      <c r="G93" s="136"/>
      <c r="H93" s="153"/>
      <c r="I93" s="287">
        <v>0</v>
      </c>
      <c r="J93" s="288"/>
      <c r="K93" s="287">
        <v>0</v>
      </c>
      <c r="L93" s="288"/>
      <c r="M93" s="287">
        <v>0</v>
      </c>
      <c r="N93" s="288"/>
      <c r="O93" s="287">
        <v>9</v>
      </c>
      <c r="P93" s="288"/>
      <c r="Q93" s="287">
        <v>9</v>
      </c>
      <c r="R93" s="288"/>
      <c r="S93" s="287">
        <v>0</v>
      </c>
      <c r="T93" s="288"/>
      <c r="U93" s="287">
        <v>0</v>
      </c>
      <c r="V93" s="288">
        <v>0</v>
      </c>
      <c r="W93" s="288">
        <v>0</v>
      </c>
      <c r="X93" s="288">
        <v>0</v>
      </c>
      <c r="Y93" s="288"/>
    </row>
    <row r="94" spans="2:25" ht="15" x14ac:dyDescent="0.4">
      <c r="B94" s="1191"/>
      <c r="C94" s="1195"/>
      <c r="D94" s="1186"/>
      <c r="E94" s="180" t="s">
        <v>148</v>
      </c>
      <c r="F94" s="172" t="s">
        <v>146</v>
      </c>
      <c r="G94" s="137"/>
      <c r="H94" s="138"/>
      <c r="I94" s="287">
        <v>0</v>
      </c>
      <c r="J94" s="288"/>
      <c r="K94" s="287">
        <v>0</v>
      </c>
      <c r="L94" s="288"/>
      <c r="M94" s="287">
        <v>0</v>
      </c>
      <c r="N94" s="288"/>
      <c r="O94" s="287">
        <v>36</v>
      </c>
      <c r="P94" s="288"/>
      <c r="Q94" s="287">
        <v>36</v>
      </c>
      <c r="R94" s="288"/>
      <c r="S94" s="287">
        <v>0</v>
      </c>
      <c r="T94" s="288"/>
      <c r="U94" s="287">
        <v>0</v>
      </c>
      <c r="V94" s="288">
        <v>0</v>
      </c>
      <c r="W94" s="288">
        <v>0</v>
      </c>
      <c r="X94" s="288">
        <v>0</v>
      </c>
      <c r="Y94" s="288"/>
    </row>
    <row r="95" spans="2:25" ht="15" x14ac:dyDescent="0.4">
      <c r="B95" s="1191"/>
      <c r="C95" s="1195"/>
      <c r="D95" s="1186"/>
      <c r="E95" s="426" t="s">
        <v>149</v>
      </c>
      <c r="F95" s="144" t="s">
        <v>146</v>
      </c>
      <c r="G95" s="136"/>
      <c r="H95" s="153"/>
      <c r="I95" s="287">
        <v>0</v>
      </c>
      <c r="J95" s="288"/>
      <c r="K95" s="287">
        <v>0</v>
      </c>
      <c r="L95" s="288"/>
      <c r="M95" s="287">
        <v>0</v>
      </c>
      <c r="N95" s="288"/>
      <c r="O95" s="287">
        <v>2.5</v>
      </c>
      <c r="P95" s="288"/>
      <c r="Q95" s="287">
        <v>2.5</v>
      </c>
      <c r="R95" s="288"/>
      <c r="S95" s="287">
        <v>0</v>
      </c>
      <c r="T95" s="288"/>
      <c r="U95" s="287">
        <v>0</v>
      </c>
      <c r="V95" s="288">
        <v>0</v>
      </c>
      <c r="W95" s="288">
        <v>0</v>
      </c>
      <c r="X95" s="288">
        <v>0</v>
      </c>
      <c r="Y95" s="288"/>
    </row>
    <row r="96" spans="2:25" ht="15" x14ac:dyDescent="0.4">
      <c r="B96" s="1191"/>
      <c r="C96" s="1195"/>
      <c r="D96" s="1186"/>
      <c r="E96" s="180" t="s">
        <v>68</v>
      </c>
      <c r="F96" s="172" t="s">
        <v>77</v>
      </c>
      <c r="G96" s="137"/>
      <c r="H96" s="138"/>
      <c r="I96" s="287">
        <v>45</v>
      </c>
      <c r="J96" s="288"/>
      <c r="K96" s="287">
        <v>30</v>
      </c>
      <c r="L96" s="288"/>
      <c r="M96" s="287">
        <v>30</v>
      </c>
      <c r="N96" s="288"/>
      <c r="O96" s="287">
        <v>30</v>
      </c>
      <c r="P96" s="288"/>
      <c r="Q96" s="287">
        <v>30</v>
      </c>
      <c r="R96" s="288"/>
      <c r="S96" s="287">
        <v>30</v>
      </c>
      <c r="T96" s="288"/>
      <c r="U96" s="287">
        <v>30</v>
      </c>
      <c r="V96" s="288">
        <v>30</v>
      </c>
      <c r="W96" s="288">
        <v>30</v>
      </c>
      <c r="X96" s="288">
        <v>30</v>
      </c>
      <c r="Y96" s="288"/>
    </row>
    <row r="97" spans="2:25" ht="22.9" customHeight="1" x14ac:dyDescent="0.4">
      <c r="B97" s="1191"/>
      <c r="C97" s="1195"/>
      <c r="D97" s="1186"/>
      <c r="E97" s="426" t="s">
        <v>150</v>
      </c>
      <c r="F97" s="144"/>
      <c r="G97" s="136"/>
      <c r="H97" s="153" t="s">
        <v>51</v>
      </c>
      <c r="I97" s="289" t="s">
        <v>151</v>
      </c>
      <c r="J97" s="290"/>
      <c r="K97" s="289" t="s">
        <v>151</v>
      </c>
      <c r="L97" s="290"/>
      <c r="M97" s="289" t="s">
        <v>151</v>
      </c>
      <c r="N97" s="290"/>
      <c r="O97" s="289" t="s">
        <v>48</v>
      </c>
      <c r="P97" s="290"/>
      <c r="Q97" s="289" t="s">
        <v>48</v>
      </c>
      <c r="R97" s="290"/>
      <c r="S97" s="289" t="s">
        <v>151</v>
      </c>
      <c r="T97" s="290"/>
      <c r="U97" s="289" t="s">
        <v>151</v>
      </c>
      <c r="V97" s="290" t="s">
        <v>151</v>
      </c>
      <c r="W97" s="290" t="s">
        <v>151</v>
      </c>
      <c r="X97" s="290" t="s">
        <v>151</v>
      </c>
      <c r="Y97" s="290"/>
    </row>
    <row r="98" spans="2:25" ht="15.75" customHeight="1" thickBot="1" x14ac:dyDescent="0.45">
      <c r="B98" s="1191"/>
      <c r="C98" s="1195"/>
      <c r="D98" s="1187"/>
      <c r="E98" s="181" t="s">
        <v>152</v>
      </c>
      <c r="F98" s="173"/>
      <c r="G98" s="159"/>
      <c r="H98" s="160" t="s">
        <v>153</v>
      </c>
      <c r="I98" s="291" t="s">
        <v>154</v>
      </c>
      <c r="J98" s="292"/>
      <c r="K98" s="291" t="s">
        <v>154</v>
      </c>
      <c r="L98" s="292"/>
      <c r="M98" s="291" t="s">
        <v>154</v>
      </c>
      <c r="N98" s="292"/>
      <c r="O98" s="291" t="s">
        <v>154</v>
      </c>
      <c r="P98" s="292"/>
      <c r="Q98" s="291" t="s">
        <v>154</v>
      </c>
      <c r="R98" s="292"/>
      <c r="S98" s="291" t="s">
        <v>154</v>
      </c>
      <c r="T98" s="292"/>
      <c r="U98" s="291" t="s">
        <v>154</v>
      </c>
      <c r="V98" s="292" t="s">
        <v>154</v>
      </c>
      <c r="W98" s="292" t="s">
        <v>154</v>
      </c>
      <c r="X98" s="292" t="s">
        <v>154</v>
      </c>
      <c r="Y98" s="292"/>
    </row>
    <row r="99" spans="2:25" ht="30.75" customHeight="1" x14ac:dyDescent="0.4">
      <c r="B99" s="1191"/>
      <c r="C99" s="1195"/>
      <c r="D99" s="1199" t="s">
        <v>162</v>
      </c>
      <c r="E99" s="424" t="s">
        <v>130</v>
      </c>
      <c r="F99" s="425"/>
      <c r="G99" s="133"/>
      <c r="H99" s="40" t="s">
        <v>131</v>
      </c>
      <c r="I99" s="285" t="s">
        <v>132</v>
      </c>
      <c r="J99" s="286"/>
      <c r="K99" s="285" t="s">
        <v>132</v>
      </c>
      <c r="L99" s="286"/>
      <c r="M99" s="285" t="s">
        <v>132</v>
      </c>
      <c r="N99" s="286"/>
      <c r="O99" s="285" t="s">
        <v>132</v>
      </c>
      <c r="P99" s="286"/>
      <c r="Q99" s="285" t="s">
        <v>132</v>
      </c>
      <c r="R99" s="286"/>
      <c r="S99" s="285" t="s">
        <v>132</v>
      </c>
      <c r="T99" s="286"/>
      <c r="U99" s="285" t="s">
        <v>132</v>
      </c>
      <c r="V99" s="286" t="s">
        <v>132</v>
      </c>
      <c r="W99" s="286" t="s">
        <v>132</v>
      </c>
      <c r="X99" s="286" t="s">
        <v>133</v>
      </c>
      <c r="Y99" s="286"/>
    </row>
    <row r="100" spans="2:25" ht="22.9" customHeight="1" x14ac:dyDescent="0.4">
      <c r="B100" s="1191"/>
      <c r="C100" s="1195"/>
      <c r="D100" s="1186"/>
      <c r="E100" s="180" t="s">
        <v>134</v>
      </c>
      <c r="F100" s="172" t="s">
        <v>39</v>
      </c>
      <c r="G100" s="137" t="s">
        <v>135</v>
      </c>
      <c r="H100" s="138"/>
      <c r="I100" s="287">
        <v>22.8</v>
      </c>
      <c r="J100" s="288"/>
      <c r="K100" s="287">
        <v>22.8</v>
      </c>
      <c r="L100" s="288"/>
      <c r="M100" s="287">
        <v>22.8</v>
      </c>
      <c r="N100" s="288"/>
      <c r="O100" s="287">
        <v>29.7</v>
      </c>
      <c r="P100" s="288"/>
      <c r="Q100" s="287">
        <v>28.5</v>
      </c>
      <c r="R100" s="288"/>
      <c r="S100" s="287">
        <v>19.7</v>
      </c>
      <c r="T100" s="288"/>
      <c r="U100" s="287">
        <v>21.9</v>
      </c>
      <c r="V100" s="288">
        <v>21.3</v>
      </c>
      <c r="W100" s="288">
        <v>22.1</v>
      </c>
      <c r="X100" s="288">
        <v>3.56</v>
      </c>
      <c r="Y100" s="288"/>
    </row>
    <row r="101" spans="2:25" ht="22.9" customHeight="1" x14ac:dyDescent="0.4">
      <c r="B101" s="1191"/>
      <c r="C101" s="1195"/>
      <c r="D101" s="1186"/>
      <c r="E101" s="426" t="s">
        <v>136</v>
      </c>
      <c r="F101" s="144" t="s">
        <v>137</v>
      </c>
      <c r="G101" s="136" t="s">
        <v>138</v>
      </c>
      <c r="H101" s="153"/>
      <c r="I101" s="287">
        <v>0</v>
      </c>
      <c r="J101" s="288"/>
      <c r="K101" s="287">
        <v>0</v>
      </c>
      <c r="L101" s="288"/>
      <c r="M101" s="287">
        <v>0</v>
      </c>
      <c r="N101" s="288"/>
      <c r="O101" s="287">
        <v>0</v>
      </c>
      <c r="P101" s="288"/>
      <c r="Q101" s="287">
        <v>0</v>
      </c>
      <c r="R101" s="288"/>
      <c r="S101" s="287">
        <v>0</v>
      </c>
      <c r="T101" s="288"/>
      <c r="U101" s="287">
        <v>0</v>
      </c>
      <c r="V101" s="288">
        <v>0</v>
      </c>
      <c r="W101" s="288">
        <v>0</v>
      </c>
      <c r="X101" s="288">
        <v>2.4900000000000002</v>
      </c>
      <c r="Y101" s="288"/>
    </row>
    <row r="102" spans="2:25" ht="45.75" customHeight="1" x14ac:dyDescent="0.4">
      <c r="B102" s="1191"/>
      <c r="C102" s="1195"/>
      <c r="D102" s="1186"/>
      <c r="E102" s="180" t="s">
        <v>139</v>
      </c>
      <c r="F102" s="172" t="s">
        <v>140</v>
      </c>
      <c r="G102" s="137" t="s">
        <v>141</v>
      </c>
      <c r="H102" s="138"/>
      <c r="I102" s="287">
        <v>0</v>
      </c>
      <c r="J102" s="288"/>
      <c r="K102" s="287">
        <v>0</v>
      </c>
      <c r="L102" s="288"/>
      <c r="M102" s="287">
        <v>0</v>
      </c>
      <c r="N102" s="288"/>
      <c r="O102" s="287">
        <v>0</v>
      </c>
      <c r="P102" s="288"/>
      <c r="Q102" s="287">
        <v>0.89</v>
      </c>
      <c r="R102" s="288"/>
      <c r="S102" s="287">
        <v>0.89</v>
      </c>
      <c r="T102" s="288"/>
      <c r="U102" s="287">
        <v>0.89</v>
      </c>
      <c r="V102" s="288">
        <v>0.89</v>
      </c>
      <c r="W102" s="288">
        <v>0.05</v>
      </c>
      <c r="X102" s="288">
        <v>2.54</v>
      </c>
      <c r="Y102" s="288"/>
    </row>
    <row r="103" spans="2:25" ht="15" x14ac:dyDescent="0.4">
      <c r="B103" s="1191"/>
      <c r="C103" s="1195"/>
      <c r="D103" s="1186"/>
      <c r="E103" s="426" t="s">
        <v>142</v>
      </c>
      <c r="F103" s="144" t="s">
        <v>143</v>
      </c>
      <c r="G103" s="136"/>
      <c r="H103" s="153"/>
      <c r="I103" s="287">
        <v>0</v>
      </c>
      <c r="J103" s="288"/>
      <c r="K103" s="287">
        <v>0</v>
      </c>
      <c r="L103" s="288"/>
      <c r="M103" s="287">
        <v>0</v>
      </c>
      <c r="N103" s="288"/>
      <c r="O103" s="287">
        <v>0</v>
      </c>
      <c r="P103" s="288"/>
      <c r="Q103" s="287">
        <v>0</v>
      </c>
      <c r="R103" s="288"/>
      <c r="S103" s="287">
        <v>0</v>
      </c>
      <c r="T103" s="288"/>
      <c r="U103" s="287">
        <v>0</v>
      </c>
      <c r="V103" s="288">
        <v>0</v>
      </c>
      <c r="W103" s="288">
        <v>0</v>
      </c>
      <c r="X103" s="288">
        <v>10.210000000000001</v>
      </c>
      <c r="Y103" s="288"/>
    </row>
    <row r="104" spans="2:25" ht="15" x14ac:dyDescent="0.4">
      <c r="B104" s="1191"/>
      <c r="C104" s="1195"/>
      <c r="D104" s="1186"/>
      <c r="E104" s="180" t="s">
        <v>144</v>
      </c>
      <c r="F104" s="172" t="s">
        <v>143</v>
      </c>
      <c r="G104" s="137"/>
      <c r="H104" s="138"/>
      <c r="I104" s="287">
        <v>449.42</v>
      </c>
      <c r="J104" s="288"/>
      <c r="K104" s="287">
        <v>449.42</v>
      </c>
      <c r="L104" s="288"/>
      <c r="M104" s="287">
        <v>449.42</v>
      </c>
      <c r="N104" s="288"/>
      <c r="O104" s="287">
        <v>449.42</v>
      </c>
      <c r="P104" s="288"/>
      <c r="Q104" s="287">
        <v>449.42</v>
      </c>
      <c r="R104" s="288"/>
      <c r="S104" s="287">
        <v>449.42</v>
      </c>
      <c r="T104" s="288"/>
      <c r="U104" s="287">
        <v>449.42</v>
      </c>
      <c r="V104" s="288">
        <v>449.42</v>
      </c>
      <c r="W104" s="288">
        <v>449.63</v>
      </c>
      <c r="X104" s="288">
        <v>466.55</v>
      </c>
      <c r="Y104" s="288"/>
    </row>
    <row r="105" spans="2:25" ht="15" x14ac:dyDescent="0.4">
      <c r="B105" s="1191"/>
      <c r="C105" s="1195"/>
      <c r="D105" s="1186"/>
      <c r="E105" s="180" t="s">
        <v>145</v>
      </c>
      <c r="F105" s="172" t="s">
        <v>146</v>
      </c>
      <c r="G105" s="137"/>
      <c r="H105" s="138"/>
      <c r="I105" s="287">
        <v>0</v>
      </c>
      <c r="J105" s="288"/>
      <c r="K105" s="287">
        <v>0</v>
      </c>
      <c r="L105" s="288"/>
      <c r="M105" s="287">
        <v>0</v>
      </c>
      <c r="N105" s="288"/>
      <c r="O105" s="287">
        <v>0</v>
      </c>
      <c r="P105" s="288"/>
      <c r="Q105" s="287">
        <v>0</v>
      </c>
      <c r="R105" s="288"/>
      <c r="S105" s="287">
        <v>0</v>
      </c>
      <c r="T105" s="288"/>
      <c r="U105" s="287">
        <v>0</v>
      </c>
      <c r="V105" s="288">
        <v>0</v>
      </c>
      <c r="W105" s="288">
        <v>0</v>
      </c>
      <c r="X105" s="288">
        <v>2.1</v>
      </c>
      <c r="Y105" s="288"/>
    </row>
    <row r="106" spans="2:25" ht="15" x14ac:dyDescent="0.4">
      <c r="B106" s="1191"/>
      <c r="C106" s="1195"/>
      <c r="D106" s="1186"/>
      <c r="E106" s="426" t="s">
        <v>147</v>
      </c>
      <c r="F106" s="144" t="s">
        <v>146</v>
      </c>
      <c r="G106" s="136"/>
      <c r="H106" s="153"/>
      <c r="I106" s="287">
        <v>0</v>
      </c>
      <c r="J106" s="288"/>
      <c r="K106" s="287">
        <v>0</v>
      </c>
      <c r="L106" s="288"/>
      <c r="M106" s="287">
        <v>0</v>
      </c>
      <c r="N106" s="288"/>
      <c r="O106" s="287">
        <v>0</v>
      </c>
      <c r="P106" s="288"/>
      <c r="Q106" s="287">
        <v>0</v>
      </c>
      <c r="R106" s="288"/>
      <c r="S106" s="287">
        <v>0</v>
      </c>
      <c r="T106" s="288"/>
      <c r="U106" s="287">
        <v>0</v>
      </c>
      <c r="V106" s="288">
        <v>0</v>
      </c>
      <c r="W106" s="288">
        <v>0</v>
      </c>
      <c r="X106" s="288">
        <v>9.9</v>
      </c>
      <c r="Y106" s="288"/>
    </row>
    <row r="107" spans="2:25" ht="15" x14ac:dyDescent="0.4">
      <c r="B107" s="1191"/>
      <c r="C107" s="1195"/>
      <c r="D107" s="1186"/>
      <c r="E107" s="180" t="s">
        <v>148</v>
      </c>
      <c r="F107" s="172" t="s">
        <v>146</v>
      </c>
      <c r="G107" s="137"/>
      <c r="H107" s="138"/>
      <c r="I107" s="287">
        <v>0</v>
      </c>
      <c r="J107" s="288"/>
      <c r="K107" s="287">
        <v>0</v>
      </c>
      <c r="L107" s="288"/>
      <c r="M107" s="287">
        <v>0</v>
      </c>
      <c r="N107" s="288"/>
      <c r="O107" s="287">
        <v>0</v>
      </c>
      <c r="P107" s="288"/>
      <c r="Q107" s="287">
        <v>0</v>
      </c>
      <c r="R107" s="288"/>
      <c r="S107" s="287">
        <v>0</v>
      </c>
      <c r="T107" s="288"/>
      <c r="U107" s="287">
        <v>0</v>
      </c>
      <c r="V107" s="288">
        <v>0</v>
      </c>
      <c r="W107" s="288">
        <v>0</v>
      </c>
      <c r="X107" s="288">
        <v>36</v>
      </c>
      <c r="Y107" s="288"/>
    </row>
    <row r="108" spans="2:25" ht="15" x14ac:dyDescent="0.4">
      <c r="B108" s="1191"/>
      <c r="C108" s="1195"/>
      <c r="D108" s="1186"/>
      <c r="E108" s="426" t="s">
        <v>149</v>
      </c>
      <c r="F108" s="144" t="s">
        <v>146</v>
      </c>
      <c r="G108" s="136"/>
      <c r="H108" s="153"/>
      <c r="I108" s="287">
        <v>0</v>
      </c>
      <c r="J108" s="288"/>
      <c r="K108" s="287">
        <v>0</v>
      </c>
      <c r="L108" s="288"/>
      <c r="M108" s="287">
        <v>0</v>
      </c>
      <c r="N108" s="288"/>
      <c r="O108" s="287">
        <v>0</v>
      </c>
      <c r="P108" s="288"/>
      <c r="Q108" s="287">
        <v>0</v>
      </c>
      <c r="R108" s="288"/>
      <c r="S108" s="287">
        <v>0</v>
      </c>
      <c r="T108" s="288"/>
      <c r="U108" s="287">
        <v>0</v>
      </c>
      <c r="V108" s="288">
        <v>0</v>
      </c>
      <c r="W108" s="288">
        <v>0</v>
      </c>
      <c r="X108" s="288">
        <v>2.7</v>
      </c>
      <c r="Y108" s="288"/>
    </row>
    <row r="109" spans="2:25" ht="15" x14ac:dyDescent="0.4">
      <c r="B109" s="1191"/>
      <c r="C109" s="1195"/>
      <c r="D109" s="1186"/>
      <c r="E109" s="180" t="s">
        <v>68</v>
      </c>
      <c r="F109" s="172" t="s">
        <v>77</v>
      </c>
      <c r="G109" s="137"/>
      <c r="H109" s="138"/>
      <c r="I109" s="287">
        <v>45</v>
      </c>
      <c r="J109" s="288"/>
      <c r="K109" s="287">
        <v>30</v>
      </c>
      <c r="L109" s="288"/>
      <c r="M109" s="287">
        <v>30</v>
      </c>
      <c r="N109" s="288"/>
      <c r="O109" s="287">
        <v>30</v>
      </c>
      <c r="P109" s="288"/>
      <c r="Q109" s="287">
        <v>30</v>
      </c>
      <c r="R109" s="288"/>
      <c r="S109" s="287">
        <v>30</v>
      </c>
      <c r="T109" s="288"/>
      <c r="U109" s="287">
        <v>30</v>
      </c>
      <c r="V109" s="288">
        <v>30</v>
      </c>
      <c r="W109" s="288">
        <v>30</v>
      </c>
      <c r="X109" s="288">
        <v>30</v>
      </c>
      <c r="Y109" s="288"/>
    </row>
    <row r="110" spans="2:25" ht="22.9" customHeight="1" x14ac:dyDescent="0.4">
      <c r="B110" s="1191"/>
      <c r="C110" s="1195"/>
      <c r="D110" s="1186"/>
      <c r="E110" s="180" t="s">
        <v>150</v>
      </c>
      <c r="F110" s="172"/>
      <c r="G110" s="137"/>
      <c r="H110" s="138" t="s">
        <v>51</v>
      </c>
      <c r="I110" s="289" t="s">
        <v>151</v>
      </c>
      <c r="J110" s="290"/>
      <c r="K110" s="289" t="s">
        <v>151</v>
      </c>
      <c r="L110" s="290"/>
      <c r="M110" s="289" t="s">
        <v>151</v>
      </c>
      <c r="N110" s="290"/>
      <c r="O110" s="289" t="s">
        <v>151</v>
      </c>
      <c r="P110" s="290"/>
      <c r="Q110" s="289" t="s">
        <v>151</v>
      </c>
      <c r="R110" s="290"/>
      <c r="S110" s="289" t="s">
        <v>151</v>
      </c>
      <c r="T110" s="290"/>
      <c r="U110" s="289" t="s">
        <v>151</v>
      </c>
      <c r="V110" s="290" t="s">
        <v>151</v>
      </c>
      <c r="W110" s="290" t="s">
        <v>151</v>
      </c>
      <c r="X110" s="290" t="s">
        <v>48</v>
      </c>
      <c r="Y110" s="290"/>
    </row>
    <row r="111" spans="2:25" ht="15.75" customHeight="1" thickBot="1" x14ac:dyDescent="0.45">
      <c r="B111" s="1191"/>
      <c r="C111" s="1195"/>
      <c r="D111" s="1187"/>
      <c r="E111" s="427" t="s">
        <v>152</v>
      </c>
      <c r="F111" s="428"/>
      <c r="G111" s="148"/>
      <c r="H111" s="149" t="s">
        <v>153</v>
      </c>
      <c r="I111" s="291" t="s">
        <v>154</v>
      </c>
      <c r="J111" s="292"/>
      <c r="K111" s="291" t="s">
        <v>154</v>
      </c>
      <c r="L111" s="292"/>
      <c r="M111" s="291" t="s">
        <v>154</v>
      </c>
      <c r="N111" s="292"/>
      <c r="O111" s="291" t="s">
        <v>154</v>
      </c>
      <c r="P111" s="292"/>
      <c r="Q111" s="291" t="s">
        <v>154</v>
      </c>
      <c r="R111" s="292"/>
      <c r="S111" s="291" t="s">
        <v>154</v>
      </c>
      <c r="T111" s="292"/>
      <c r="U111" s="291" t="s">
        <v>154</v>
      </c>
      <c r="V111" s="292" t="s">
        <v>154</v>
      </c>
      <c r="W111" s="292" t="s">
        <v>154</v>
      </c>
      <c r="X111" s="292" t="s">
        <v>154</v>
      </c>
      <c r="Y111" s="292"/>
    </row>
    <row r="112" spans="2:25" ht="15" x14ac:dyDescent="0.4">
      <c r="B112" s="1191"/>
      <c r="C112" s="1195"/>
      <c r="D112" s="1196" t="s">
        <v>163</v>
      </c>
      <c r="E112" s="182" t="s">
        <v>164</v>
      </c>
      <c r="F112" s="174" t="s">
        <v>137</v>
      </c>
      <c r="G112" s="150"/>
      <c r="H112" s="175"/>
      <c r="I112" s="285">
        <v>0</v>
      </c>
      <c r="J112" s="286"/>
      <c r="K112" s="285">
        <v>0</v>
      </c>
      <c r="L112" s="286"/>
      <c r="M112" s="285">
        <v>0</v>
      </c>
      <c r="N112" s="286"/>
      <c r="O112" s="285">
        <v>3.8</v>
      </c>
      <c r="P112" s="286"/>
      <c r="Q112" s="285">
        <v>3.8</v>
      </c>
      <c r="R112" s="286"/>
      <c r="S112" s="285">
        <v>0</v>
      </c>
      <c r="T112" s="286"/>
      <c r="U112" s="285">
        <v>0</v>
      </c>
      <c r="V112" s="286">
        <v>1</v>
      </c>
      <c r="W112" s="286">
        <v>0</v>
      </c>
      <c r="X112" s="286">
        <v>3.7</v>
      </c>
      <c r="Y112" s="286"/>
    </row>
    <row r="113" spans="2:25" ht="22.9" customHeight="1" x14ac:dyDescent="0.4">
      <c r="B113" s="1191"/>
      <c r="C113" s="1195"/>
      <c r="D113" s="1197"/>
      <c r="E113" s="429" t="s">
        <v>165</v>
      </c>
      <c r="F113" s="144"/>
      <c r="G113" s="136"/>
      <c r="H113" s="153" t="s">
        <v>51</v>
      </c>
      <c r="I113" s="287" t="s">
        <v>48</v>
      </c>
      <c r="J113" s="288"/>
      <c r="K113" s="287" t="s">
        <v>48</v>
      </c>
      <c r="L113" s="288"/>
      <c r="M113" s="287" t="s">
        <v>48</v>
      </c>
      <c r="N113" s="288"/>
      <c r="O113" s="287" t="s">
        <v>48</v>
      </c>
      <c r="P113" s="288"/>
      <c r="Q113" s="287" t="s">
        <v>48</v>
      </c>
      <c r="R113" s="288"/>
      <c r="S113" s="287" t="s">
        <v>48</v>
      </c>
      <c r="T113" s="288"/>
      <c r="U113" s="287" t="s">
        <v>151</v>
      </c>
      <c r="V113" s="288" t="s">
        <v>151</v>
      </c>
      <c r="W113" s="288" t="s">
        <v>151</v>
      </c>
      <c r="X113" s="288" t="s">
        <v>48</v>
      </c>
      <c r="Y113" s="288"/>
    </row>
    <row r="114" spans="2:25" ht="15" x14ac:dyDescent="0.4">
      <c r="B114" s="1191"/>
      <c r="C114" s="1195"/>
      <c r="D114" s="1197"/>
      <c r="E114" s="177" t="s">
        <v>166</v>
      </c>
      <c r="F114" s="172"/>
      <c r="G114" s="137"/>
      <c r="H114" s="138" t="s">
        <v>167</v>
      </c>
      <c r="I114" s="287" t="s">
        <v>168</v>
      </c>
      <c r="J114" s="288"/>
      <c r="K114" s="287" t="s">
        <v>168</v>
      </c>
      <c r="L114" s="288"/>
      <c r="M114" s="287" t="s">
        <v>168</v>
      </c>
      <c r="N114" s="288"/>
      <c r="O114" s="287" t="s">
        <v>169</v>
      </c>
      <c r="P114" s="288"/>
      <c r="Q114" s="287" t="s">
        <v>169</v>
      </c>
      <c r="R114" s="288"/>
      <c r="S114" s="287" t="s">
        <v>168</v>
      </c>
      <c r="T114" s="288"/>
      <c r="U114" s="287" t="s">
        <v>168</v>
      </c>
      <c r="V114" s="288" t="s">
        <v>168</v>
      </c>
      <c r="W114" s="288" t="s">
        <v>168</v>
      </c>
      <c r="X114" s="288" t="s">
        <v>169</v>
      </c>
      <c r="Y114" s="288"/>
    </row>
    <row r="115" spans="2:25" ht="15" x14ac:dyDescent="0.4">
      <c r="B115" s="1191"/>
      <c r="C115" s="1195"/>
      <c r="D115" s="1197"/>
      <c r="E115" s="429" t="s">
        <v>170</v>
      </c>
      <c r="F115" s="144"/>
      <c r="G115" s="136"/>
      <c r="H115" s="153" t="s">
        <v>167</v>
      </c>
      <c r="I115" s="287" t="s">
        <v>168</v>
      </c>
      <c r="J115" s="288"/>
      <c r="K115" s="287" t="s">
        <v>168</v>
      </c>
      <c r="L115" s="288"/>
      <c r="M115" s="287" t="s">
        <v>168</v>
      </c>
      <c r="N115" s="288"/>
      <c r="O115" s="287" t="s">
        <v>169</v>
      </c>
      <c r="P115" s="288"/>
      <c r="Q115" s="287" t="s">
        <v>169</v>
      </c>
      <c r="R115" s="288"/>
      <c r="S115" s="287" t="s">
        <v>168</v>
      </c>
      <c r="T115" s="288"/>
      <c r="U115" s="287" t="s">
        <v>168</v>
      </c>
      <c r="V115" s="288" t="s">
        <v>168</v>
      </c>
      <c r="W115" s="288" t="s">
        <v>168</v>
      </c>
      <c r="X115" s="288" t="s">
        <v>169</v>
      </c>
      <c r="Y115" s="288"/>
    </row>
    <row r="116" spans="2:25" ht="15" x14ac:dyDescent="0.4">
      <c r="B116" s="1191"/>
      <c r="C116" s="1195"/>
      <c r="D116" s="1197"/>
      <c r="E116" s="177" t="s">
        <v>171</v>
      </c>
      <c r="F116" s="172"/>
      <c r="G116" s="137"/>
      <c r="H116" s="138" t="s">
        <v>167</v>
      </c>
      <c r="I116" s="287" t="s">
        <v>168</v>
      </c>
      <c r="J116" s="288"/>
      <c r="K116" s="287" t="s">
        <v>168</v>
      </c>
      <c r="L116" s="288"/>
      <c r="M116" s="287" t="s">
        <v>168</v>
      </c>
      <c r="N116" s="288"/>
      <c r="O116" s="287" t="s">
        <v>169</v>
      </c>
      <c r="P116" s="288"/>
      <c r="Q116" s="287" t="s">
        <v>169</v>
      </c>
      <c r="R116" s="288"/>
      <c r="S116" s="287" t="s">
        <v>168</v>
      </c>
      <c r="T116" s="288"/>
      <c r="U116" s="287" t="s">
        <v>168</v>
      </c>
      <c r="V116" s="288" t="s">
        <v>168</v>
      </c>
      <c r="W116" s="288" t="s">
        <v>168</v>
      </c>
      <c r="X116" s="288" t="s">
        <v>169</v>
      </c>
      <c r="Y116" s="288"/>
    </row>
    <row r="117" spans="2:25" ht="15" x14ac:dyDescent="0.4">
      <c r="B117" s="1191"/>
      <c r="C117" s="1195"/>
      <c r="D117" s="1197"/>
      <c r="E117" s="429" t="s">
        <v>172</v>
      </c>
      <c r="F117" s="144"/>
      <c r="G117" s="136"/>
      <c r="H117" s="153" t="s">
        <v>167</v>
      </c>
      <c r="I117" s="287" t="s">
        <v>168</v>
      </c>
      <c r="J117" s="288"/>
      <c r="K117" s="287" t="s">
        <v>168</v>
      </c>
      <c r="L117" s="288"/>
      <c r="M117" s="287" t="s">
        <v>168</v>
      </c>
      <c r="N117" s="288"/>
      <c r="O117" s="287" t="s">
        <v>169</v>
      </c>
      <c r="P117" s="288"/>
      <c r="Q117" s="287" t="s">
        <v>169</v>
      </c>
      <c r="R117" s="288"/>
      <c r="S117" s="287" t="s">
        <v>168</v>
      </c>
      <c r="T117" s="288"/>
      <c r="U117" s="287" t="s">
        <v>168</v>
      </c>
      <c r="V117" s="288" t="s">
        <v>168</v>
      </c>
      <c r="W117" s="288" t="s">
        <v>168</v>
      </c>
      <c r="X117" s="288" t="s">
        <v>169</v>
      </c>
      <c r="Y117" s="288"/>
    </row>
    <row r="118" spans="2:25" ht="15" x14ac:dyDescent="0.4">
      <c r="B118" s="1191"/>
      <c r="C118" s="1195"/>
      <c r="D118" s="1197"/>
      <c r="E118" s="177" t="s">
        <v>173</v>
      </c>
      <c r="F118" s="172"/>
      <c r="G118" s="137"/>
      <c r="H118" s="138" t="s">
        <v>174</v>
      </c>
      <c r="I118" s="287" t="s">
        <v>154</v>
      </c>
      <c r="J118" s="288"/>
      <c r="K118" s="287" t="s">
        <v>154</v>
      </c>
      <c r="L118" s="288"/>
      <c r="M118" s="287" t="s">
        <v>154</v>
      </c>
      <c r="N118" s="288"/>
      <c r="O118" s="287" t="s">
        <v>154</v>
      </c>
      <c r="P118" s="288"/>
      <c r="Q118" s="287" t="s">
        <v>154</v>
      </c>
      <c r="R118" s="288"/>
      <c r="S118" s="287" t="s">
        <v>154</v>
      </c>
      <c r="T118" s="288"/>
      <c r="U118" s="287" t="s">
        <v>154</v>
      </c>
      <c r="V118" s="288" t="s">
        <v>154</v>
      </c>
      <c r="W118" s="288" t="s">
        <v>154</v>
      </c>
      <c r="X118" s="288" t="s">
        <v>154</v>
      </c>
      <c r="Y118" s="288"/>
    </row>
    <row r="119" spans="2:25" ht="15" x14ac:dyDescent="0.4">
      <c r="B119" s="1191"/>
      <c r="C119" s="1195"/>
      <c r="D119" s="1197"/>
      <c r="E119" s="429" t="s">
        <v>175</v>
      </c>
      <c r="F119" s="144"/>
      <c r="G119" s="136"/>
      <c r="H119" s="153" t="s">
        <v>167</v>
      </c>
      <c r="I119" s="287" t="s">
        <v>168</v>
      </c>
      <c r="J119" s="288"/>
      <c r="K119" s="287" t="s">
        <v>168</v>
      </c>
      <c r="L119" s="288"/>
      <c r="M119" s="287" t="s">
        <v>168</v>
      </c>
      <c r="N119" s="288"/>
      <c r="O119" s="287" t="s">
        <v>169</v>
      </c>
      <c r="P119" s="288"/>
      <c r="Q119" s="287" t="s">
        <v>169</v>
      </c>
      <c r="R119" s="288"/>
      <c r="S119" s="287" t="s">
        <v>168</v>
      </c>
      <c r="T119" s="288"/>
      <c r="U119" s="287" t="s">
        <v>168</v>
      </c>
      <c r="V119" s="288" t="s">
        <v>168</v>
      </c>
      <c r="W119" s="288" t="s">
        <v>168</v>
      </c>
      <c r="X119" s="288" t="s">
        <v>169</v>
      </c>
      <c r="Y119" s="288"/>
    </row>
    <row r="120" spans="2:25" ht="22.9" customHeight="1" x14ac:dyDescent="0.4">
      <c r="B120" s="1191"/>
      <c r="C120" s="1195"/>
      <c r="D120" s="1197"/>
      <c r="E120" s="177" t="s">
        <v>176</v>
      </c>
      <c r="F120" s="172"/>
      <c r="G120" s="137"/>
      <c r="H120" s="138" t="s">
        <v>51</v>
      </c>
      <c r="I120" s="287" t="s">
        <v>151</v>
      </c>
      <c r="J120" s="288"/>
      <c r="K120" s="287" t="s">
        <v>151</v>
      </c>
      <c r="L120" s="288"/>
      <c r="M120" s="287" t="s">
        <v>151</v>
      </c>
      <c r="N120" s="288"/>
      <c r="O120" s="287" t="s">
        <v>151</v>
      </c>
      <c r="P120" s="288"/>
      <c r="Q120" s="287" t="s">
        <v>151</v>
      </c>
      <c r="R120" s="288"/>
      <c r="S120" s="287" t="s">
        <v>151</v>
      </c>
      <c r="T120" s="288"/>
      <c r="U120" s="287" t="s">
        <v>48</v>
      </c>
      <c r="V120" s="288" t="s">
        <v>48</v>
      </c>
      <c r="W120" s="288" t="s">
        <v>151</v>
      </c>
      <c r="X120" s="288" t="s">
        <v>151</v>
      </c>
      <c r="Y120" s="288"/>
    </row>
    <row r="121" spans="2:25" ht="23.65" customHeight="1" thickBot="1" x14ac:dyDescent="0.45">
      <c r="B121" s="1192"/>
      <c r="C121" s="1195"/>
      <c r="D121" s="1198"/>
      <c r="E121" s="430" t="s">
        <v>177</v>
      </c>
      <c r="F121" s="431"/>
      <c r="G121" s="154"/>
      <c r="H121" s="156" t="s">
        <v>51</v>
      </c>
      <c r="I121" s="293" t="s">
        <v>151</v>
      </c>
      <c r="J121" s="294"/>
      <c r="K121" s="293" t="s">
        <v>151</v>
      </c>
      <c r="L121" s="294"/>
      <c r="M121" s="293" t="s">
        <v>151</v>
      </c>
      <c r="N121" s="294"/>
      <c r="O121" s="293" t="s">
        <v>151</v>
      </c>
      <c r="P121" s="294"/>
      <c r="Q121" s="293" t="s">
        <v>151</v>
      </c>
      <c r="R121" s="294"/>
      <c r="S121" s="293" t="s">
        <v>151</v>
      </c>
      <c r="T121" s="294"/>
      <c r="U121" s="293" t="s">
        <v>151</v>
      </c>
      <c r="V121" s="294" t="s">
        <v>151</v>
      </c>
      <c r="W121" s="294" t="s">
        <v>151</v>
      </c>
      <c r="X121" s="294" t="s">
        <v>151</v>
      </c>
      <c r="Y121" s="294"/>
    </row>
    <row r="122" spans="2:25" ht="22.9" customHeight="1" x14ac:dyDescent="0.4">
      <c r="B122" s="1207" t="s">
        <v>178</v>
      </c>
      <c r="C122" s="1196" t="s">
        <v>179</v>
      </c>
      <c r="D122" s="1196" t="s">
        <v>179</v>
      </c>
      <c r="E122" s="176" t="s">
        <v>180</v>
      </c>
      <c r="F122" s="171"/>
      <c r="G122" s="132"/>
      <c r="H122" s="157" t="s">
        <v>181</v>
      </c>
      <c r="I122" s="700" t="s">
        <v>133</v>
      </c>
      <c r="J122" s="701"/>
      <c r="K122" s="700" t="s">
        <v>133</v>
      </c>
      <c r="L122" s="701"/>
      <c r="M122" s="700" t="s">
        <v>133</v>
      </c>
      <c r="N122" s="701"/>
      <c r="O122" s="700" t="s">
        <v>133</v>
      </c>
      <c r="P122" s="701"/>
      <c r="Q122" s="700" t="s">
        <v>133</v>
      </c>
      <c r="R122" s="701"/>
      <c r="S122" s="700" t="s">
        <v>133</v>
      </c>
      <c r="T122" s="701"/>
      <c r="U122" s="700" t="s">
        <v>133</v>
      </c>
      <c r="V122" s="701" t="s">
        <v>133</v>
      </c>
      <c r="W122" s="701" t="s">
        <v>133</v>
      </c>
      <c r="X122" s="701" t="s">
        <v>133</v>
      </c>
      <c r="Y122" s="701"/>
    </row>
    <row r="123" spans="2:25" ht="16.5" customHeight="1" x14ac:dyDescent="0.4">
      <c r="B123" s="1208"/>
      <c r="C123" s="1197"/>
      <c r="D123" s="1197"/>
      <c r="E123" s="429" t="s">
        <v>182</v>
      </c>
      <c r="F123" s="144" t="s">
        <v>183</v>
      </c>
      <c r="G123" s="136"/>
      <c r="H123" s="153"/>
      <c r="I123" s="704">
        <v>4200</v>
      </c>
      <c r="J123" s="705"/>
      <c r="K123" s="704">
        <v>4187.78</v>
      </c>
      <c r="L123" s="705"/>
      <c r="M123" s="704">
        <v>4187.78</v>
      </c>
      <c r="N123" s="705"/>
      <c r="O123" s="704">
        <v>4190.5200000000004</v>
      </c>
      <c r="P123" s="705"/>
      <c r="Q123" s="704">
        <v>4407.7</v>
      </c>
      <c r="R123" s="705"/>
      <c r="S123" s="704">
        <v>4356.71</v>
      </c>
      <c r="T123" s="705"/>
      <c r="U123" s="704">
        <v>4254.58</v>
      </c>
      <c r="V123" s="705">
        <v>4260.2</v>
      </c>
      <c r="W123" s="705">
        <v>4202</v>
      </c>
      <c r="X123" s="705">
        <v>4331.5200000000004</v>
      </c>
      <c r="Y123" s="705"/>
    </row>
    <row r="124" spans="2:25" ht="16.5" customHeight="1" thickBot="1" x14ac:dyDescent="0.45">
      <c r="B124" s="1208"/>
      <c r="C124" s="1197"/>
      <c r="D124" s="1197"/>
      <c r="E124" s="178" t="s">
        <v>133</v>
      </c>
      <c r="F124" s="173" t="s">
        <v>115</v>
      </c>
      <c r="G124" s="159"/>
      <c r="H124" s="160"/>
      <c r="I124" s="702">
        <v>4.7</v>
      </c>
      <c r="J124" s="703"/>
      <c r="K124" s="702">
        <v>4.7699999999999996</v>
      </c>
      <c r="L124" s="703"/>
      <c r="M124" s="702">
        <v>4.7699999999999996</v>
      </c>
      <c r="N124" s="703"/>
      <c r="O124" s="702">
        <v>4.72</v>
      </c>
      <c r="P124" s="703"/>
      <c r="Q124" s="702">
        <v>4.0999999999999996</v>
      </c>
      <c r="R124" s="703"/>
      <c r="S124" s="702">
        <v>4.21</v>
      </c>
      <c r="T124" s="703"/>
      <c r="U124" s="702">
        <v>4.3499999999999996</v>
      </c>
      <c r="V124" s="703">
        <v>4.6900000000000004</v>
      </c>
      <c r="W124" s="703">
        <v>4.8600000000000003</v>
      </c>
      <c r="X124" s="703">
        <v>4.0999999999999996</v>
      </c>
      <c r="Y124" s="703"/>
    </row>
    <row r="125" spans="2:25" ht="16.5" customHeight="1" x14ac:dyDescent="0.4">
      <c r="B125" s="1208"/>
      <c r="C125" s="1197"/>
      <c r="D125" s="1197"/>
      <c r="E125" s="429" t="s">
        <v>184</v>
      </c>
      <c r="F125" s="144" t="s">
        <v>27</v>
      </c>
      <c r="G125" s="136"/>
      <c r="H125" s="153"/>
      <c r="I125" s="707">
        <v>218.7</v>
      </c>
      <c r="J125" s="706"/>
      <c r="K125" s="707">
        <v>218.8</v>
      </c>
      <c r="L125" s="706"/>
      <c r="M125" s="707">
        <v>218.8</v>
      </c>
      <c r="N125" s="706"/>
      <c r="O125" s="707">
        <v>219.8</v>
      </c>
      <c r="P125" s="706"/>
      <c r="Q125" s="707">
        <v>218.8</v>
      </c>
      <c r="R125" s="706"/>
      <c r="S125" s="707">
        <v>218.8</v>
      </c>
      <c r="T125" s="706"/>
      <c r="U125" s="707">
        <v>219.1</v>
      </c>
      <c r="V125" s="706">
        <v>218.69</v>
      </c>
      <c r="W125" s="706">
        <v>218.8</v>
      </c>
      <c r="X125" s="706">
        <v>218.8</v>
      </c>
      <c r="Y125" s="706"/>
    </row>
    <row r="126" spans="2:25" ht="16.5" customHeight="1" thickBot="1" x14ac:dyDescent="0.45">
      <c r="B126" s="1208"/>
      <c r="C126" s="1185"/>
      <c r="D126" s="1185"/>
      <c r="E126" s="178" t="s">
        <v>185</v>
      </c>
      <c r="F126" s="173" t="s">
        <v>48</v>
      </c>
      <c r="G126" s="159"/>
      <c r="H126" s="160"/>
      <c r="I126" s="702">
        <v>6.9</v>
      </c>
      <c r="J126" s="703"/>
      <c r="K126" s="702">
        <v>6.9</v>
      </c>
      <c r="L126" s="703"/>
      <c r="M126" s="702">
        <v>6.9</v>
      </c>
      <c r="N126" s="703"/>
      <c r="O126" s="702">
        <v>7.8</v>
      </c>
      <c r="P126" s="703"/>
      <c r="Q126" s="702">
        <v>7.9</v>
      </c>
      <c r="R126" s="703"/>
      <c r="S126" s="702">
        <v>6.82</v>
      </c>
      <c r="T126" s="703"/>
      <c r="U126" s="702">
        <v>7.2</v>
      </c>
      <c r="V126" s="703">
        <v>7.56</v>
      </c>
      <c r="W126" s="703">
        <v>6.86</v>
      </c>
      <c r="X126" s="703">
        <v>7.92</v>
      </c>
      <c r="Y126" s="703"/>
    </row>
    <row r="127" spans="2:25" ht="22.9" customHeight="1" x14ac:dyDescent="0.4">
      <c r="B127" s="1209"/>
      <c r="C127" s="1211" t="s">
        <v>186</v>
      </c>
      <c r="D127" s="1185" t="s">
        <v>187</v>
      </c>
      <c r="E127" s="432" t="s">
        <v>38</v>
      </c>
      <c r="F127" s="433" t="s">
        <v>39</v>
      </c>
      <c r="G127" s="133" t="s">
        <v>188</v>
      </c>
      <c r="H127" s="152"/>
      <c r="I127" s="285">
        <v>46.8</v>
      </c>
      <c r="J127" s="286"/>
      <c r="K127" s="285">
        <v>47.2</v>
      </c>
      <c r="L127" s="286"/>
      <c r="M127" s="285">
        <v>47.2</v>
      </c>
      <c r="N127" s="286"/>
      <c r="O127" s="285">
        <v>58.6</v>
      </c>
      <c r="P127" s="286"/>
      <c r="Q127" s="285">
        <v>60</v>
      </c>
      <c r="R127" s="286"/>
      <c r="S127" s="285">
        <v>41.6</v>
      </c>
      <c r="T127" s="286"/>
      <c r="U127" s="285">
        <v>42</v>
      </c>
      <c r="V127" s="286">
        <v>44</v>
      </c>
      <c r="W127" s="286">
        <v>44.9</v>
      </c>
      <c r="X127" s="286">
        <v>55.5</v>
      </c>
      <c r="Y127" s="286"/>
    </row>
    <row r="128" spans="2:25" ht="22.9" customHeight="1" x14ac:dyDescent="0.4">
      <c r="B128" s="1209"/>
      <c r="C128" s="1212"/>
      <c r="D128" s="1186"/>
      <c r="E128" s="177" t="s">
        <v>40</v>
      </c>
      <c r="F128" s="172" t="s">
        <v>39</v>
      </c>
      <c r="G128" s="140" t="s">
        <v>188</v>
      </c>
      <c r="H128" s="138"/>
      <c r="I128" s="287">
        <v>52.7</v>
      </c>
      <c r="J128" s="288"/>
      <c r="K128" s="287">
        <v>52.7</v>
      </c>
      <c r="L128" s="288"/>
      <c r="M128" s="287">
        <v>52.7</v>
      </c>
      <c r="N128" s="288"/>
      <c r="O128" s="287">
        <v>64.599999999999994</v>
      </c>
      <c r="P128" s="288"/>
      <c r="Q128" s="287">
        <v>66.900000000000006</v>
      </c>
      <c r="R128" s="288"/>
      <c r="S128" s="287">
        <v>46.6</v>
      </c>
      <c r="T128" s="288"/>
      <c r="U128" s="287">
        <v>49.2</v>
      </c>
      <c r="V128" s="288">
        <v>49.3</v>
      </c>
      <c r="W128" s="288">
        <v>50.4</v>
      </c>
      <c r="X128" s="288">
        <v>61.2</v>
      </c>
      <c r="Y128" s="288"/>
    </row>
    <row r="129" spans="2:25" ht="22.9" customHeight="1" x14ac:dyDescent="0.4">
      <c r="B129" s="1209"/>
      <c r="C129" s="1212"/>
      <c r="D129" s="1186"/>
      <c r="E129" s="429" t="s">
        <v>41</v>
      </c>
      <c r="F129" s="144" t="s">
        <v>39</v>
      </c>
      <c r="G129" s="136" t="s">
        <v>188</v>
      </c>
      <c r="H129" s="153"/>
      <c r="I129" s="287">
        <v>45.7</v>
      </c>
      <c r="J129" s="288"/>
      <c r="K129" s="287">
        <v>46.1</v>
      </c>
      <c r="L129" s="288"/>
      <c r="M129" s="287">
        <v>46.1</v>
      </c>
      <c r="N129" s="288"/>
      <c r="O129" s="287">
        <v>57.2</v>
      </c>
      <c r="P129" s="288"/>
      <c r="Q129" s="287">
        <v>58.8</v>
      </c>
      <c r="R129" s="288"/>
      <c r="S129" s="287">
        <v>42.2</v>
      </c>
      <c r="T129" s="288"/>
      <c r="U129" s="287">
        <v>45</v>
      </c>
      <c r="V129" s="288">
        <v>42.9</v>
      </c>
      <c r="W129" s="288">
        <v>43.8</v>
      </c>
      <c r="X129" s="288">
        <v>54.1</v>
      </c>
      <c r="Y129" s="288"/>
    </row>
    <row r="130" spans="2:25" ht="15" x14ac:dyDescent="0.4">
      <c r="B130" s="1209"/>
      <c r="C130" s="1212"/>
      <c r="D130" s="1186"/>
      <c r="E130" s="429" t="s">
        <v>43</v>
      </c>
      <c r="F130" s="144" t="s">
        <v>189</v>
      </c>
      <c r="G130" s="136"/>
      <c r="H130" s="153"/>
      <c r="I130" s="287">
        <v>4.4000000000000004</v>
      </c>
      <c r="J130" s="288"/>
      <c r="K130" s="287">
        <v>4.75</v>
      </c>
      <c r="L130" s="288"/>
      <c r="M130" s="287">
        <v>4.75</v>
      </c>
      <c r="N130" s="288"/>
      <c r="O130" s="287">
        <v>396.2</v>
      </c>
      <c r="P130" s="288"/>
      <c r="Q130" s="287">
        <v>395.7</v>
      </c>
      <c r="R130" s="288"/>
      <c r="S130" s="287">
        <v>6.5</v>
      </c>
      <c r="T130" s="288"/>
      <c r="U130" s="287">
        <v>13.5</v>
      </c>
      <c r="V130" s="288">
        <v>4.75</v>
      </c>
      <c r="W130" s="288">
        <v>4.3499999999999996</v>
      </c>
      <c r="X130" s="288">
        <v>398.6</v>
      </c>
      <c r="Y130" s="288"/>
    </row>
    <row r="131" spans="2:25" ht="15" x14ac:dyDescent="0.4">
      <c r="B131" s="1209"/>
      <c r="C131" s="1212"/>
      <c r="D131" s="1186"/>
      <c r="E131" s="429" t="s">
        <v>45</v>
      </c>
      <c r="F131" s="144" t="s">
        <v>190</v>
      </c>
      <c r="G131" s="136"/>
      <c r="H131" s="153"/>
      <c r="I131" s="287">
        <v>0.25</v>
      </c>
      <c r="J131" s="288"/>
      <c r="K131" s="287">
        <v>0.2</v>
      </c>
      <c r="L131" s="288"/>
      <c r="M131" s="287">
        <v>0.2</v>
      </c>
      <c r="N131" s="288"/>
      <c r="O131" s="287">
        <v>244.7</v>
      </c>
      <c r="P131" s="288"/>
      <c r="Q131" s="287">
        <v>245.5</v>
      </c>
      <c r="R131" s="288"/>
      <c r="S131" s="287">
        <v>0.2</v>
      </c>
      <c r="T131" s="288"/>
      <c r="U131" s="287">
        <v>0.55000000000000004</v>
      </c>
      <c r="V131" s="288">
        <v>0.1</v>
      </c>
      <c r="W131" s="288">
        <v>0.25</v>
      </c>
      <c r="X131" s="288">
        <v>245.1</v>
      </c>
      <c r="Y131" s="288"/>
    </row>
    <row r="132" spans="2:25" ht="15" x14ac:dyDescent="0.4">
      <c r="B132" s="1209"/>
      <c r="C132" s="1212"/>
      <c r="D132" s="1186"/>
      <c r="E132" s="177" t="s">
        <v>47</v>
      </c>
      <c r="F132" s="172" t="s">
        <v>48</v>
      </c>
      <c r="G132" s="137"/>
      <c r="H132" s="138"/>
      <c r="I132" s="287">
        <v>14</v>
      </c>
      <c r="J132" s="288"/>
      <c r="K132" s="287">
        <v>13.5</v>
      </c>
      <c r="L132" s="288"/>
      <c r="M132" s="287">
        <v>13.5</v>
      </c>
      <c r="N132" s="288"/>
      <c r="O132" s="287">
        <v>710</v>
      </c>
      <c r="P132" s="288"/>
      <c r="Q132" s="287">
        <v>710</v>
      </c>
      <c r="R132" s="288"/>
      <c r="S132" s="287">
        <v>23.5</v>
      </c>
      <c r="T132" s="288"/>
      <c r="U132" s="287">
        <v>20.399999999999999</v>
      </c>
      <c r="V132" s="288">
        <v>13.5</v>
      </c>
      <c r="W132" s="288">
        <v>13.5</v>
      </c>
      <c r="X132" s="288">
        <v>727</v>
      </c>
      <c r="Y132" s="288"/>
    </row>
    <row r="133" spans="2:25" ht="15" x14ac:dyDescent="0.4">
      <c r="B133" s="1209"/>
      <c r="C133" s="1212"/>
      <c r="D133" s="1186"/>
      <c r="E133" s="429" t="s">
        <v>49</v>
      </c>
      <c r="F133" s="144" t="s">
        <v>48</v>
      </c>
      <c r="G133" s="136"/>
      <c r="H133" s="153"/>
      <c r="I133" s="287">
        <v>4</v>
      </c>
      <c r="J133" s="288"/>
      <c r="K133" s="287">
        <v>5.5</v>
      </c>
      <c r="L133" s="288"/>
      <c r="M133" s="287">
        <v>5.5</v>
      </c>
      <c r="N133" s="288"/>
      <c r="O133" s="287">
        <v>724</v>
      </c>
      <c r="P133" s="288"/>
      <c r="Q133" s="287">
        <v>722</v>
      </c>
      <c r="R133" s="288"/>
      <c r="S133" s="287">
        <v>4</v>
      </c>
      <c r="T133" s="288"/>
      <c r="U133" s="287">
        <v>5</v>
      </c>
      <c r="V133" s="288">
        <v>5.5</v>
      </c>
      <c r="W133" s="288">
        <v>4</v>
      </c>
      <c r="X133" s="288">
        <v>726</v>
      </c>
      <c r="Y133" s="288"/>
    </row>
    <row r="134" spans="2:25" ht="15" x14ac:dyDescent="0.4">
      <c r="B134" s="1209"/>
      <c r="C134" s="1212"/>
      <c r="D134" s="1186"/>
      <c r="E134" s="177" t="s">
        <v>50</v>
      </c>
      <c r="F134" s="172" t="s">
        <v>48</v>
      </c>
      <c r="G134" s="137"/>
      <c r="H134" s="138"/>
      <c r="I134" s="287">
        <v>4</v>
      </c>
      <c r="J134" s="288"/>
      <c r="K134" s="287">
        <v>4</v>
      </c>
      <c r="L134" s="288"/>
      <c r="M134" s="287">
        <v>4</v>
      </c>
      <c r="N134" s="288"/>
      <c r="O134" s="287">
        <v>727</v>
      </c>
      <c r="P134" s="288"/>
      <c r="Q134" s="287">
        <v>727</v>
      </c>
      <c r="R134" s="288"/>
      <c r="S134" s="287">
        <v>4</v>
      </c>
      <c r="T134" s="288"/>
      <c r="U134" s="287">
        <v>6</v>
      </c>
      <c r="V134" s="288">
        <v>4.5</v>
      </c>
      <c r="W134" s="288">
        <v>4</v>
      </c>
      <c r="X134" s="288">
        <v>731</v>
      </c>
      <c r="Y134" s="288"/>
    </row>
    <row r="135" spans="2:25" ht="15" x14ac:dyDescent="0.4">
      <c r="B135" s="1209"/>
      <c r="C135" s="1212"/>
      <c r="D135" s="1186"/>
      <c r="E135" s="429" t="s">
        <v>191</v>
      </c>
      <c r="F135" s="144" t="s">
        <v>27</v>
      </c>
      <c r="G135" s="136"/>
      <c r="H135" s="153"/>
      <c r="I135" s="337">
        <v>221</v>
      </c>
      <c r="J135" s="338"/>
      <c r="K135" s="337">
        <v>221</v>
      </c>
      <c r="L135" s="338"/>
      <c r="M135" s="337">
        <v>221</v>
      </c>
      <c r="N135" s="338"/>
      <c r="O135" s="337">
        <v>214.8</v>
      </c>
      <c r="P135" s="338"/>
      <c r="Q135" s="337">
        <v>214</v>
      </c>
      <c r="R135" s="338"/>
      <c r="S135" s="337">
        <v>220.2</v>
      </c>
      <c r="T135" s="338"/>
      <c r="U135" s="337">
        <v>280</v>
      </c>
      <c r="V135" s="338">
        <v>217</v>
      </c>
      <c r="W135" s="338">
        <v>218.6</v>
      </c>
      <c r="X135" s="338"/>
      <c r="Y135" s="338">
        <v>213.9</v>
      </c>
    </row>
    <row r="136" spans="2:25" ht="15" x14ac:dyDescent="0.4">
      <c r="B136" s="1209"/>
      <c r="C136" s="1212"/>
      <c r="D136" s="1186"/>
      <c r="E136" s="177" t="s">
        <v>192</v>
      </c>
      <c r="F136" s="172" t="s">
        <v>27</v>
      </c>
      <c r="G136" s="137"/>
      <c r="H136" s="138"/>
      <c r="I136" s="337">
        <v>221</v>
      </c>
      <c r="J136" s="338"/>
      <c r="K136" s="337">
        <v>221</v>
      </c>
      <c r="L136" s="338"/>
      <c r="M136" s="337">
        <v>221</v>
      </c>
      <c r="N136" s="338"/>
      <c r="O136" s="337">
        <v>214.9</v>
      </c>
      <c r="P136" s="338"/>
      <c r="Q136" s="337">
        <v>214</v>
      </c>
      <c r="R136" s="338"/>
      <c r="S136" s="337">
        <v>221.2</v>
      </c>
      <c r="T136" s="338"/>
      <c r="U136" s="337">
        <v>282</v>
      </c>
      <c r="V136" s="338">
        <v>217</v>
      </c>
      <c r="W136" s="338">
        <v>218.9</v>
      </c>
      <c r="X136" s="338"/>
      <c r="Y136" s="338">
        <v>213.9</v>
      </c>
    </row>
    <row r="137" spans="2:25" ht="15" x14ac:dyDescent="0.4">
      <c r="B137" s="1209"/>
      <c r="C137" s="1212"/>
      <c r="D137" s="1186"/>
      <c r="E137" s="429" t="s">
        <v>193</v>
      </c>
      <c r="F137" s="144" t="s">
        <v>27</v>
      </c>
      <c r="G137" s="136"/>
      <c r="H137" s="153"/>
      <c r="I137" s="337">
        <v>221</v>
      </c>
      <c r="J137" s="338"/>
      <c r="K137" s="337">
        <v>221</v>
      </c>
      <c r="L137" s="338"/>
      <c r="M137" s="337">
        <v>221</v>
      </c>
      <c r="N137" s="338"/>
      <c r="O137" s="337">
        <v>215</v>
      </c>
      <c r="P137" s="338"/>
      <c r="Q137" s="337">
        <v>214</v>
      </c>
      <c r="R137" s="338"/>
      <c r="S137" s="337">
        <v>220.9</v>
      </c>
      <c r="T137" s="338"/>
      <c r="U137" s="337">
        <v>282</v>
      </c>
      <c r="V137" s="338">
        <v>217</v>
      </c>
      <c r="W137" s="338">
        <v>219.7</v>
      </c>
      <c r="X137" s="338"/>
      <c r="Y137" s="338">
        <v>213.8</v>
      </c>
    </row>
    <row r="138" spans="2:25" ht="22.9" customHeight="1" x14ac:dyDescent="0.4">
      <c r="B138" s="1209"/>
      <c r="C138" s="1212"/>
      <c r="D138" s="1186"/>
      <c r="E138" s="177" t="s">
        <v>194</v>
      </c>
      <c r="F138" s="172"/>
      <c r="G138" s="137"/>
      <c r="H138" s="138" t="s">
        <v>51</v>
      </c>
      <c r="I138" s="287" t="s">
        <v>151</v>
      </c>
      <c r="J138" s="288"/>
      <c r="K138" s="287" t="s">
        <v>151</v>
      </c>
      <c r="L138" s="288"/>
      <c r="M138" s="287" t="s">
        <v>151</v>
      </c>
      <c r="N138" s="288"/>
      <c r="O138" s="287" t="s">
        <v>151</v>
      </c>
      <c r="P138" s="288"/>
      <c r="Q138" s="287" t="s">
        <v>151</v>
      </c>
      <c r="R138" s="288"/>
      <c r="S138" s="287" t="s">
        <v>151</v>
      </c>
      <c r="T138" s="288"/>
      <c r="U138" s="287" t="s">
        <v>151</v>
      </c>
      <c r="V138" s="288" t="s">
        <v>151</v>
      </c>
      <c r="W138" s="288" t="s">
        <v>151</v>
      </c>
      <c r="X138" s="288" t="s">
        <v>151</v>
      </c>
      <c r="Y138" s="288"/>
    </row>
    <row r="139" spans="2:25" ht="22.9" customHeight="1" x14ac:dyDescent="0.4">
      <c r="B139" s="1209"/>
      <c r="C139" s="1212"/>
      <c r="D139" s="1186"/>
      <c r="E139" s="429" t="s">
        <v>195</v>
      </c>
      <c r="F139" s="144"/>
      <c r="G139" s="136"/>
      <c r="H139" s="153" t="s">
        <v>51</v>
      </c>
      <c r="I139" s="287" t="s">
        <v>48</v>
      </c>
      <c r="J139" s="288"/>
      <c r="K139" s="287" t="s">
        <v>48</v>
      </c>
      <c r="L139" s="288"/>
      <c r="M139" s="287" t="s">
        <v>48</v>
      </c>
      <c r="N139" s="288"/>
      <c r="O139" s="287" t="s">
        <v>48</v>
      </c>
      <c r="P139" s="288"/>
      <c r="Q139" s="287" t="s">
        <v>48</v>
      </c>
      <c r="R139" s="288"/>
      <c r="S139" s="287" t="s">
        <v>48</v>
      </c>
      <c r="T139" s="288"/>
      <c r="U139" s="287" t="s">
        <v>48</v>
      </c>
      <c r="V139" s="288" t="s">
        <v>48</v>
      </c>
      <c r="W139" s="288" t="s">
        <v>48</v>
      </c>
      <c r="X139" s="288" t="s">
        <v>48</v>
      </c>
      <c r="Y139" s="288"/>
    </row>
    <row r="140" spans="2:25" ht="46.15" customHeight="1" thickBot="1" x14ac:dyDescent="0.45">
      <c r="B140" s="1210"/>
      <c r="C140" s="1213"/>
      <c r="D140" s="1187"/>
      <c r="E140" s="178" t="s">
        <v>53</v>
      </c>
      <c r="F140" s="708" t="s">
        <v>21</v>
      </c>
      <c r="G140" s="708"/>
      <c r="H140" s="709" t="s">
        <v>196</v>
      </c>
      <c r="I140" s="295" t="s">
        <v>197</v>
      </c>
      <c r="J140" s="296"/>
      <c r="K140" s="295" t="s">
        <v>197</v>
      </c>
      <c r="L140" s="296"/>
      <c r="M140" s="295" t="s">
        <v>197</v>
      </c>
      <c r="N140" s="296"/>
      <c r="O140" s="295" t="s">
        <v>197</v>
      </c>
      <c r="P140" s="296"/>
      <c r="Q140" s="295" t="s">
        <v>197</v>
      </c>
      <c r="R140" s="296"/>
      <c r="S140" s="295" t="s">
        <v>197</v>
      </c>
      <c r="T140" s="296"/>
      <c r="U140" s="295" t="s">
        <v>197</v>
      </c>
      <c r="V140" s="296" t="s">
        <v>197</v>
      </c>
      <c r="W140" s="296" t="s">
        <v>197</v>
      </c>
      <c r="X140" s="296" t="s">
        <v>197</v>
      </c>
      <c r="Y140" s="296"/>
    </row>
    <row r="141" spans="2:25" ht="16.149999999999999" customHeight="1" thickBot="1" x14ac:dyDescent="0.45">
      <c r="B141" s="123" t="s">
        <v>198</v>
      </c>
      <c r="C141" s="190"/>
      <c r="D141" s="190"/>
      <c r="E141" s="406" t="s">
        <v>199</v>
      </c>
      <c r="F141" s="201"/>
      <c r="G141" s="187"/>
      <c r="H141" s="202"/>
      <c r="I141" s="340" t="s">
        <v>200</v>
      </c>
      <c r="J141" s="659"/>
      <c r="K141" s="340" t="s">
        <v>200</v>
      </c>
      <c r="L141" s="659"/>
      <c r="M141" s="340" t="s">
        <v>200</v>
      </c>
      <c r="N141" s="659"/>
      <c r="O141" s="340" t="s">
        <v>200</v>
      </c>
      <c r="P141" s="659"/>
      <c r="Q141" s="340" t="s">
        <v>200</v>
      </c>
      <c r="R141" s="659"/>
      <c r="S141" s="340" t="s">
        <v>200</v>
      </c>
      <c r="T141" s="659"/>
      <c r="U141" s="340" t="s">
        <v>200</v>
      </c>
      <c r="V141" s="659" t="s">
        <v>200</v>
      </c>
      <c r="W141" s="659" t="s">
        <v>200</v>
      </c>
      <c r="X141" s="659" t="s">
        <v>200</v>
      </c>
      <c r="Y141" s="659"/>
    </row>
    <row r="142" spans="2:25" ht="17.649999999999999" customHeight="1" x14ac:dyDescent="0.4">
      <c r="B142" s="122"/>
      <c r="C142" s="36"/>
      <c r="D142" s="36"/>
      <c r="E142" s="36"/>
      <c r="F142" s="2"/>
      <c r="G142" s="36"/>
      <c r="H142" s="36"/>
    </row>
    <row r="143" spans="2:25" s="5" customFormat="1" ht="16.149999999999999" customHeight="1" thickBot="1" x14ac:dyDescent="0.55000000000000004">
      <c r="C143" s="80"/>
      <c r="D143" s="80"/>
    </row>
    <row r="144" spans="2:25" ht="15.75" customHeight="1" thickBot="1" x14ac:dyDescent="0.45">
      <c r="B144" s="5"/>
      <c r="C144" s="80"/>
      <c r="D144" s="81"/>
      <c r="E144" s="1136" t="s">
        <v>201</v>
      </c>
      <c r="F144" s="1137"/>
      <c r="G144" s="1137"/>
      <c r="H144" s="1138"/>
      <c r="I144" s="1172"/>
      <c r="J144" s="1176"/>
      <c r="K144" s="1172"/>
      <c r="L144" s="1176"/>
      <c r="M144" s="1172"/>
      <c r="N144" s="1176"/>
      <c r="O144" s="1172"/>
      <c r="P144" s="1176"/>
      <c r="Q144" s="1172"/>
      <c r="R144" s="1176"/>
      <c r="S144" s="1172" t="s">
        <v>202</v>
      </c>
      <c r="T144" s="1176"/>
      <c r="U144" s="1172" t="s">
        <v>203</v>
      </c>
      <c r="V144" s="1172" t="s">
        <v>204</v>
      </c>
      <c r="W144" s="1172"/>
      <c r="X144" s="1172"/>
      <c r="Y144" s="1176"/>
    </row>
    <row r="145" spans="2:25" ht="15.75" customHeight="1" thickBot="1" x14ac:dyDescent="0.45">
      <c r="B145" s="5"/>
      <c r="C145" s="80"/>
      <c r="D145" s="81"/>
      <c r="E145" s="1136"/>
      <c r="F145" s="1137"/>
      <c r="G145" s="1137"/>
      <c r="H145" s="1138"/>
      <c r="I145" s="1173"/>
      <c r="J145" s="1177"/>
      <c r="K145" s="1173"/>
      <c r="L145" s="1177"/>
      <c r="M145" s="1173"/>
      <c r="N145" s="1177"/>
      <c r="O145" s="1173"/>
      <c r="P145" s="1177"/>
      <c r="Q145" s="1173"/>
      <c r="R145" s="1177"/>
      <c r="S145" s="1173"/>
      <c r="T145" s="1177"/>
      <c r="U145" s="1173"/>
      <c r="V145" s="1173"/>
      <c r="W145" s="1173"/>
      <c r="X145" s="1173"/>
      <c r="Y145" s="1177"/>
    </row>
    <row r="146" spans="2:25" ht="15.75" customHeight="1" thickBot="1" x14ac:dyDescent="0.45">
      <c r="B146" s="5"/>
      <c r="C146" s="80"/>
      <c r="D146" s="81"/>
      <c r="E146" s="1136" t="s">
        <v>123</v>
      </c>
      <c r="F146" s="1137"/>
      <c r="G146" s="1137"/>
      <c r="H146" s="1138"/>
      <c r="I146" s="422" t="s">
        <v>205</v>
      </c>
      <c r="J146" s="423"/>
      <c r="K146" s="422" t="s">
        <v>206</v>
      </c>
      <c r="L146" s="423"/>
      <c r="M146" s="422" t="s">
        <v>207</v>
      </c>
      <c r="N146" s="423"/>
      <c r="O146" s="422" t="s">
        <v>206</v>
      </c>
      <c r="P146" s="423"/>
      <c r="Q146" s="422" t="s">
        <v>206</v>
      </c>
      <c r="R146" s="423"/>
      <c r="S146" s="422" t="s">
        <v>206</v>
      </c>
      <c r="T146" s="423"/>
      <c r="U146" s="423" t="s">
        <v>208</v>
      </c>
      <c r="V146" s="423" t="s">
        <v>209</v>
      </c>
      <c r="W146" s="422" t="s">
        <v>206</v>
      </c>
      <c r="X146" s="422" t="s">
        <v>210</v>
      </c>
      <c r="Y146" s="423"/>
    </row>
  </sheetData>
  <mergeCells count="46">
    <mergeCell ref="X5:Y5"/>
    <mergeCell ref="X144:Y145"/>
    <mergeCell ref="W144:W145"/>
    <mergeCell ref="B1:H1"/>
    <mergeCell ref="D86:D98"/>
    <mergeCell ref="D8:D20"/>
    <mergeCell ref="D21:D33"/>
    <mergeCell ref="D34:D46"/>
    <mergeCell ref="D47:D59"/>
    <mergeCell ref="D60:D72"/>
    <mergeCell ref="B2:H2"/>
    <mergeCell ref="B3:C3"/>
    <mergeCell ref="D3:E3"/>
    <mergeCell ref="F3:H3"/>
    <mergeCell ref="B122:B140"/>
    <mergeCell ref="C127:C140"/>
    <mergeCell ref="C5:D6"/>
    <mergeCell ref="D127:D140"/>
    <mergeCell ref="B5:B6"/>
    <mergeCell ref="B8:B121"/>
    <mergeCell ref="C8:C121"/>
    <mergeCell ref="C122:C126"/>
    <mergeCell ref="D122:D126"/>
    <mergeCell ref="D112:D121"/>
    <mergeCell ref="D73:D85"/>
    <mergeCell ref="D99:D111"/>
    <mergeCell ref="K5:L5"/>
    <mergeCell ref="K144:L145"/>
    <mergeCell ref="E146:H146"/>
    <mergeCell ref="G5:G6"/>
    <mergeCell ref="H5:H6"/>
    <mergeCell ref="E144:H145"/>
    <mergeCell ref="I144:J145"/>
    <mergeCell ref="I5:J5"/>
    <mergeCell ref="E5:E6"/>
    <mergeCell ref="F5:F6"/>
    <mergeCell ref="V144:V145"/>
    <mergeCell ref="O5:P5"/>
    <mergeCell ref="O144:P145"/>
    <mergeCell ref="M5:N5"/>
    <mergeCell ref="M144:N145"/>
    <mergeCell ref="U144:U145"/>
    <mergeCell ref="S5:T5"/>
    <mergeCell ref="S144:T145"/>
    <mergeCell ref="Q5:R5"/>
    <mergeCell ref="Q144:R145"/>
  </mergeCells>
  <phoneticPr fontId="23" type="noConversion"/>
  <conditionalFormatting sqref="I9:Y9 I22:Y22 I35:Y35 I48:Y48 I61:Y61 I74:Y74 I87:Y87 I100:Y100">
    <cfRule type="cellIs" dxfId="24" priority="23" operator="greaterThanOrEqual">
      <formula>65</formula>
    </cfRule>
    <cfRule type="cellIs" dxfId="23" priority="24" operator="greaterThanOrEqual">
      <formula>60</formula>
    </cfRule>
  </conditionalFormatting>
  <conditionalFormatting sqref="I10:Y10 I23:Y23 I36:Y36 I49:Y49 I62:Y62 I75:Y75 I88:Y88 I101:Y101">
    <cfRule type="cellIs" dxfId="22" priority="19" operator="greaterThanOrEqual">
      <formula>4.2</formula>
    </cfRule>
    <cfRule type="cellIs" dxfId="21" priority="20" operator="greaterThanOrEqual">
      <formula>4</formula>
    </cfRule>
  </conditionalFormatting>
  <conditionalFormatting sqref="I11:Y11 I24:Y24 I37:Y37 I50:Y50 I63:Y63 I76:Y76 I89:Y89 I102:Y102">
    <cfRule type="cellIs" dxfId="20" priority="21" operator="greaterThanOrEqual">
      <formula>4.5</formula>
    </cfRule>
    <cfRule type="cellIs" dxfId="19" priority="22" operator="greaterThanOrEqual">
      <formula>4</formula>
    </cfRule>
  </conditionalFormatting>
  <conditionalFormatting sqref="I18:Y18 I31:Y31 I44:Y44 I57:Y57 I70:Y70 I83:Y83 I96:Y96 I109:Y109">
    <cfRule type="cellIs" dxfId="18" priority="15" operator="greaterThanOrEqual">
      <formula>90</formula>
    </cfRule>
    <cfRule type="cellIs" dxfId="17" priority="16" operator="greaterThanOrEqual">
      <formula>75</formula>
    </cfRule>
    <cfRule type="cellIs" dxfId="16" priority="17" operator="between">
      <formula>5</formula>
      <formula>10</formula>
    </cfRule>
    <cfRule type="cellIs" dxfId="15" priority="18" operator="between">
      <formula>10</formula>
      <formula>15</formula>
    </cfRule>
  </conditionalFormatting>
  <conditionalFormatting sqref="I140:Y140">
    <cfRule type="containsText" dxfId="14" priority="13" operator="containsText" text="SEMI">
      <formula>NOT(ISERROR(SEARCH("SEMI",I140)))</formula>
    </cfRule>
  </conditionalFormatting>
  <conditionalFormatting sqref="I8:XFD8 I21:AW21 I34:AW34 I47:AW47 I60:AW60 I73:AW73 I86:AW86 I99:AW99 I122:AR122">
    <cfRule type="containsText" dxfId="13" priority="25" operator="containsText" text="R">
      <formula>NOT(ISERROR(SEARCH("R",I8)))</formula>
    </cfRule>
    <cfRule type="containsText" dxfId="12" priority="26" operator="containsText" text="L">
      <formula>NOT(ISERROR(SEARCH("L",I8)))</formula>
    </cfRule>
  </conditionalFormatting>
  <conditionalFormatting sqref="I8:XFD8 I21:AW21 I34:AW34 I47:AW47 I60:AW60 I73:AW73 I86:AW86 I99:AW99">
    <cfRule type="containsText" dxfId="11" priority="27" operator="containsText" text="P">
      <formula>NOT(ISERROR(SEARCH("P",I8)))</formula>
    </cfRule>
  </conditionalFormatting>
  <dataValidations count="5">
    <dataValidation type="list" allowBlank="1" showInputMessage="1" showErrorMessage="1" sqref="I146:Y146" xr:uid="{A7975AA1-33E0-4F84-B52B-CB357664CBF5}">
      <formula1>"C.C, F.M, G.P, I.A, K.T, L.M, L.CH, M.P, M.M"</formula1>
    </dataValidation>
    <dataValidation type="list" allowBlank="1" showInputMessage="1" showErrorMessage="1" sqref="I141:Y141" xr:uid="{E5AE47CC-AFC4-4EB9-9615-9CC56F8C5C5F}">
      <formula1>"OK, NOK"</formula1>
    </dataValidation>
    <dataValidation type="list" allowBlank="1" showInputMessage="1" showErrorMessage="1" sqref="I119:Y119 I114:Y117" xr:uid="{A6123F0C-5EB1-4F2E-B768-8C2EA7651B6D}">
      <formula1>"ON, OFF"</formula1>
    </dataValidation>
    <dataValidation type="list" allowBlank="1" showInputMessage="1" showErrorMessage="1" sqref="I8:Y8 I86:Y86 I99:Y99 I21:Y21 I34:Y34 I47:Y47 I60:Y60 I73:Y73" xr:uid="{BA1F4523-B8B1-466D-A48E-56D75C151B24}">
      <formula1>"L, P, R"</formula1>
    </dataValidation>
    <dataValidation type="list" allowBlank="1" showInputMessage="1" showErrorMessage="1" sqref="I140:Y140" xr:uid="{30E99E76-E16C-4166-A22D-44172ABF944D}">
      <formula1>"AUTO, SEMI, SALIDA"</formula1>
    </dataValidation>
  </dataValidations>
  <pageMargins left="0.25" right="0.25" top="0.75" bottom="0.75" header="0.3" footer="0.3"/>
  <pageSetup paperSize="9" scale="79" fitToHeight="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D976-31F2-47DD-8706-5BD10031D784}">
  <sheetPr codeName="Hoja4">
    <tabColor theme="0" tint="-0.34998626667073579"/>
    <pageSetUpPr fitToPage="1"/>
  </sheetPr>
  <dimension ref="B1:S63"/>
  <sheetViews>
    <sheetView showGridLines="0" tabSelected="1" zoomScale="80" zoomScaleNormal="80" workbookViewId="0">
      <pane xSplit="9" ySplit="6" topLeftCell="K47" activePane="bottomRight" state="frozen"/>
      <selection pane="topRight"/>
      <selection pane="bottomLeft"/>
      <selection pane="bottomRight" activeCell="F45" sqref="F45:S45"/>
    </sheetView>
  </sheetViews>
  <sheetFormatPr baseColWidth="10" defaultColWidth="10.625" defaultRowHeight="16.149999999999999" customHeight="1" x14ac:dyDescent="0.4"/>
  <cols>
    <col min="1" max="1" width="1" style="237" customWidth="1"/>
    <col min="2" max="2" width="2.625" style="3" customWidth="1"/>
    <col min="3" max="3" width="5.125" style="3" customWidth="1"/>
    <col min="4" max="4" width="13.125" style="4" customWidth="1"/>
    <col min="5" max="5" width="8.875" style="4" customWidth="1"/>
    <col min="6" max="6" width="41.625" style="1" customWidth="1"/>
    <col min="7" max="7" width="6.5" style="1" customWidth="1"/>
    <col min="8" max="8" width="8.875" style="2" hidden="1" customWidth="1"/>
    <col min="9" max="9" width="11.5" style="2" bestFit="1" customWidth="1"/>
    <col min="10" max="10" width="10.625" style="237"/>
    <col min="11" max="11" width="10.625" style="237" customWidth="1"/>
    <col min="12" max="16384" width="10.625" style="237"/>
  </cols>
  <sheetData>
    <row r="1" spans="2:19" ht="52.5" customHeight="1" x14ac:dyDescent="0.4">
      <c r="B1" s="1039" t="s">
        <v>0</v>
      </c>
      <c r="C1" s="1039"/>
      <c r="D1" s="1039"/>
      <c r="E1" s="1039"/>
      <c r="F1" s="1039"/>
      <c r="G1" s="1039"/>
      <c r="H1" s="1039"/>
      <c r="I1" s="1039"/>
    </row>
    <row r="2" spans="2:19" ht="33.75" customHeight="1" x14ac:dyDescent="0.4">
      <c r="B2" s="1040" t="s">
        <v>1</v>
      </c>
      <c r="C2" s="1041"/>
      <c r="D2" s="1041"/>
      <c r="E2" s="1041"/>
      <c r="F2" s="1041" t="s">
        <v>211</v>
      </c>
      <c r="G2" s="1041"/>
      <c r="H2" s="1041" t="s">
        <v>212</v>
      </c>
      <c r="I2" s="1041"/>
    </row>
    <row r="3" spans="2:19" ht="39.75" customHeight="1" x14ac:dyDescent="0.4">
      <c r="B3" s="1164" t="s">
        <v>124</v>
      </c>
      <c r="C3" s="1164"/>
      <c r="D3" s="1164"/>
      <c r="E3" s="1248" t="s">
        <v>213</v>
      </c>
      <c r="F3" s="1248"/>
      <c r="G3" s="1248"/>
      <c r="H3" s="1246" t="s">
        <v>4</v>
      </c>
      <c r="I3" s="1247"/>
    </row>
    <row r="4" spans="2:19" ht="3" customHeight="1" thickBot="1" x14ac:dyDescent="0.45">
      <c r="B4" s="1239"/>
      <c r="C4" s="1239"/>
      <c r="D4" s="1239"/>
      <c r="E4" s="1239"/>
      <c r="F4" s="1239"/>
      <c r="G4" s="1239"/>
      <c r="H4" s="1239"/>
      <c r="I4" s="1239"/>
    </row>
    <row r="5" spans="2:19" ht="15.75" customHeight="1" x14ac:dyDescent="0.4">
      <c r="B5" s="1240" t="s">
        <v>126</v>
      </c>
      <c r="C5" s="1241"/>
      <c r="D5" s="1241" t="s">
        <v>5</v>
      </c>
      <c r="E5" s="1244"/>
      <c r="F5" s="1240" t="s">
        <v>6</v>
      </c>
      <c r="G5" s="1241" t="s">
        <v>7</v>
      </c>
      <c r="H5" s="1241" t="s">
        <v>8</v>
      </c>
      <c r="I5" s="1254" t="s">
        <v>9</v>
      </c>
      <c r="J5" s="1249">
        <v>46147</v>
      </c>
      <c r="K5" s="1249"/>
      <c r="L5" s="1249">
        <v>46154</v>
      </c>
      <c r="M5" s="1249"/>
      <c r="N5" s="996">
        <v>46156</v>
      </c>
      <c r="O5" s="996">
        <v>46159</v>
      </c>
      <c r="P5" s="1249">
        <v>46160</v>
      </c>
      <c r="Q5" s="1249"/>
      <c r="R5" s="1249">
        <v>46161</v>
      </c>
      <c r="S5" s="1249"/>
    </row>
    <row r="6" spans="2:19" ht="15.4" thickBot="1" x14ac:dyDescent="0.45">
      <c r="B6" s="1242"/>
      <c r="C6" s="1243"/>
      <c r="D6" s="1243"/>
      <c r="E6" s="1245"/>
      <c r="F6" s="1242"/>
      <c r="G6" s="1243"/>
      <c r="H6" s="1243"/>
      <c r="I6" s="1255"/>
      <c r="J6" s="82"/>
      <c r="K6" s="82"/>
      <c r="L6" s="82"/>
      <c r="M6" s="82"/>
      <c r="N6" s="45">
        <v>0</v>
      </c>
      <c r="O6" s="45">
        <v>4.1666666666666664E-2</v>
      </c>
      <c r="P6" s="45">
        <v>4.1666666666666664E-2</v>
      </c>
      <c r="Q6" s="82"/>
      <c r="R6" s="45">
        <v>0.125</v>
      </c>
      <c r="S6" s="82"/>
    </row>
    <row r="7" spans="2:19" ht="21.75" customHeight="1" x14ac:dyDescent="0.4">
      <c r="B7" s="1252" t="s">
        <v>214</v>
      </c>
      <c r="C7" s="1253"/>
      <c r="D7" s="1223" t="s">
        <v>215</v>
      </c>
      <c r="E7" s="1230" t="s">
        <v>216</v>
      </c>
      <c r="F7" s="194" t="s">
        <v>38</v>
      </c>
      <c r="G7" s="151" t="s">
        <v>39</v>
      </c>
      <c r="H7" s="151" t="s">
        <v>188</v>
      </c>
      <c r="I7" s="152"/>
      <c r="J7" s="309">
        <v>48.4</v>
      </c>
      <c r="K7" s="309"/>
      <c r="L7" s="309">
        <v>43.8</v>
      </c>
      <c r="M7" s="309"/>
      <c r="N7" s="479">
        <v>49.1</v>
      </c>
      <c r="O7" s="479">
        <v>44.8</v>
      </c>
      <c r="P7" s="479">
        <v>45.8</v>
      </c>
      <c r="Q7" s="309"/>
      <c r="R7" s="479"/>
      <c r="S7" s="309"/>
    </row>
    <row r="8" spans="2:19" ht="23.25" x14ac:dyDescent="0.4">
      <c r="B8" s="1252"/>
      <c r="C8" s="1253"/>
      <c r="D8" s="1224"/>
      <c r="E8" s="1231"/>
      <c r="F8" s="146" t="s">
        <v>40</v>
      </c>
      <c r="G8" s="137" t="s">
        <v>39</v>
      </c>
      <c r="H8" s="137" t="s">
        <v>188</v>
      </c>
      <c r="I8" s="138"/>
      <c r="J8" s="310">
        <v>49.6</v>
      </c>
      <c r="K8" s="310"/>
      <c r="L8" s="310">
        <v>45</v>
      </c>
      <c r="M8" s="310"/>
      <c r="N8" s="480">
        <v>50.3</v>
      </c>
      <c r="O8" s="480">
        <v>48.2</v>
      </c>
      <c r="P8" s="480">
        <v>47.2</v>
      </c>
      <c r="Q8" s="310"/>
      <c r="R8" s="480"/>
      <c r="S8" s="310"/>
    </row>
    <row r="9" spans="2:19" ht="23.25" x14ac:dyDescent="0.4">
      <c r="B9" s="1252"/>
      <c r="C9" s="1253"/>
      <c r="D9" s="1224"/>
      <c r="E9" s="1231"/>
      <c r="F9" s="135" t="s">
        <v>41</v>
      </c>
      <c r="G9" s="136" t="s">
        <v>39</v>
      </c>
      <c r="H9" s="151" t="s">
        <v>188</v>
      </c>
      <c r="I9" s="153"/>
      <c r="J9" s="310">
        <v>47.4</v>
      </c>
      <c r="K9" s="310"/>
      <c r="L9" s="310">
        <v>43</v>
      </c>
      <c r="M9" s="310"/>
      <c r="N9" s="480">
        <v>48.1</v>
      </c>
      <c r="O9" s="480">
        <v>43.9</v>
      </c>
      <c r="P9" s="480">
        <v>44.9</v>
      </c>
      <c r="Q9" s="310"/>
      <c r="R9" s="480"/>
      <c r="S9" s="310"/>
    </row>
    <row r="10" spans="2:19" ht="15" x14ac:dyDescent="0.4">
      <c r="B10" s="1252"/>
      <c r="C10" s="1253"/>
      <c r="D10" s="1224"/>
      <c r="E10" s="1231"/>
      <c r="F10" s="146" t="s">
        <v>43</v>
      </c>
      <c r="G10" s="137" t="s">
        <v>189</v>
      </c>
      <c r="H10" s="150"/>
      <c r="I10" s="138" t="s">
        <v>217</v>
      </c>
      <c r="J10" s="310">
        <v>27.88</v>
      </c>
      <c r="K10" s="310"/>
      <c r="L10" s="310">
        <v>20.399999999999999</v>
      </c>
      <c r="M10" s="310"/>
      <c r="N10" s="480">
        <v>18.16</v>
      </c>
      <c r="O10" s="480">
        <v>28.4</v>
      </c>
      <c r="P10" s="480">
        <v>29.4</v>
      </c>
      <c r="Q10" s="310"/>
      <c r="R10" s="480"/>
      <c r="S10" s="310"/>
    </row>
    <row r="11" spans="2:19" ht="15" x14ac:dyDescent="0.4">
      <c r="B11" s="1252"/>
      <c r="C11" s="1253"/>
      <c r="D11" s="1224"/>
      <c r="E11" s="1231"/>
      <c r="F11" s="135" t="s">
        <v>45</v>
      </c>
      <c r="G11" s="136" t="s">
        <v>46</v>
      </c>
      <c r="H11" s="151"/>
      <c r="I11" s="153" t="s">
        <v>217</v>
      </c>
      <c r="J11" s="310">
        <v>0.44</v>
      </c>
      <c r="K11" s="310"/>
      <c r="L11" s="310">
        <v>3.6</v>
      </c>
      <c r="M11" s="310"/>
      <c r="N11" s="480">
        <v>-5.32</v>
      </c>
      <c r="O11" s="480">
        <v>2.1</v>
      </c>
      <c r="P11" s="480">
        <v>2.04</v>
      </c>
      <c r="Q11" s="310"/>
      <c r="R11" s="480"/>
      <c r="S11" s="310"/>
    </row>
    <row r="12" spans="2:19" ht="15" x14ac:dyDescent="0.4">
      <c r="B12" s="1252"/>
      <c r="C12" s="1253"/>
      <c r="D12" s="1224"/>
      <c r="E12" s="1231"/>
      <c r="F12" s="146" t="s">
        <v>191</v>
      </c>
      <c r="G12" s="137" t="s">
        <v>27</v>
      </c>
      <c r="H12" s="137"/>
      <c r="I12" s="138"/>
      <c r="J12" s="310">
        <v>218.6</v>
      </c>
      <c r="K12" s="310"/>
      <c r="L12" s="310">
        <v>220.7</v>
      </c>
      <c r="M12" s="310"/>
      <c r="N12" s="670">
        <v>200.4</v>
      </c>
      <c r="O12" s="670">
        <v>378.5</v>
      </c>
      <c r="P12" s="670">
        <v>379.49233193834101</v>
      </c>
      <c r="Q12" s="310"/>
      <c r="R12" s="670"/>
      <c r="S12" s="310"/>
    </row>
    <row r="13" spans="2:19" ht="15" x14ac:dyDescent="0.4">
      <c r="B13" s="1252"/>
      <c r="C13" s="1253"/>
      <c r="D13" s="1224"/>
      <c r="E13" s="1231"/>
      <c r="F13" s="135" t="s">
        <v>192</v>
      </c>
      <c r="G13" s="136" t="s">
        <v>27</v>
      </c>
      <c r="H13" s="136"/>
      <c r="I13" s="153"/>
      <c r="J13" s="310">
        <v>218.8</v>
      </c>
      <c r="K13" s="310"/>
      <c r="L13" s="310">
        <v>221</v>
      </c>
      <c r="M13" s="310"/>
      <c r="N13" s="670">
        <v>219.6</v>
      </c>
      <c r="O13" s="670">
        <v>380.2</v>
      </c>
      <c r="P13" s="670">
        <v>380.5315624228823</v>
      </c>
      <c r="Q13" s="310"/>
      <c r="R13" s="670"/>
      <c r="S13" s="310"/>
    </row>
    <row r="14" spans="2:19" ht="15" x14ac:dyDescent="0.4">
      <c r="B14" s="1252"/>
      <c r="C14" s="1253"/>
      <c r="D14" s="1224"/>
      <c r="E14" s="1231"/>
      <c r="F14" s="146" t="s">
        <v>193</v>
      </c>
      <c r="G14" s="137" t="s">
        <v>27</v>
      </c>
      <c r="H14" s="137"/>
      <c r="I14" s="138"/>
      <c r="J14" s="310">
        <v>218</v>
      </c>
      <c r="K14" s="310"/>
      <c r="L14" s="310">
        <v>220.7</v>
      </c>
      <c r="M14" s="310"/>
      <c r="N14" s="670">
        <v>222.5</v>
      </c>
      <c r="O14" s="670">
        <v>380.1</v>
      </c>
      <c r="P14" s="670">
        <v>379.31912685758408</v>
      </c>
      <c r="Q14" s="310"/>
      <c r="R14" s="670"/>
      <c r="S14" s="310"/>
    </row>
    <row r="15" spans="2:19" ht="15" x14ac:dyDescent="0.4">
      <c r="B15" s="1252"/>
      <c r="C15" s="1253"/>
      <c r="D15" s="1224"/>
      <c r="E15" s="1231"/>
      <c r="F15" s="135" t="s">
        <v>47</v>
      </c>
      <c r="G15" s="136" t="s">
        <v>48</v>
      </c>
      <c r="H15" s="136"/>
      <c r="I15" s="153"/>
      <c r="J15" s="310">
        <v>43</v>
      </c>
      <c r="K15" s="310"/>
      <c r="L15" s="310">
        <v>31.6</v>
      </c>
      <c r="M15" s="310"/>
      <c r="N15" s="480">
        <v>23.2</v>
      </c>
      <c r="O15" s="480">
        <v>44.5</v>
      </c>
      <c r="P15" s="480">
        <v>45.6</v>
      </c>
      <c r="Q15" s="310"/>
      <c r="R15" s="480"/>
      <c r="S15" s="310"/>
    </row>
    <row r="16" spans="2:19" ht="15" x14ac:dyDescent="0.4">
      <c r="B16" s="1252"/>
      <c r="C16" s="1253"/>
      <c r="D16" s="1224"/>
      <c r="E16" s="1231"/>
      <c r="F16" s="146" t="s">
        <v>49</v>
      </c>
      <c r="G16" s="137" t="s">
        <v>48</v>
      </c>
      <c r="H16" s="137"/>
      <c r="I16" s="138"/>
      <c r="J16" s="310">
        <v>50.4</v>
      </c>
      <c r="K16" s="310"/>
      <c r="L16" s="310">
        <v>39.200000000000003</v>
      </c>
      <c r="M16" s="310"/>
      <c r="N16" s="480">
        <v>41.2</v>
      </c>
      <c r="O16" s="480">
        <v>51.3</v>
      </c>
      <c r="P16" s="480">
        <v>53.2</v>
      </c>
      <c r="Q16" s="310"/>
      <c r="R16" s="480"/>
      <c r="S16" s="310"/>
    </row>
    <row r="17" spans="2:19" ht="15.4" thickBot="1" x14ac:dyDescent="0.45">
      <c r="B17" s="1252"/>
      <c r="C17" s="1253"/>
      <c r="D17" s="1224"/>
      <c r="E17" s="1231"/>
      <c r="F17" s="147" t="s">
        <v>50</v>
      </c>
      <c r="G17" s="148" t="s">
        <v>48</v>
      </c>
      <c r="H17" s="148"/>
      <c r="I17" s="149"/>
      <c r="J17" s="310">
        <v>34.799999999999997</v>
      </c>
      <c r="K17" s="310"/>
      <c r="L17" s="310">
        <v>24</v>
      </c>
      <c r="M17" s="310"/>
      <c r="N17" s="480">
        <v>20.399999999999999</v>
      </c>
      <c r="O17" s="480">
        <v>33.9</v>
      </c>
      <c r="P17" s="480">
        <v>36</v>
      </c>
      <c r="Q17" s="310"/>
      <c r="R17" s="480"/>
      <c r="S17" s="310"/>
    </row>
    <row r="18" spans="2:19" ht="23.25" x14ac:dyDescent="0.4">
      <c r="B18" s="1252"/>
      <c r="C18" s="1253"/>
      <c r="D18" s="1224"/>
      <c r="E18" s="1232" t="s">
        <v>218</v>
      </c>
      <c r="F18" s="145" t="s">
        <v>38</v>
      </c>
      <c r="G18" s="133" t="s">
        <v>39</v>
      </c>
      <c r="H18" s="133" t="s">
        <v>188</v>
      </c>
      <c r="I18" s="134"/>
      <c r="J18" s="309">
        <v>49.2</v>
      </c>
      <c r="K18" s="309"/>
      <c r="L18" s="309">
        <v>45</v>
      </c>
      <c r="M18" s="309"/>
      <c r="N18" s="479">
        <v>48.4</v>
      </c>
      <c r="O18" s="479">
        <v>43.9</v>
      </c>
      <c r="P18" s="479">
        <v>46.7</v>
      </c>
      <c r="Q18" s="309"/>
      <c r="R18" s="479"/>
      <c r="S18" s="309"/>
    </row>
    <row r="19" spans="2:19" ht="23.25" x14ac:dyDescent="0.4">
      <c r="B19" s="1252"/>
      <c r="C19" s="1253"/>
      <c r="D19" s="1224"/>
      <c r="E19" s="1233"/>
      <c r="F19" s="146" t="s">
        <v>40</v>
      </c>
      <c r="G19" s="137" t="s">
        <v>219</v>
      </c>
      <c r="H19" s="137" t="s">
        <v>188</v>
      </c>
      <c r="I19" s="138"/>
      <c r="J19" s="310">
        <v>50.1</v>
      </c>
      <c r="K19" s="310"/>
      <c r="L19" s="310">
        <v>46.3</v>
      </c>
      <c r="M19" s="310"/>
      <c r="N19" s="480">
        <v>50.4</v>
      </c>
      <c r="O19" s="480">
        <v>47.9</v>
      </c>
      <c r="P19" s="480">
        <v>48</v>
      </c>
      <c r="Q19" s="310"/>
      <c r="R19" s="480"/>
      <c r="S19" s="310"/>
    </row>
    <row r="20" spans="2:19" ht="23.25" x14ac:dyDescent="0.4">
      <c r="B20" s="1252"/>
      <c r="C20" s="1253"/>
      <c r="D20" s="1224"/>
      <c r="E20" s="1233"/>
      <c r="F20" s="135" t="s">
        <v>41</v>
      </c>
      <c r="G20" s="136" t="s">
        <v>39</v>
      </c>
      <c r="H20" s="151" t="s">
        <v>188</v>
      </c>
      <c r="I20" s="153"/>
      <c r="J20" s="310">
        <v>46.1</v>
      </c>
      <c r="K20" s="310"/>
      <c r="L20" s="310">
        <v>42</v>
      </c>
      <c r="M20" s="310"/>
      <c r="N20" s="480">
        <v>46.9</v>
      </c>
      <c r="O20" s="480">
        <v>43.1</v>
      </c>
      <c r="P20" s="480">
        <v>43.8</v>
      </c>
      <c r="Q20" s="310"/>
      <c r="R20" s="480"/>
      <c r="S20" s="310"/>
    </row>
    <row r="21" spans="2:19" ht="15" x14ac:dyDescent="0.4">
      <c r="B21" s="1252"/>
      <c r="C21" s="1253"/>
      <c r="D21" s="1224"/>
      <c r="E21" s="1233"/>
      <c r="F21" s="146" t="s">
        <v>43</v>
      </c>
      <c r="G21" s="137" t="s">
        <v>189</v>
      </c>
      <c r="H21" s="150"/>
      <c r="I21" s="138" t="s">
        <v>217</v>
      </c>
      <c r="J21" s="310">
        <v>20.48</v>
      </c>
      <c r="K21" s="310"/>
      <c r="L21" s="310">
        <v>14.9</v>
      </c>
      <c r="M21" s="310"/>
      <c r="N21" s="480">
        <v>17.48</v>
      </c>
      <c r="O21" s="480">
        <v>16.2</v>
      </c>
      <c r="P21" s="480">
        <v>14.2</v>
      </c>
      <c r="Q21" s="310"/>
      <c r="R21" s="480"/>
      <c r="S21" s="310"/>
    </row>
    <row r="22" spans="2:19" ht="15" x14ac:dyDescent="0.4">
      <c r="B22" s="1252"/>
      <c r="C22" s="1253"/>
      <c r="D22" s="1224"/>
      <c r="E22" s="1233"/>
      <c r="F22" s="135" t="s">
        <v>45</v>
      </c>
      <c r="G22" s="136" t="s">
        <v>46</v>
      </c>
      <c r="H22" s="151"/>
      <c r="I22" s="153" t="s">
        <v>217</v>
      </c>
      <c r="J22" s="310">
        <v>0.96</v>
      </c>
      <c r="K22" s="310"/>
      <c r="L22" s="310">
        <v>1.3</v>
      </c>
      <c r="M22" s="310"/>
      <c r="N22" s="480">
        <v>1.84</v>
      </c>
      <c r="O22" s="480">
        <v>1</v>
      </c>
      <c r="P22" s="480">
        <v>0.12</v>
      </c>
      <c r="Q22" s="310"/>
      <c r="R22" s="480"/>
      <c r="S22" s="310"/>
    </row>
    <row r="23" spans="2:19" ht="15" x14ac:dyDescent="0.4">
      <c r="B23" s="1252"/>
      <c r="C23" s="1253"/>
      <c r="D23" s="1224"/>
      <c r="E23" s="1233"/>
      <c r="F23" s="146" t="s">
        <v>191</v>
      </c>
      <c r="G23" s="137" t="s">
        <v>27</v>
      </c>
      <c r="H23" s="137"/>
      <c r="I23" s="138"/>
      <c r="J23" s="310">
        <v>219.9</v>
      </c>
      <c r="K23" s="310"/>
      <c r="L23" s="310">
        <v>221</v>
      </c>
      <c r="M23" s="310"/>
      <c r="N23" s="670"/>
      <c r="O23" s="670">
        <v>380.2</v>
      </c>
      <c r="P23" s="670">
        <v>379.83874209985481</v>
      </c>
      <c r="Q23" s="310"/>
      <c r="R23" s="670"/>
      <c r="S23" s="310"/>
    </row>
    <row r="24" spans="2:19" ht="15" x14ac:dyDescent="0.4">
      <c r="B24" s="1252"/>
      <c r="C24" s="1253"/>
      <c r="D24" s="1224"/>
      <c r="E24" s="1233"/>
      <c r="F24" s="135" t="s">
        <v>192</v>
      </c>
      <c r="G24" s="136" t="s">
        <v>27</v>
      </c>
      <c r="H24" s="136"/>
      <c r="I24" s="153"/>
      <c r="J24" s="310">
        <v>219.2</v>
      </c>
      <c r="K24" s="310"/>
      <c r="L24" s="310">
        <v>221</v>
      </c>
      <c r="M24" s="310"/>
      <c r="N24" s="670"/>
      <c r="O24" s="670">
        <v>381.2</v>
      </c>
      <c r="P24" s="670">
        <v>380.01194718061168</v>
      </c>
      <c r="Q24" s="310"/>
      <c r="R24" s="670"/>
      <c r="S24" s="310"/>
    </row>
    <row r="25" spans="2:19" ht="15" x14ac:dyDescent="0.4">
      <c r="B25" s="1252"/>
      <c r="C25" s="1253"/>
      <c r="D25" s="1224"/>
      <c r="E25" s="1233"/>
      <c r="F25" s="146" t="s">
        <v>193</v>
      </c>
      <c r="G25" s="137" t="s">
        <v>27</v>
      </c>
      <c r="H25" s="137"/>
      <c r="I25" s="138"/>
      <c r="J25" s="310">
        <v>219.3</v>
      </c>
      <c r="K25" s="310"/>
      <c r="L25" s="310">
        <v>220.8</v>
      </c>
      <c r="M25" s="310"/>
      <c r="N25" s="670"/>
      <c r="O25" s="670">
        <v>380.8</v>
      </c>
      <c r="P25" s="670">
        <v>379.66553701909788</v>
      </c>
      <c r="Q25" s="310"/>
      <c r="R25" s="670"/>
      <c r="S25" s="310"/>
    </row>
    <row r="26" spans="2:19" ht="15" x14ac:dyDescent="0.4">
      <c r="B26" s="1252"/>
      <c r="C26" s="1253"/>
      <c r="D26" s="1224"/>
      <c r="E26" s="1233"/>
      <c r="F26" s="135" t="s">
        <v>47</v>
      </c>
      <c r="G26" s="136" t="s">
        <v>48</v>
      </c>
      <c r="H26" s="136"/>
      <c r="I26" s="153"/>
      <c r="J26" s="310">
        <v>46</v>
      </c>
      <c r="K26" s="310"/>
      <c r="L26" s="310">
        <v>35.200000000000003</v>
      </c>
      <c r="M26" s="310"/>
      <c r="N26" s="480">
        <v>34.799999999999997</v>
      </c>
      <c r="O26" s="480">
        <v>33.6</v>
      </c>
      <c r="P26" s="480">
        <v>34.4</v>
      </c>
      <c r="Q26" s="310"/>
      <c r="R26" s="480"/>
      <c r="S26" s="310"/>
    </row>
    <row r="27" spans="2:19" ht="15" x14ac:dyDescent="0.4">
      <c r="B27" s="1252"/>
      <c r="C27" s="1253"/>
      <c r="D27" s="1224"/>
      <c r="E27" s="1233"/>
      <c r="F27" s="146" t="s">
        <v>49</v>
      </c>
      <c r="G27" s="137" t="s">
        <v>48</v>
      </c>
      <c r="H27" s="137"/>
      <c r="I27" s="138"/>
      <c r="J27" s="310">
        <v>30.8</v>
      </c>
      <c r="K27" s="310"/>
      <c r="L27" s="310">
        <v>20.399999999999999</v>
      </c>
      <c r="M27" s="310"/>
      <c r="N27" s="480">
        <v>32.4</v>
      </c>
      <c r="O27" s="480">
        <v>20.6</v>
      </c>
      <c r="P27" s="480">
        <v>19.600000000000001</v>
      </c>
      <c r="Q27" s="310"/>
      <c r="R27" s="480"/>
      <c r="S27" s="310"/>
    </row>
    <row r="28" spans="2:19" ht="15.4" thickBot="1" x14ac:dyDescent="0.45">
      <c r="B28" s="1252"/>
      <c r="C28" s="1253"/>
      <c r="D28" s="1224"/>
      <c r="E28" s="1233"/>
      <c r="F28" s="155" t="s">
        <v>50</v>
      </c>
      <c r="G28" s="154" t="s">
        <v>48</v>
      </c>
      <c r="H28" s="154"/>
      <c r="I28" s="156"/>
      <c r="J28" s="310">
        <v>26.6</v>
      </c>
      <c r="K28" s="310"/>
      <c r="L28" s="310">
        <v>20.399999999999999</v>
      </c>
      <c r="M28" s="310"/>
      <c r="N28" s="480">
        <v>28.8</v>
      </c>
      <c r="O28" s="480">
        <v>19.899999999999999</v>
      </c>
      <c r="P28" s="480">
        <v>20</v>
      </c>
      <c r="Q28" s="310"/>
      <c r="R28" s="480"/>
      <c r="S28" s="310"/>
    </row>
    <row r="29" spans="2:19" ht="23.25" x14ac:dyDescent="0.4">
      <c r="B29" s="1252"/>
      <c r="C29" s="1253"/>
      <c r="D29" s="1224"/>
      <c r="E29" s="1196" t="s">
        <v>163</v>
      </c>
      <c r="F29" s="131" t="s">
        <v>53</v>
      </c>
      <c r="G29" s="132" t="s">
        <v>21</v>
      </c>
      <c r="H29" s="132"/>
      <c r="I29" s="157" t="s">
        <v>196</v>
      </c>
      <c r="J29" s="311" t="s">
        <v>197</v>
      </c>
      <c r="K29" s="311"/>
      <c r="L29" s="311" t="s">
        <v>197</v>
      </c>
      <c r="M29" s="311"/>
      <c r="N29" s="481" t="s">
        <v>197</v>
      </c>
      <c r="O29" s="481" t="s">
        <v>197</v>
      </c>
      <c r="P29" s="481" t="s">
        <v>197</v>
      </c>
      <c r="Q29" s="311"/>
      <c r="R29" s="481" t="s">
        <v>197</v>
      </c>
      <c r="S29" s="311"/>
    </row>
    <row r="30" spans="2:19" ht="23.25" x14ac:dyDescent="0.4">
      <c r="B30" s="1252"/>
      <c r="C30" s="1253"/>
      <c r="D30" s="1224"/>
      <c r="E30" s="1197"/>
      <c r="F30" s="135" t="s">
        <v>220</v>
      </c>
      <c r="G30" s="144" t="s">
        <v>21</v>
      </c>
      <c r="H30" s="136"/>
      <c r="I30" s="153" t="s">
        <v>51</v>
      </c>
      <c r="J30" s="477"/>
      <c r="K30" s="477"/>
      <c r="L30" s="477" t="s">
        <v>48</v>
      </c>
      <c r="M30" s="477"/>
      <c r="N30" s="482" t="s">
        <v>48</v>
      </c>
      <c r="O30" s="482" t="s">
        <v>48</v>
      </c>
      <c r="P30" s="482" t="s">
        <v>48</v>
      </c>
      <c r="Q30" s="477"/>
      <c r="R30" s="482" t="s">
        <v>48</v>
      </c>
      <c r="S30" s="477"/>
    </row>
    <row r="31" spans="2:19" ht="23.65" thickBot="1" x14ac:dyDescent="0.45">
      <c r="B31" s="1252"/>
      <c r="C31" s="1253"/>
      <c r="D31" s="1225"/>
      <c r="E31" s="1198"/>
      <c r="F31" s="158" t="s">
        <v>195</v>
      </c>
      <c r="G31" s="159"/>
      <c r="H31" s="159"/>
      <c r="I31" s="160" t="s">
        <v>51</v>
      </c>
      <c r="J31" s="478"/>
      <c r="K31" s="478"/>
      <c r="L31" s="478" t="s">
        <v>48</v>
      </c>
      <c r="M31" s="478"/>
      <c r="N31" s="483" t="s">
        <v>48</v>
      </c>
      <c r="O31" s="483" t="s">
        <v>48</v>
      </c>
      <c r="P31" s="483" t="s">
        <v>48</v>
      </c>
      <c r="Q31" s="478"/>
      <c r="R31" s="483" t="s">
        <v>48</v>
      </c>
      <c r="S31" s="478"/>
    </row>
    <row r="32" spans="2:19" ht="15" x14ac:dyDescent="0.4">
      <c r="B32" s="1256" t="s">
        <v>221</v>
      </c>
      <c r="C32" s="1257"/>
      <c r="D32" s="1215" t="s">
        <v>222</v>
      </c>
      <c r="E32" s="1216"/>
      <c r="F32" s="161" t="s">
        <v>223</v>
      </c>
      <c r="G32" s="151" t="s">
        <v>21</v>
      </c>
      <c r="H32" s="151"/>
      <c r="I32" s="152" t="s">
        <v>224</v>
      </c>
      <c r="J32" s="263"/>
      <c r="K32" s="263"/>
      <c r="L32" s="263" t="s">
        <v>200</v>
      </c>
      <c r="M32" s="263"/>
      <c r="N32" s="480" t="s">
        <v>225</v>
      </c>
      <c r="O32" s="480" t="s">
        <v>225</v>
      </c>
      <c r="P32" s="480" t="s">
        <v>225</v>
      </c>
      <c r="Q32" s="263"/>
      <c r="R32" s="480" t="s">
        <v>225</v>
      </c>
      <c r="S32" s="263"/>
    </row>
    <row r="33" spans="2:19" ht="15" x14ac:dyDescent="0.4">
      <c r="B33" s="1258"/>
      <c r="C33" s="1259"/>
      <c r="D33" s="1217"/>
      <c r="E33" s="1218"/>
      <c r="F33" s="162" t="s">
        <v>226</v>
      </c>
      <c r="G33" s="137" t="s">
        <v>21</v>
      </c>
      <c r="H33" s="137"/>
      <c r="I33" s="138" t="s">
        <v>224</v>
      </c>
      <c r="J33" s="263"/>
      <c r="K33" s="263"/>
      <c r="L33" s="263" t="s">
        <v>200</v>
      </c>
      <c r="M33" s="263"/>
      <c r="N33" s="480" t="s">
        <v>200</v>
      </c>
      <c r="O33" s="480" t="s">
        <v>200</v>
      </c>
      <c r="P33" s="480" t="s">
        <v>200</v>
      </c>
      <c r="Q33" s="263"/>
      <c r="R33" s="480" t="s">
        <v>200</v>
      </c>
      <c r="S33" s="263"/>
    </row>
    <row r="34" spans="2:19" ht="15" x14ac:dyDescent="0.4">
      <c r="B34" s="1258"/>
      <c r="C34" s="1259"/>
      <c r="D34" s="1217"/>
      <c r="E34" s="1218"/>
      <c r="F34" s="163" t="s">
        <v>227</v>
      </c>
      <c r="G34" s="136" t="s">
        <v>21</v>
      </c>
      <c r="H34" s="136"/>
      <c r="I34" s="153" t="s">
        <v>224</v>
      </c>
      <c r="J34" s="263"/>
      <c r="K34" s="263"/>
      <c r="L34" s="263" t="s">
        <v>200</v>
      </c>
      <c r="M34" s="263"/>
      <c r="N34" s="480" t="s">
        <v>200</v>
      </c>
      <c r="O34" s="480" t="s">
        <v>200</v>
      </c>
      <c r="P34" s="480" t="s">
        <v>200</v>
      </c>
      <c r="Q34" s="263"/>
      <c r="R34" s="480" t="s">
        <v>200</v>
      </c>
      <c r="S34" s="263"/>
    </row>
    <row r="35" spans="2:19" ht="23.65" thickBot="1" x14ac:dyDescent="0.45">
      <c r="B35" s="1258"/>
      <c r="C35" s="1259"/>
      <c r="D35" s="1219"/>
      <c r="E35" s="1220"/>
      <c r="F35" s="757" t="s">
        <v>228</v>
      </c>
      <c r="G35" s="140" t="s">
        <v>21</v>
      </c>
      <c r="H35" s="140"/>
      <c r="I35" s="141" t="s">
        <v>224</v>
      </c>
      <c r="J35" s="265"/>
      <c r="K35" s="265"/>
      <c r="L35" s="265" t="s">
        <v>200</v>
      </c>
      <c r="M35" s="265"/>
      <c r="N35" s="484" t="s">
        <v>200</v>
      </c>
      <c r="O35" s="484" t="s">
        <v>200</v>
      </c>
      <c r="P35" s="484" t="s">
        <v>200</v>
      </c>
      <c r="Q35" s="265"/>
      <c r="R35" s="484" t="s">
        <v>200</v>
      </c>
      <c r="S35" s="265"/>
    </row>
    <row r="36" spans="2:19" ht="15" x14ac:dyDescent="0.4">
      <c r="B36" s="1258"/>
      <c r="C36" s="1259"/>
      <c r="D36" s="1237" t="s">
        <v>229</v>
      </c>
      <c r="E36" s="1238"/>
      <c r="F36" s="758" t="s">
        <v>230</v>
      </c>
      <c r="G36" s="759" t="s">
        <v>21</v>
      </c>
      <c r="H36" s="759"/>
      <c r="I36" s="760" t="s">
        <v>231</v>
      </c>
      <c r="J36" s="725" t="s">
        <v>200</v>
      </c>
      <c r="K36" s="725"/>
      <c r="L36" s="725" t="s">
        <v>200</v>
      </c>
      <c r="M36" s="725"/>
      <c r="N36" s="479" t="s">
        <v>200</v>
      </c>
      <c r="O36" s="479" t="s">
        <v>200</v>
      </c>
      <c r="P36" s="479" t="s">
        <v>200</v>
      </c>
      <c r="Q36" s="725"/>
      <c r="R36" s="479" t="s">
        <v>200</v>
      </c>
      <c r="S36" s="725"/>
    </row>
    <row r="37" spans="2:19" ht="15" x14ac:dyDescent="0.4">
      <c r="B37" s="1258"/>
      <c r="C37" s="1259"/>
      <c r="D37" s="1230"/>
      <c r="E37" s="1234"/>
      <c r="F37" s="761" t="s">
        <v>232</v>
      </c>
      <c r="G37" s="150" t="s">
        <v>27</v>
      </c>
      <c r="H37" s="150"/>
      <c r="I37" s="175" t="s">
        <v>73</v>
      </c>
      <c r="J37" s="263">
        <v>216.3</v>
      </c>
      <c r="K37" s="263"/>
      <c r="L37" s="263">
        <v>218.8</v>
      </c>
      <c r="M37" s="263"/>
      <c r="N37" s="480">
        <v>218.8</v>
      </c>
      <c r="O37" s="480">
        <v>216.4</v>
      </c>
      <c r="P37" s="480">
        <v>216.7</v>
      </c>
      <c r="Q37" s="263"/>
      <c r="R37" s="480">
        <v>216.2</v>
      </c>
      <c r="S37" s="263"/>
    </row>
    <row r="38" spans="2:19" ht="15" x14ac:dyDescent="0.4">
      <c r="B38" s="1258"/>
      <c r="C38" s="1259"/>
      <c r="D38" s="1230"/>
      <c r="E38" s="1234"/>
      <c r="F38" s="194" t="s">
        <v>233</v>
      </c>
      <c r="G38" s="151" t="s">
        <v>48</v>
      </c>
      <c r="H38" s="151"/>
      <c r="I38" s="152" t="s">
        <v>73</v>
      </c>
      <c r="J38" s="263">
        <v>13.28</v>
      </c>
      <c r="K38" s="263"/>
      <c r="L38" s="263">
        <v>13.1</v>
      </c>
      <c r="M38" s="263"/>
      <c r="N38" s="480">
        <v>13.36</v>
      </c>
      <c r="O38" s="480">
        <v>12.5</v>
      </c>
      <c r="P38" s="480">
        <v>12.6</v>
      </c>
      <c r="Q38" s="263"/>
      <c r="R38" s="480">
        <v>12.94</v>
      </c>
      <c r="S38" s="263"/>
    </row>
    <row r="39" spans="2:19" ht="15.4" thickBot="1" x14ac:dyDescent="0.45">
      <c r="B39" s="1258"/>
      <c r="C39" s="1259"/>
      <c r="D39" s="1235"/>
      <c r="E39" s="1236"/>
      <c r="F39" s="762" t="s">
        <v>234</v>
      </c>
      <c r="G39" s="165" t="s">
        <v>21</v>
      </c>
      <c r="H39" s="165"/>
      <c r="I39" s="763" t="s">
        <v>235</v>
      </c>
      <c r="J39" s="284" t="s">
        <v>200</v>
      </c>
      <c r="K39" s="284"/>
      <c r="L39" s="284" t="s">
        <v>200</v>
      </c>
      <c r="M39" s="284"/>
      <c r="N39" s="724" t="s">
        <v>200</v>
      </c>
      <c r="O39" s="724" t="s">
        <v>200</v>
      </c>
      <c r="P39" s="724" t="s">
        <v>200</v>
      </c>
      <c r="Q39" s="284"/>
      <c r="R39" s="724" t="s">
        <v>200</v>
      </c>
      <c r="S39" s="284"/>
    </row>
    <row r="40" spans="2:19" ht="15.75" customHeight="1" x14ac:dyDescent="0.4">
      <c r="B40" s="1258"/>
      <c r="C40" s="1259"/>
      <c r="D40" s="1237" t="s">
        <v>236</v>
      </c>
      <c r="E40" s="1491"/>
      <c r="F40" s="194" t="s">
        <v>237</v>
      </c>
      <c r="G40" s="151" t="s">
        <v>21</v>
      </c>
      <c r="H40" s="151"/>
      <c r="I40" s="152" t="s">
        <v>224</v>
      </c>
      <c r="J40" s="263" t="s">
        <v>200</v>
      </c>
      <c r="K40" s="263"/>
      <c r="L40" s="263" t="s">
        <v>200</v>
      </c>
      <c r="M40" s="263"/>
      <c r="N40" s="480" t="s">
        <v>200</v>
      </c>
      <c r="O40" s="480" t="s">
        <v>200</v>
      </c>
      <c r="P40" s="480" t="s">
        <v>200</v>
      </c>
      <c r="Q40" s="263"/>
      <c r="R40" s="480" t="s">
        <v>200</v>
      </c>
      <c r="S40" s="263"/>
    </row>
    <row r="41" spans="2:19" ht="23.25" x14ac:dyDescent="0.4">
      <c r="B41" s="1258"/>
      <c r="C41" s="1259"/>
      <c r="D41" s="1230"/>
      <c r="E41" s="1496"/>
      <c r="F41" s="146" t="s">
        <v>238</v>
      </c>
      <c r="G41" s="137" t="s">
        <v>27</v>
      </c>
      <c r="H41" s="137"/>
      <c r="I41" s="138" t="s">
        <v>239</v>
      </c>
      <c r="J41" s="263">
        <v>232.3</v>
      </c>
      <c r="K41" s="263"/>
      <c r="L41" s="263">
        <v>232.3</v>
      </c>
      <c r="M41" s="263"/>
      <c r="N41" s="480">
        <v>232.3</v>
      </c>
      <c r="O41" s="480">
        <v>232.3</v>
      </c>
      <c r="P41" s="480">
        <v>232.3</v>
      </c>
      <c r="Q41" s="263"/>
      <c r="R41" s="480">
        <v>232.3</v>
      </c>
      <c r="S41" s="263"/>
    </row>
    <row r="42" spans="2:19" ht="23.25" x14ac:dyDescent="0.4">
      <c r="B42" s="1258"/>
      <c r="C42" s="1259"/>
      <c r="D42" s="1230"/>
      <c r="E42" s="1496"/>
      <c r="F42" s="135" t="s">
        <v>240</v>
      </c>
      <c r="G42" s="136" t="s">
        <v>48</v>
      </c>
      <c r="H42" s="136"/>
      <c r="I42" s="153" t="s">
        <v>239</v>
      </c>
      <c r="J42" s="263">
        <v>1</v>
      </c>
      <c r="K42" s="263"/>
      <c r="L42" s="263">
        <v>1</v>
      </c>
      <c r="M42" s="263"/>
      <c r="N42" s="480">
        <v>1</v>
      </c>
      <c r="O42" s="480">
        <v>1</v>
      </c>
      <c r="P42" s="480">
        <v>1</v>
      </c>
      <c r="Q42" s="263"/>
      <c r="R42" s="480">
        <v>1</v>
      </c>
      <c r="S42" s="263"/>
    </row>
    <row r="43" spans="2:19" ht="15.75" customHeight="1" x14ac:dyDescent="0.4">
      <c r="B43" s="1258"/>
      <c r="C43" s="1259"/>
      <c r="D43" s="1230"/>
      <c r="E43" s="1496"/>
      <c r="F43" s="146" t="s">
        <v>241</v>
      </c>
      <c r="G43" s="137" t="s">
        <v>27</v>
      </c>
      <c r="H43" s="137"/>
      <c r="I43" s="138" t="s">
        <v>73</v>
      </c>
      <c r="J43" s="263">
        <v>232.5</v>
      </c>
      <c r="K43" s="263"/>
      <c r="L43" s="263">
        <v>233.1</v>
      </c>
      <c r="M43" s="263"/>
      <c r="N43" s="480">
        <v>232.8</v>
      </c>
      <c r="O43" s="480">
        <v>233.1</v>
      </c>
      <c r="P43" s="480">
        <v>233.12</v>
      </c>
      <c r="Q43" s="263"/>
      <c r="R43" s="480">
        <v>233.1</v>
      </c>
      <c r="S43" s="263"/>
    </row>
    <row r="44" spans="2:19" ht="15.75" customHeight="1" x14ac:dyDescent="0.4">
      <c r="B44" s="1258"/>
      <c r="C44" s="1259"/>
      <c r="D44" s="1230"/>
      <c r="E44" s="1496"/>
      <c r="F44" s="135" t="s">
        <v>242</v>
      </c>
      <c r="G44" s="136" t="s">
        <v>48</v>
      </c>
      <c r="H44" s="136"/>
      <c r="I44" s="153" t="s">
        <v>73</v>
      </c>
      <c r="J44" s="517">
        <v>0</v>
      </c>
      <c r="K44" s="517"/>
      <c r="L44" s="517">
        <v>1.59</v>
      </c>
      <c r="M44" s="517"/>
      <c r="N44" s="516">
        <v>0</v>
      </c>
      <c r="O44" s="516">
        <v>1.52</v>
      </c>
      <c r="P44" s="516">
        <v>1.68</v>
      </c>
      <c r="Q44" s="517"/>
      <c r="R44" s="516">
        <v>1.53</v>
      </c>
      <c r="S44" s="517"/>
    </row>
    <row r="45" spans="2:19" ht="15.75" customHeight="1" x14ac:dyDescent="0.4">
      <c r="B45" s="1258"/>
      <c r="C45" s="1259"/>
      <c r="D45" s="1230"/>
      <c r="E45" s="1496"/>
      <c r="F45" s="1493" t="s">
        <v>866</v>
      </c>
      <c r="G45" s="1494" t="s">
        <v>21</v>
      </c>
      <c r="H45" s="1494"/>
      <c r="I45" s="1495" t="s">
        <v>763</v>
      </c>
      <c r="J45" s="265"/>
      <c r="K45" s="265"/>
      <c r="L45" s="265"/>
      <c r="M45" s="265"/>
      <c r="N45" s="484"/>
      <c r="O45" s="484"/>
      <c r="P45" s="484"/>
      <c r="Q45" s="265"/>
      <c r="R45" s="484"/>
      <c r="S45" s="265"/>
    </row>
    <row r="46" spans="2:19" ht="15.75" customHeight="1" x14ac:dyDescent="0.4">
      <c r="B46" s="1258"/>
      <c r="C46" s="1259"/>
      <c r="D46" s="1230"/>
      <c r="E46" s="1496"/>
      <c r="F46" s="146" t="s">
        <v>243</v>
      </c>
      <c r="G46" s="137" t="s">
        <v>21</v>
      </c>
      <c r="H46" s="137"/>
      <c r="I46" s="138" t="s">
        <v>224</v>
      </c>
      <c r="J46" s="263" t="s">
        <v>200</v>
      </c>
      <c r="K46" s="263"/>
      <c r="L46" s="263" t="s">
        <v>200</v>
      </c>
      <c r="M46" s="263"/>
      <c r="N46" s="480" t="s">
        <v>200</v>
      </c>
      <c r="O46" s="480" t="s">
        <v>200</v>
      </c>
      <c r="P46" s="480" t="s">
        <v>200</v>
      </c>
      <c r="Q46" s="263"/>
      <c r="R46" s="480" t="s">
        <v>200</v>
      </c>
      <c r="S46" s="263"/>
    </row>
    <row r="47" spans="2:19" ht="23.25" x14ac:dyDescent="0.4">
      <c r="B47" s="1258"/>
      <c r="C47" s="1259"/>
      <c r="D47" s="1230"/>
      <c r="E47" s="1496"/>
      <c r="F47" s="135" t="s">
        <v>238</v>
      </c>
      <c r="G47" s="136" t="s">
        <v>27</v>
      </c>
      <c r="H47" s="136"/>
      <c r="I47" s="153" t="s">
        <v>239</v>
      </c>
      <c r="J47" s="263">
        <v>232.8</v>
      </c>
      <c r="K47" s="263"/>
      <c r="L47" s="263">
        <v>232.8</v>
      </c>
      <c r="M47" s="263"/>
      <c r="N47" s="480">
        <v>232.8</v>
      </c>
      <c r="O47" s="480">
        <v>232.8</v>
      </c>
      <c r="P47" s="480">
        <v>232.8</v>
      </c>
      <c r="Q47" s="263"/>
      <c r="R47" s="480">
        <v>232.8</v>
      </c>
      <c r="S47" s="263"/>
    </row>
    <row r="48" spans="2:19" ht="23.25" x14ac:dyDescent="0.4">
      <c r="B48" s="1258"/>
      <c r="C48" s="1259"/>
      <c r="D48" s="1230"/>
      <c r="E48" s="1496"/>
      <c r="F48" s="146" t="s">
        <v>240</v>
      </c>
      <c r="G48" s="137" t="s">
        <v>48</v>
      </c>
      <c r="H48" s="137"/>
      <c r="I48" s="138" t="s">
        <v>239</v>
      </c>
      <c r="J48" s="263">
        <v>1.1000000000000001</v>
      </c>
      <c r="K48" s="263"/>
      <c r="L48" s="263">
        <v>1.1000000000000001</v>
      </c>
      <c r="M48" s="263"/>
      <c r="N48" s="480">
        <v>1</v>
      </c>
      <c r="O48" s="480">
        <v>1</v>
      </c>
      <c r="P48" s="480">
        <v>1.1000000000000001</v>
      </c>
      <c r="Q48" s="263"/>
      <c r="R48" s="480">
        <v>1</v>
      </c>
      <c r="S48" s="263"/>
    </row>
    <row r="49" spans="2:19" ht="15.75" customHeight="1" x14ac:dyDescent="0.4">
      <c r="B49" s="1258"/>
      <c r="C49" s="1259"/>
      <c r="D49" s="1230"/>
      <c r="E49" s="1496"/>
      <c r="F49" s="135" t="s">
        <v>244</v>
      </c>
      <c r="G49" s="136" t="s">
        <v>27</v>
      </c>
      <c r="H49" s="136"/>
      <c r="I49" s="153" t="s">
        <v>73</v>
      </c>
      <c r="J49" s="263">
        <v>232.6</v>
      </c>
      <c r="K49" s="263"/>
      <c r="L49" s="263">
        <v>233.04</v>
      </c>
      <c r="M49" s="263"/>
      <c r="N49" s="480">
        <v>232.6</v>
      </c>
      <c r="O49" s="480">
        <v>232.1</v>
      </c>
      <c r="P49" s="480">
        <v>233.02</v>
      </c>
      <c r="Q49" s="263"/>
      <c r="R49" s="480">
        <v>233</v>
      </c>
      <c r="S49" s="263"/>
    </row>
    <row r="50" spans="2:19" ht="15.75" customHeight="1" x14ac:dyDescent="0.4">
      <c r="B50" s="1258"/>
      <c r="C50" s="1259"/>
      <c r="D50" s="1230"/>
      <c r="E50" s="1496"/>
      <c r="F50" s="146" t="s">
        <v>245</v>
      </c>
      <c r="G50" s="137" t="s">
        <v>48</v>
      </c>
      <c r="H50" s="137"/>
      <c r="I50" s="138" t="s">
        <v>73</v>
      </c>
      <c r="J50" s="517">
        <v>0</v>
      </c>
      <c r="K50" s="517"/>
      <c r="L50" s="517">
        <v>0</v>
      </c>
      <c r="M50" s="517"/>
      <c r="N50" s="516">
        <v>0</v>
      </c>
      <c r="O50" s="516">
        <v>0</v>
      </c>
      <c r="P50" s="516">
        <v>0</v>
      </c>
      <c r="Q50" s="517"/>
      <c r="R50" s="516">
        <v>0</v>
      </c>
      <c r="S50" s="517"/>
    </row>
    <row r="51" spans="2:19" ht="15.75" customHeight="1" x14ac:dyDescent="0.4">
      <c r="B51" s="1258"/>
      <c r="C51" s="1259"/>
      <c r="D51" s="1230"/>
      <c r="E51" s="1496"/>
      <c r="F51" s="1493" t="s">
        <v>866</v>
      </c>
      <c r="G51" s="1494" t="s">
        <v>21</v>
      </c>
      <c r="H51" s="1494"/>
      <c r="I51" s="1495" t="s">
        <v>763</v>
      </c>
      <c r="J51" s="265"/>
      <c r="K51" s="265"/>
      <c r="L51" s="265"/>
      <c r="M51" s="265"/>
      <c r="N51" s="484"/>
      <c r="O51" s="484"/>
      <c r="P51" s="484"/>
      <c r="Q51" s="265"/>
      <c r="R51" s="484"/>
      <c r="S51" s="265"/>
    </row>
    <row r="52" spans="2:19" ht="15.75" customHeight="1" x14ac:dyDescent="0.4">
      <c r="B52" s="1258"/>
      <c r="C52" s="1259"/>
      <c r="D52" s="1230"/>
      <c r="E52" s="1496"/>
      <c r="F52" s="194" t="s">
        <v>246</v>
      </c>
      <c r="G52" s="151" t="s">
        <v>21</v>
      </c>
      <c r="H52" s="151"/>
      <c r="I52" s="152" t="s">
        <v>224</v>
      </c>
      <c r="J52" s="263" t="s">
        <v>200</v>
      </c>
      <c r="K52" s="263"/>
      <c r="L52" s="263" t="s">
        <v>200</v>
      </c>
      <c r="M52" s="263"/>
      <c r="N52" s="480" t="s">
        <v>200</v>
      </c>
      <c r="O52" s="480" t="s">
        <v>200</v>
      </c>
      <c r="P52" s="480" t="s">
        <v>200</v>
      </c>
      <c r="Q52" s="263"/>
      <c r="R52" s="480" t="s">
        <v>200</v>
      </c>
      <c r="S52" s="263"/>
    </row>
    <row r="53" spans="2:19" ht="23.25" x14ac:dyDescent="0.4">
      <c r="B53" s="1258"/>
      <c r="C53" s="1259"/>
      <c r="D53" s="1230"/>
      <c r="E53" s="1496"/>
      <c r="F53" s="146" t="s">
        <v>238</v>
      </c>
      <c r="G53" s="137" t="s">
        <v>27</v>
      </c>
      <c r="H53" s="137"/>
      <c r="I53" s="138" t="s">
        <v>239</v>
      </c>
      <c r="J53" s="263">
        <v>234.2</v>
      </c>
      <c r="K53" s="263"/>
      <c r="L53" s="263">
        <v>234.9</v>
      </c>
      <c r="M53" s="263"/>
      <c r="N53" s="480">
        <v>234.3</v>
      </c>
      <c r="O53" s="480">
        <v>234.2</v>
      </c>
      <c r="P53" s="480">
        <v>234.2</v>
      </c>
      <c r="Q53" s="263"/>
      <c r="R53" s="480">
        <v>234.2</v>
      </c>
      <c r="S53" s="263"/>
    </row>
    <row r="54" spans="2:19" ht="23.25" x14ac:dyDescent="0.4">
      <c r="B54" s="1258"/>
      <c r="C54" s="1259"/>
      <c r="D54" s="1230"/>
      <c r="E54" s="1496"/>
      <c r="F54" s="135" t="s">
        <v>240</v>
      </c>
      <c r="G54" s="136" t="s">
        <v>48</v>
      </c>
      <c r="H54" s="136"/>
      <c r="I54" s="153" t="s">
        <v>239</v>
      </c>
      <c r="J54" s="265">
        <v>0</v>
      </c>
      <c r="K54" s="265"/>
      <c r="L54" s="265">
        <v>0</v>
      </c>
      <c r="M54" s="265"/>
      <c r="N54" s="484">
        <v>0</v>
      </c>
      <c r="O54" s="484">
        <v>0</v>
      </c>
      <c r="P54" s="484">
        <v>0</v>
      </c>
      <c r="Q54" s="265"/>
      <c r="R54" s="484">
        <v>0</v>
      </c>
      <c r="S54" s="265"/>
    </row>
    <row r="55" spans="2:19" ht="15.75" customHeight="1" x14ac:dyDescent="0.4">
      <c r="B55" s="1258"/>
      <c r="C55" s="1259"/>
      <c r="D55" s="1230"/>
      <c r="E55" s="1496"/>
      <c r="F55" s="146" t="s">
        <v>247</v>
      </c>
      <c r="G55" s="137" t="s">
        <v>27</v>
      </c>
      <c r="H55" s="137"/>
      <c r="I55" s="138" t="s">
        <v>73</v>
      </c>
      <c r="J55" s="313"/>
      <c r="K55" s="313"/>
      <c r="L55" s="313">
        <v>234.32</v>
      </c>
      <c r="M55" s="313"/>
      <c r="N55" s="485">
        <v>324.25</v>
      </c>
      <c r="O55" s="485">
        <v>234.31</v>
      </c>
      <c r="P55" s="485">
        <v>234.31</v>
      </c>
      <c r="Q55" s="313"/>
      <c r="R55" s="485">
        <v>234.31</v>
      </c>
      <c r="S55" s="313"/>
    </row>
    <row r="56" spans="2:19" ht="16.149999999999999" customHeight="1" thickBot="1" x14ac:dyDescent="0.45">
      <c r="B56" s="1258"/>
      <c r="C56" s="1259"/>
      <c r="D56" s="1230"/>
      <c r="E56" s="1496"/>
      <c r="F56" s="147" t="s">
        <v>248</v>
      </c>
      <c r="G56" s="148" t="s">
        <v>48</v>
      </c>
      <c r="H56" s="148"/>
      <c r="I56" s="149" t="s">
        <v>73</v>
      </c>
      <c r="J56" s="265"/>
      <c r="K56" s="265"/>
      <c r="L56" s="265">
        <v>0</v>
      </c>
      <c r="M56" s="265"/>
      <c r="N56" s="484">
        <v>0</v>
      </c>
      <c r="O56" s="484">
        <v>0</v>
      </c>
      <c r="P56" s="484">
        <v>0</v>
      </c>
      <c r="Q56" s="265"/>
      <c r="R56" s="484">
        <v>0</v>
      </c>
      <c r="S56" s="265"/>
    </row>
    <row r="57" spans="2:19" ht="16.149999999999999" customHeight="1" thickBot="1" x14ac:dyDescent="0.45">
      <c r="B57" s="1258"/>
      <c r="C57" s="1259"/>
      <c r="D57" s="1235"/>
      <c r="E57" s="1492"/>
      <c r="F57" s="1493" t="s">
        <v>866</v>
      </c>
      <c r="G57" s="1494" t="s">
        <v>21</v>
      </c>
      <c r="H57" s="1494"/>
      <c r="I57" s="1495" t="s">
        <v>763</v>
      </c>
      <c r="J57" s="265"/>
      <c r="K57" s="265"/>
      <c r="L57" s="265"/>
      <c r="M57" s="265"/>
      <c r="N57" s="484"/>
      <c r="O57" s="484"/>
      <c r="P57" s="484"/>
      <c r="Q57" s="265"/>
      <c r="R57" s="484"/>
      <c r="S57" s="265"/>
    </row>
    <row r="58" spans="2:19" ht="23.65" thickBot="1" x14ac:dyDescent="0.45">
      <c r="B58" s="1258"/>
      <c r="C58" s="1259"/>
      <c r="D58" s="1221" t="s">
        <v>249</v>
      </c>
      <c r="E58" s="1222"/>
      <c r="F58" s="164" t="s">
        <v>250</v>
      </c>
      <c r="G58" s="165" t="s">
        <v>21</v>
      </c>
      <c r="H58" s="166"/>
      <c r="I58" s="167" t="s">
        <v>224</v>
      </c>
      <c r="J58" s="518" t="s">
        <v>200</v>
      </c>
      <c r="K58" s="518"/>
      <c r="L58" s="518" t="s">
        <v>200</v>
      </c>
      <c r="M58" s="518"/>
      <c r="N58" s="519" t="s">
        <v>200</v>
      </c>
      <c r="O58" s="519" t="s">
        <v>200</v>
      </c>
      <c r="P58" s="519" t="s">
        <v>200</v>
      </c>
      <c r="Q58" s="518"/>
      <c r="R58" s="519" t="s">
        <v>200</v>
      </c>
      <c r="S58" s="518"/>
    </row>
    <row r="59" spans="2:19" ht="15.4" thickBot="1" x14ac:dyDescent="0.45">
      <c r="B59" s="1260"/>
      <c r="C59" s="1261"/>
      <c r="D59" s="1226" t="s">
        <v>251</v>
      </c>
      <c r="E59" s="1227"/>
      <c r="F59" s="168" t="s">
        <v>252</v>
      </c>
      <c r="G59" s="165" t="s">
        <v>21</v>
      </c>
      <c r="H59" s="169"/>
      <c r="I59" s="170" t="s">
        <v>224</v>
      </c>
      <c r="J59" s="486"/>
      <c r="K59" s="312"/>
      <c r="L59" s="486"/>
      <c r="M59" s="312"/>
      <c r="N59" s="486" t="s">
        <v>21</v>
      </c>
      <c r="O59" s="486" t="s">
        <v>21</v>
      </c>
      <c r="P59" s="486" t="s">
        <v>200</v>
      </c>
      <c r="Q59" s="312"/>
      <c r="R59" s="486" t="s">
        <v>21</v>
      </c>
      <c r="S59" s="312"/>
    </row>
    <row r="60" spans="2:19" ht="15.4" thickBot="1" x14ac:dyDescent="0.45">
      <c r="B60" s="35"/>
      <c r="C60" s="35"/>
      <c r="D60" s="2"/>
      <c r="E60" s="2"/>
      <c r="F60" s="9"/>
      <c r="G60" s="2"/>
      <c r="H60" s="36"/>
      <c r="I60" s="36"/>
      <c r="J60" s="238"/>
      <c r="K60" s="238"/>
      <c r="L60" s="238"/>
      <c r="M60" s="238"/>
      <c r="N60" s="238"/>
      <c r="O60" s="238"/>
      <c r="P60" s="238"/>
      <c r="Q60" s="238"/>
      <c r="R60" s="238"/>
      <c r="S60" s="238"/>
    </row>
    <row r="61" spans="2:19" ht="27" customHeight="1" x14ac:dyDescent="0.4">
      <c r="B61" s="5"/>
      <c r="C61" s="5"/>
      <c r="D61" s="6"/>
      <c r="E61" s="1013" t="s">
        <v>201</v>
      </c>
      <c r="F61" s="1014"/>
      <c r="G61" s="1014"/>
      <c r="H61" s="1014"/>
      <c r="I61" s="1228"/>
      <c r="J61" s="1250"/>
      <c r="K61" s="1250"/>
      <c r="L61" s="1250"/>
      <c r="M61" s="1250"/>
      <c r="N61" s="1250"/>
      <c r="O61" s="1250"/>
      <c r="P61" s="1250"/>
      <c r="Q61" s="1250"/>
      <c r="R61" s="1250"/>
      <c r="S61" s="1250"/>
    </row>
    <row r="62" spans="2:19" ht="23.25" customHeight="1" thickBot="1" x14ac:dyDescent="0.45">
      <c r="B62" s="5"/>
      <c r="C62" s="5"/>
      <c r="D62" s="6"/>
      <c r="E62" s="1015"/>
      <c r="F62" s="1016"/>
      <c r="G62" s="1016"/>
      <c r="H62" s="1016"/>
      <c r="I62" s="1229"/>
      <c r="J62" s="1251"/>
      <c r="K62" s="1251"/>
      <c r="L62" s="1251"/>
      <c r="M62" s="1251"/>
      <c r="N62" s="1251"/>
      <c r="O62" s="1251"/>
      <c r="P62" s="1251"/>
      <c r="Q62" s="1251"/>
      <c r="R62" s="1251"/>
      <c r="S62" s="1251"/>
    </row>
    <row r="63" spans="2:19" s="238" customFormat="1" ht="35.25" customHeight="1" thickBot="1" x14ac:dyDescent="0.55000000000000004">
      <c r="B63" s="5"/>
      <c r="C63" s="5"/>
      <c r="D63" s="121"/>
      <c r="E63" s="1011" t="s">
        <v>123</v>
      </c>
      <c r="F63" s="1012"/>
      <c r="G63" s="1012"/>
      <c r="H63" s="1012"/>
      <c r="I63" s="1214"/>
      <c r="J63" s="340"/>
      <c r="K63" s="341" t="s">
        <v>207</v>
      </c>
      <c r="L63" s="340"/>
      <c r="M63" s="341" t="s">
        <v>206</v>
      </c>
      <c r="N63" s="340" t="s">
        <v>253</v>
      </c>
      <c r="O63" s="340" t="s">
        <v>210</v>
      </c>
      <c r="P63" s="340" t="s">
        <v>210</v>
      </c>
      <c r="Q63" s="341"/>
      <c r="R63" s="340" t="s">
        <v>210</v>
      </c>
      <c r="S63" s="341"/>
    </row>
  </sheetData>
  <mergeCells count="36">
    <mergeCell ref="R5:S5"/>
    <mergeCell ref="R61:S62"/>
    <mergeCell ref="B7:C31"/>
    <mergeCell ref="J5:K5"/>
    <mergeCell ref="J61:K62"/>
    <mergeCell ref="I5:I6"/>
    <mergeCell ref="N61:N62"/>
    <mergeCell ref="L5:M5"/>
    <mergeCell ref="L61:M62"/>
    <mergeCell ref="B32:C59"/>
    <mergeCell ref="P5:Q5"/>
    <mergeCell ref="P61:Q62"/>
    <mergeCell ref="O61:O62"/>
    <mergeCell ref="D40:E57"/>
    <mergeCell ref="B1:I1"/>
    <mergeCell ref="B2:I2"/>
    <mergeCell ref="B3:D3"/>
    <mergeCell ref="H3:I3"/>
    <mergeCell ref="E3:G3"/>
    <mergeCell ref="B4:E4"/>
    <mergeCell ref="F4:I4"/>
    <mergeCell ref="B5:C6"/>
    <mergeCell ref="D5:E6"/>
    <mergeCell ref="F5:F6"/>
    <mergeCell ref="G5:G6"/>
    <mergeCell ref="H5:H6"/>
    <mergeCell ref="E63:I63"/>
    <mergeCell ref="D32:E35"/>
    <mergeCell ref="D58:E58"/>
    <mergeCell ref="D7:D31"/>
    <mergeCell ref="D59:E59"/>
    <mergeCell ref="E61:I62"/>
    <mergeCell ref="E7:E17"/>
    <mergeCell ref="E18:E28"/>
    <mergeCell ref="E29:E31"/>
    <mergeCell ref="D36:E39"/>
  </mergeCells>
  <conditionalFormatting sqref="J7:S59">
    <cfRule type="containsText" dxfId="10" priority="1" operator="containsText" text="NOK">
      <formula>NOT(ISERROR(SEARCH("NOK",J7)))</formula>
    </cfRule>
  </conditionalFormatting>
  <dataValidations count="5">
    <dataValidation type="list" allowBlank="1" showInputMessage="1" showErrorMessage="1" sqref="J63:S63" xr:uid="{B192EFCD-54EA-40FE-AFE5-1A92ECBAF085}">
      <formula1>"C.C, F.M, G.P, I.A, K.T, L.M, L.CH, M.P, M.M"</formula1>
    </dataValidation>
    <dataValidation type="list" allowBlank="1" showInputMessage="1" showErrorMessage="1" sqref="J29:S29" xr:uid="{EF69E593-DE84-4930-8B3C-434510C5E1A6}">
      <formula1>"AUTO, SEMI, SALIDA"</formula1>
    </dataValidation>
    <dataValidation type="list" allowBlank="1" showInputMessage="1" showErrorMessage="1" sqref="J46:S46 J32:S36 J39:S40 J52:S52" xr:uid="{60D23F58-762E-4A7D-BF25-BBA09B2F8BFF}">
      <formula1>"OK, NOK"</formula1>
    </dataValidation>
    <dataValidation type="list" allowBlank="1" showInputMessage="1" showErrorMessage="1" sqref="J58:S59" xr:uid="{1297EE3B-0209-40E7-A778-BFFD845464CF}">
      <formula1>"OK, NOK, -"</formula1>
    </dataValidation>
    <dataValidation type="list" allowBlank="1" showInputMessage="1" showErrorMessage="1" sqref="J30:S31" xr:uid="{A8FDAC86-BA6B-4401-A8D3-D6C58297248C}">
      <formula1>"A, C"</formula1>
    </dataValidation>
  </dataValidations>
  <pageMargins left="0.23622047244094488" right="0.23622047244094488" top="0" bottom="0" header="0.31496062992125984" footer="0.31496062992125984"/>
  <pageSetup paperSize="9" scale="36" fitToHeight="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118D-5671-4E95-BF58-9837AD8C6B60}">
  <sheetPr codeName="Hoja3">
    <tabColor theme="5" tint="-0.249977111117893"/>
    <pageSetUpPr fitToPage="1"/>
  </sheetPr>
  <dimension ref="B2:X80"/>
  <sheetViews>
    <sheetView showGridLines="0" zoomScale="80" zoomScaleNormal="80" workbookViewId="0">
      <pane xSplit="9" ySplit="8" topLeftCell="T9" activePane="bottomRight" state="frozen"/>
      <selection pane="topRight"/>
      <selection pane="bottomLeft"/>
      <selection pane="bottomRight" activeCell="W76" sqref="W76"/>
    </sheetView>
  </sheetViews>
  <sheetFormatPr baseColWidth="10" defaultColWidth="10.625" defaultRowHeight="16.149999999999999" customHeight="1" x14ac:dyDescent="0.5"/>
  <cols>
    <col min="1" max="1" width="1" customWidth="1"/>
    <col min="2" max="2" width="2.625" style="3" customWidth="1"/>
    <col min="3" max="3" width="3.625" style="3" customWidth="1"/>
    <col min="4" max="4" width="9.125" style="4" customWidth="1"/>
    <col min="5" max="5" width="10.625" style="4" customWidth="1"/>
    <col min="6" max="6" width="34" style="1" customWidth="1"/>
    <col min="7" max="7" width="7" style="1" bestFit="1" customWidth="1"/>
    <col min="8" max="8" width="8.875" style="2" customWidth="1"/>
    <col min="9" max="9" width="11.5" style="2" bestFit="1" customWidth="1"/>
  </cols>
  <sheetData>
    <row r="2" spans="2:24" ht="52.5" customHeight="1" x14ac:dyDescent="0.5">
      <c r="B2" s="1039" t="s">
        <v>0</v>
      </c>
      <c r="C2" s="1288"/>
      <c r="D2" s="1288"/>
      <c r="E2" s="1288"/>
      <c r="F2" s="1288"/>
      <c r="G2" s="1288"/>
      <c r="H2" s="1288"/>
      <c r="I2" s="1288"/>
    </row>
    <row r="3" spans="2:24" ht="33.75" customHeight="1" x14ac:dyDescent="0.5">
      <c r="B3" s="1040" t="s">
        <v>1</v>
      </c>
      <c r="C3" s="1041"/>
      <c r="D3" s="1041"/>
      <c r="E3" s="1041"/>
      <c r="F3" s="1041"/>
      <c r="G3" s="1041"/>
      <c r="H3" s="1041"/>
      <c r="I3" s="1041"/>
    </row>
    <row r="4" spans="2:24" ht="39.75" customHeight="1" x14ac:dyDescent="0.5">
      <c r="B4" s="1290" t="s">
        <v>124</v>
      </c>
      <c r="C4" s="1291"/>
      <c r="D4" s="1292"/>
      <c r="E4" s="1248" t="s">
        <v>254</v>
      </c>
      <c r="F4" s="1248"/>
      <c r="G4" s="1248"/>
      <c r="H4" s="1289" t="s">
        <v>4</v>
      </c>
      <c r="I4" s="1289"/>
    </row>
    <row r="5" spans="2:24" ht="3" customHeight="1" thickBot="1" x14ac:dyDescent="0.55000000000000004">
      <c r="B5" s="1239"/>
      <c r="C5" s="1239"/>
      <c r="D5" s="1239"/>
      <c r="E5" s="1239"/>
      <c r="F5" s="1293"/>
      <c r="G5" s="1239"/>
      <c r="H5" s="1239"/>
      <c r="I5" s="1239"/>
    </row>
    <row r="6" spans="2:24" ht="14.25" customHeight="1" x14ac:dyDescent="0.5">
      <c r="B6" s="1168" t="s">
        <v>126</v>
      </c>
      <c r="C6" s="1169"/>
      <c r="D6" s="1168" t="s">
        <v>5</v>
      </c>
      <c r="E6" s="1298"/>
      <c r="F6" s="1301" t="s">
        <v>6</v>
      </c>
      <c r="G6" s="1301" t="s">
        <v>7</v>
      </c>
      <c r="H6" s="1301" t="s">
        <v>8</v>
      </c>
      <c r="I6" s="1304" t="s">
        <v>9</v>
      </c>
      <c r="J6" s="894">
        <v>46146</v>
      </c>
      <c r="K6" s="1274">
        <v>46147</v>
      </c>
      <c r="L6" s="1275"/>
      <c r="M6" s="1274">
        <v>46150</v>
      </c>
      <c r="N6" s="1275"/>
      <c r="O6" s="894">
        <v>46153</v>
      </c>
      <c r="P6" s="894">
        <v>46154</v>
      </c>
      <c r="Q6" s="894">
        <v>46156</v>
      </c>
      <c r="R6" s="971">
        <v>46157</v>
      </c>
      <c r="S6" s="1262">
        <v>46159</v>
      </c>
      <c r="T6" s="1263"/>
      <c r="U6" s="1262">
        <v>46160</v>
      </c>
      <c r="V6" s="1263"/>
      <c r="W6" s="1262">
        <v>46161</v>
      </c>
      <c r="X6" s="1263"/>
    </row>
    <row r="7" spans="2:24" ht="14.25" customHeight="1" x14ac:dyDescent="0.5">
      <c r="B7" s="1294"/>
      <c r="C7" s="1295"/>
      <c r="D7" s="1294"/>
      <c r="E7" s="1299"/>
      <c r="F7" s="1302"/>
      <c r="G7" s="1302"/>
      <c r="H7" s="1302"/>
      <c r="I7" s="1305"/>
      <c r="J7" s="1278">
        <v>2.0833333333333332E-2</v>
      </c>
      <c r="K7" s="1278">
        <v>8.3333333333333329E-2</v>
      </c>
      <c r="L7" s="1278"/>
      <c r="M7" s="1278">
        <v>4.1666666666666664E-2</v>
      </c>
      <c r="N7" s="1278">
        <v>0.45833333333333331</v>
      </c>
      <c r="O7" s="1278">
        <v>0.6875</v>
      </c>
      <c r="P7" s="1278">
        <v>0.72916666666666696</v>
      </c>
      <c r="Q7" s="1278">
        <v>4.1666666666666664E-2</v>
      </c>
      <c r="R7" s="1266">
        <v>0.54166666666666663</v>
      </c>
      <c r="S7" s="1264">
        <v>8.3333333333333329E-2</v>
      </c>
      <c r="T7" s="1266">
        <v>0.70833333333333337</v>
      </c>
      <c r="U7" s="1264">
        <v>8.3333333333333329E-2</v>
      </c>
      <c r="V7" s="1266"/>
      <c r="W7" s="1264">
        <v>0.125</v>
      </c>
      <c r="X7" s="1266"/>
    </row>
    <row r="8" spans="2:24" s="120" customFormat="1" ht="14.25" customHeight="1" thickBot="1" x14ac:dyDescent="0.55000000000000004">
      <c r="B8" s="1296"/>
      <c r="C8" s="1297"/>
      <c r="D8" s="1296"/>
      <c r="E8" s="1300"/>
      <c r="F8" s="1303"/>
      <c r="G8" s="1303"/>
      <c r="H8" s="1303"/>
      <c r="I8" s="1306"/>
      <c r="J8" s="1279"/>
      <c r="K8" s="1279"/>
      <c r="L8" s="1279"/>
      <c r="M8" s="1279"/>
      <c r="N8" s="1279"/>
      <c r="O8" s="1279"/>
      <c r="P8" s="1279"/>
      <c r="Q8" s="1279"/>
      <c r="R8" s="1267"/>
      <c r="S8" s="1265"/>
      <c r="T8" s="1267"/>
      <c r="U8" s="1265"/>
      <c r="V8" s="1267"/>
      <c r="W8" s="1265"/>
      <c r="X8" s="1267"/>
    </row>
    <row r="9" spans="2:24" ht="15.75" x14ac:dyDescent="0.5">
      <c r="B9" s="1307" t="s">
        <v>255</v>
      </c>
      <c r="C9" s="1308"/>
      <c r="D9" s="1313" t="s">
        <v>256</v>
      </c>
      <c r="E9" s="1318" t="s">
        <v>257</v>
      </c>
      <c r="F9" s="183" t="s">
        <v>258</v>
      </c>
      <c r="G9" s="133"/>
      <c r="H9" s="133"/>
      <c r="I9" s="236"/>
      <c r="J9" s="489">
        <v>11</v>
      </c>
      <c r="K9" s="489">
        <v>11</v>
      </c>
      <c r="L9" s="489">
        <v>11</v>
      </c>
      <c r="M9" s="489">
        <v>11</v>
      </c>
      <c r="N9" s="489">
        <v>11</v>
      </c>
      <c r="O9" s="489">
        <v>11</v>
      </c>
      <c r="P9" s="489">
        <v>11</v>
      </c>
      <c r="Q9" s="489">
        <v>11</v>
      </c>
      <c r="R9" s="864">
        <v>11</v>
      </c>
      <c r="S9" s="555">
        <v>11</v>
      </c>
      <c r="T9" s="864">
        <v>11</v>
      </c>
      <c r="U9" s="555">
        <v>11</v>
      </c>
      <c r="V9" s="864"/>
      <c r="W9" s="555">
        <v>11</v>
      </c>
      <c r="X9" s="864"/>
    </row>
    <row r="10" spans="2:24" s="471" customFormat="1" ht="15" customHeight="1" x14ac:dyDescent="0.5">
      <c r="B10" s="1309"/>
      <c r="C10" s="1310"/>
      <c r="D10" s="1314"/>
      <c r="E10" s="1316"/>
      <c r="F10" s="142" t="s">
        <v>259</v>
      </c>
      <c r="G10" s="137" t="s">
        <v>260</v>
      </c>
      <c r="H10" s="137"/>
      <c r="I10" s="138"/>
      <c r="J10" s="728">
        <v>0.3</v>
      </c>
      <c r="K10" s="728">
        <v>0.3</v>
      </c>
      <c r="L10" s="728">
        <v>0.3</v>
      </c>
      <c r="M10" s="728">
        <v>0.3</v>
      </c>
      <c r="N10" s="728">
        <v>0.3</v>
      </c>
      <c r="O10" s="728">
        <v>0.3</v>
      </c>
      <c r="P10" s="728">
        <v>0.3</v>
      </c>
      <c r="Q10" s="728">
        <v>0.3</v>
      </c>
      <c r="R10" s="859">
        <v>0.3</v>
      </c>
      <c r="S10" s="861">
        <v>0.3</v>
      </c>
      <c r="T10" s="859">
        <v>0.3</v>
      </c>
      <c r="U10" s="861">
        <v>0.3</v>
      </c>
      <c r="V10" s="859"/>
      <c r="W10" s="861">
        <v>0.3</v>
      </c>
      <c r="X10" s="859"/>
    </row>
    <row r="11" spans="2:24" ht="15" customHeight="1" x14ac:dyDescent="0.5">
      <c r="B11" s="1309"/>
      <c r="C11" s="1310"/>
      <c r="D11" s="1314"/>
      <c r="E11" s="1316"/>
      <c r="F11" s="143" t="s">
        <v>261</v>
      </c>
      <c r="G11" s="136"/>
      <c r="H11" s="136"/>
      <c r="I11" s="153"/>
      <c r="J11" s="488">
        <v>10</v>
      </c>
      <c r="K11" s="488">
        <v>10</v>
      </c>
      <c r="L11" s="488">
        <v>10</v>
      </c>
      <c r="M11" s="488">
        <v>10</v>
      </c>
      <c r="N11" s="488">
        <v>10</v>
      </c>
      <c r="O11" s="488">
        <v>10</v>
      </c>
      <c r="P11" s="488">
        <v>10</v>
      </c>
      <c r="Q11" s="488">
        <v>10</v>
      </c>
      <c r="R11" s="865">
        <v>10</v>
      </c>
      <c r="S11" s="556">
        <v>10</v>
      </c>
      <c r="T11" s="865">
        <v>10</v>
      </c>
      <c r="U11" s="556">
        <v>10</v>
      </c>
      <c r="V11" s="865"/>
      <c r="W11" s="556">
        <v>10</v>
      </c>
      <c r="X11" s="865"/>
    </row>
    <row r="12" spans="2:24" ht="15" customHeight="1" x14ac:dyDescent="0.5">
      <c r="B12" s="1309"/>
      <c r="C12" s="1310"/>
      <c r="D12" s="1314"/>
      <c r="E12" s="1316"/>
      <c r="F12" s="142" t="s">
        <v>259</v>
      </c>
      <c r="G12" s="137" t="s">
        <v>260</v>
      </c>
      <c r="H12" s="137"/>
      <c r="I12" s="138"/>
      <c r="J12" s="728">
        <v>0.3</v>
      </c>
      <c r="K12" s="728">
        <v>0.3</v>
      </c>
      <c r="L12" s="728">
        <v>0.3</v>
      </c>
      <c r="M12" s="728">
        <v>0.3</v>
      </c>
      <c r="N12" s="728">
        <v>0.3</v>
      </c>
      <c r="O12" s="728">
        <v>0.3</v>
      </c>
      <c r="P12" s="728">
        <v>0.3</v>
      </c>
      <c r="Q12" s="728">
        <v>0.3</v>
      </c>
      <c r="R12" s="859">
        <v>0.3</v>
      </c>
      <c r="S12" s="861">
        <v>0.3</v>
      </c>
      <c r="T12" s="859">
        <v>0.3</v>
      </c>
      <c r="U12" s="861">
        <v>0.3</v>
      </c>
      <c r="V12" s="859"/>
      <c r="W12" s="861">
        <v>0.3</v>
      </c>
      <c r="X12" s="859"/>
    </row>
    <row r="13" spans="2:24" ht="15" customHeight="1" x14ac:dyDescent="0.5">
      <c r="B13" s="1309"/>
      <c r="C13" s="1310"/>
      <c r="D13" s="1314"/>
      <c r="E13" s="1316"/>
      <c r="F13" s="143" t="s">
        <v>262</v>
      </c>
      <c r="G13" s="136"/>
      <c r="H13" s="136"/>
      <c r="I13" s="153"/>
      <c r="J13" s="488">
        <v>10</v>
      </c>
      <c r="K13" s="488">
        <v>10</v>
      </c>
      <c r="L13" s="488">
        <v>10</v>
      </c>
      <c r="M13" s="488">
        <v>10</v>
      </c>
      <c r="N13" s="488">
        <v>10</v>
      </c>
      <c r="O13" s="488">
        <v>10</v>
      </c>
      <c r="P13" s="488">
        <v>10</v>
      </c>
      <c r="Q13" s="488">
        <v>10</v>
      </c>
      <c r="R13" s="865">
        <v>10</v>
      </c>
      <c r="S13" s="556">
        <v>10</v>
      </c>
      <c r="T13" s="865">
        <v>10</v>
      </c>
      <c r="U13" s="556">
        <v>10</v>
      </c>
      <c r="V13" s="865"/>
      <c r="W13" s="556">
        <v>10</v>
      </c>
      <c r="X13" s="865"/>
    </row>
    <row r="14" spans="2:24" ht="15" customHeight="1" thickBot="1" x14ac:dyDescent="0.55000000000000004">
      <c r="B14" s="1309"/>
      <c r="C14" s="1310"/>
      <c r="D14" s="1314"/>
      <c r="E14" s="1317"/>
      <c r="F14" s="474" t="s">
        <v>259</v>
      </c>
      <c r="G14" s="159" t="s">
        <v>260</v>
      </c>
      <c r="H14" s="159"/>
      <c r="I14" s="160"/>
      <c r="J14" s="728">
        <v>0.3</v>
      </c>
      <c r="K14" s="728">
        <v>0.3</v>
      </c>
      <c r="L14" s="728">
        <v>0.3</v>
      </c>
      <c r="M14" s="728">
        <v>0.3</v>
      </c>
      <c r="N14" s="728">
        <v>0.3</v>
      </c>
      <c r="O14" s="728">
        <v>0.3</v>
      </c>
      <c r="P14" s="728">
        <v>0.3</v>
      </c>
      <c r="Q14" s="728">
        <v>0.3</v>
      </c>
      <c r="R14" s="859">
        <v>0.3</v>
      </c>
      <c r="S14" s="861">
        <v>0.3</v>
      </c>
      <c r="T14" s="859">
        <v>0.3</v>
      </c>
      <c r="U14" s="861">
        <v>0.3</v>
      </c>
      <c r="V14" s="859"/>
      <c r="W14" s="861">
        <v>0.3</v>
      </c>
      <c r="X14" s="859"/>
    </row>
    <row r="15" spans="2:24" ht="15" customHeight="1" x14ac:dyDescent="0.5">
      <c r="B15" s="1309"/>
      <c r="C15" s="1310"/>
      <c r="D15" s="1314"/>
      <c r="E15" s="1316" t="s">
        <v>263</v>
      </c>
      <c r="F15" s="183" t="s">
        <v>258</v>
      </c>
      <c r="G15" s="133"/>
      <c r="H15" s="133"/>
      <c r="I15" s="236"/>
      <c r="J15" s="489">
        <v>11</v>
      </c>
      <c r="K15" s="489">
        <v>11</v>
      </c>
      <c r="L15" s="489">
        <v>11</v>
      </c>
      <c r="M15" s="489">
        <v>11</v>
      </c>
      <c r="N15" s="489">
        <v>11</v>
      </c>
      <c r="O15" s="489">
        <v>11</v>
      </c>
      <c r="P15" s="489">
        <v>11</v>
      </c>
      <c r="Q15" s="489">
        <v>11</v>
      </c>
      <c r="R15" s="864">
        <v>11</v>
      </c>
      <c r="S15" s="555">
        <v>11</v>
      </c>
      <c r="T15" s="864">
        <v>11</v>
      </c>
      <c r="U15" s="555">
        <v>11</v>
      </c>
      <c r="V15" s="864"/>
      <c r="W15" s="555">
        <v>11</v>
      </c>
      <c r="X15" s="864"/>
    </row>
    <row r="16" spans="2:24" ht="15" customHeight="1" x14ac:dyDescent="0.5">
      <c r="B16" s="1309"/>
      <c r="C16" s="1310"/>
      <c r="D16" s="1314"/>
      <c r="E16" s="1316"/>
      <c r="F16" s="696" t="s">
        <v>259</v>
      </c>
      <c r="G16" s="697" t="s">
        <v>260</v>
      </c>
      <c r="H16" s="472"/>
      <c r="I16" s="473"/>
      <c r="J16" s="728">
        <v>0.3</v>
      </c>
      <c r="K16" s="728">
        <v>0.3</v>
      </c>
      <c r="L16" s="728">
        <v>0.3</v>
      </c>
      <c r="M16" s="728">
        <v>0.31</v>
      </c>
      <c r="N16" s="728">
        <v>0.31</v>
      </c>
      <c r="O16" s="728">
        <v>0.31</v>
      </c>
      <c r="P16" s="728">
        <v>0.3</v>
      </c>
      <c r="Q16" s="728">
        <v>0.3</v>
      </c>
      <c r="R16" s="859">
        <v>0.3</v>
      </c>
      <c r="S16" s="861">
        <v>0.3</v>
      </c>
      <c r="T16" s="859">
        <v>0.3</v>
      </c>
      <c r="U16" s="861">
        <v>0.3</v>
      </c>
      <c r="V16" s="859"/>
      <c r="W16" s="861">
        <v>0.3</v>
      </c>
      <c r="X16" s="859"/>
    </row>
    <row r="17" spans="2:24" ht="15" customHeight="1" x14ac:dyDescent="0.5">
      <c r="B17" s="1309"/>
      <c r="C17" s="1310"/>
      <c r="D17" s="1314"/>
      <c r="E17" s="1316"/>
      <c r="F17" s="143" t="s">
        <v>261</v>
      </c>
      <c r="G17" s="136"/>
      <c r="H17" s="136"/>
      <c r="I17" s="153"/>
      <c r="J17" s="488">
        <v>10</v>
      </c>
      <c r="K17" s="488">
        <v>10</v>
      </c>
      <c r="L17" s="488">
        <v>10</v>
      </c>
      <c r="M17" s="488">
        <v>10</v>
      </c>
      <c r="N17" s="488">
        <v>10</v>
      </c>
      <c r="O17" s="488">
        <v>10</v>
      </c>
      <c r="P17" s="488">
        <v>10</v>
      </c>
      <c r="Q17" s="488">
        <v>10</v>
      </c>
      <c r="R17" s="865">
        <v>10</v>
      </c>
      <c r="S17" s="556">
        <v>10</v>
      </c>
      <c r="T17" s="865">
        <v>10</v>
      </c>
      <c r="U17" s="556">
        <v>10</v>
      </c>
      <c r="V17" s="865"/>
      <c r="W17" s="556">
        <v>10</v>
      </c>
      <c r="X17" s="865"/>
    </row>
    <row r="18" spans="2:24" ht="15" customHeight="1" x14ac:dyDescent="0.5">
      <c r="B18" s="1309"/>
      <c r="C18" s="1310"/>
      <c r="D18" s="1314"/>
      <c r="E18" s="1316"/>
      <c r="F18" s="470" t="s">
        <v>259</v>
      </c>
      <c r="G18" s="472" t="s">
        <v>260</v>
      </c>
      <c r="H18" s="137"/>
      <c r="I18" s="138"/>
      <c r="J18" s="728">
        <v>0.3</v>
      </c>
      <c r="K18" s="728">
        <v>0.3</v>
      </c>
      <c r="L18" s="728">
        <v>0.3</v>
      </c>
      <c r="M18" s="728">
        <v>0.3</v>
      </c>
      <c r="N18" s="728">
        <v>0.3</v>
      </c>
      <c r="O18" s="728">
        <v>0.3</v>
      </c>
      <c r="P18" s="728">
        <v>0.3</v>
      </c>
      <c r="Q18" s="728">
        <v>0.3</v>
      </c>
      <c r="R18" s="859">
        <v>0.3</v>
      </c>
      <c r="S18" s="861">
        <v>0.3</v>
      </c>
      <c r="T18" s="859">
        <v>0.3</v>
      </c>
      <c r="U18" s="861">
        <v>0.3</v>
      </c>
      <c r="V18" s="859"/>
      <c r="W18" s="861">
        <v>0.3</v>
      </c>
      <c r="X18" s="859"/>
    </row>
    <row r="19" spans="2:24" ht="15" customHeight="1" x14ac:dyDescent="0.5">
      <c r="B19" s="1309"/>
      <c r="C19" s="1310"/>
      <c r="D19" s="1314"/>
      <c r="E19" s="1316"/>
      <c r="F19" s="143" t="s">
        <v>262</v>
      </c>
      <c r="G19" s="136"/>
      <c r="H19" s="136"/>
      <c r="I19" s="153"/>
      <c r="J19" s="488">
        <v>10</v>
      </c>
      <c r="K19" s="488">
        <v>10</v>
      </c>
      <c r="L19" s="488">
        <v>10</v>
      </c>
      <c r="M19" s="488">
        <v>10</v>
      </c>
      <c r="N19" s="488">
        <v>10</v>
      </c>
      <c r="O19" s="488">
        <v>10</v>
      </c>
      <c r="P19" s="488">
        <v>10</v>
      </c>
      <c r="Q19" s="488">
        <v>10</v>
      </c>
      <c r="R19" s="865">
        <v>10</v>
      </c>
      <c r="S19" s="556">
        <v>10</v>
      </c>
      <c r="T19" s="865">
        <v>10</v>
      </c>
      <c r="U19" s="556">
        <v>10</v>
      </c>
      <c r="V19" s="865"/>
      <c r="W19" s="556">
        <v>10</v>
      </c>
      <c r="X19" s="865"/>
    </row>
    <row r="20" spans="2:24" ht="15" customHeight="1" x14ac:dyDescent="0.5">
      <c r="B20" s="1309"/>
      <c r="C20" s="1310"/>
      <c r="D20" s="1314"/>
      <c r="E20" s="1316"/>
      <c r="F20" s="142" t="s">
        <v>259</v>
      </c>
      <c r="G20" s="137" t="s">
        <v>260</v>
      </c>
      <c r="H20" s="137"/>
      <c r="I20" s="138"/>
      <c r="J20" s="728">
        <v>0.3</v>
      </c>
      <c r="K20" s="728">
        <v>0.3</v>
      </c>
      <c r="L20" s="728">
        <v>0.3</v>
      </c>
      <c r="M20" s="728">
        <v>0.31</v>
      </c>
      <c r="N20" s="728">
        <v>0.31</v>
      </c>
      <c r="O20" s="728">
        <v>0.31</v>
      </c>
      <c r="P20" s="728">
        <v>0.3</v>
      </c>
      <c r="Q20" s="728">
        <v>0.3</v>
      </c>
      <c r="R20" s="859">
        <v>0.35</v>
      </c>
      <c r="S20" s="861">
        <v>0.35</v>
      </c>
      <c r="T20" s="859">
        <v>0.35</v>
      </c>
      <c r="U20" s="861">
        <v>0.35</v>
      </c>
      <c r="V20" s="859"/>
      <c r="W20" s="861">
        <v>0.35</v>
      </c>
      <c r="X20" s="859"/>
    </row>
    <row r="21" spans="2:24" ht="14.25" customHeight="1" x14ac:dyDescent="0.5">
      <c r="B21" s="1309"/>
      <c r="C21" s="1310"/>
      <c r="D21" s="1314"/>
      <c r="E21" s="1316"/>
      <c r="F21" s="143" t="s">
        <v>264</v>
      </c>
      <c r="G21" s="136"/>
      <c r="H21" s="136"/>
      <c r="I21" s="153" t="s">
        <v>265</v>
      </c>
      <c r="J21" s="488" t="s">
        <v>266</v>
      </c>
      <c r="K21" s="488" t="s">
        <v>266</v>
      </c>
      <c r="L21" s="488" t="s">
        <v>266</v>
      </c>
      <c r="M21" s="488" t="s">
        <v>266</v>
      </c>
      <c r="N21" s="488" t="s">
        <v>266</v>
      </c>
      <c r="O21" s="488" t="s">
        <v>266</v>
      </c>
      <c r="P21" s="488" t="s">
        <v>266</v>
      </c>
      <c r="Q21" s="488" t="s">
        <v>266</v>
      </c>
      <c r="R21" s="865" t="s">
        <v>266</v>
      </c>
      <c r="S21" s="556" t="s">
        <v>266</v>
      </c>
      <c r="T21" s="865" t="s">
        <v>266</v>
      </c>
      <c r="U21" s="556" t="s">
        <v>266</v>
      </c>
      <c r="V21" s="865"/>
      <c r="W21" s="556" t="s">
        <v>266</v>
      </c>
      <c r="X21" s="865"/>
    </row>
    <row r="22" spans="2:24" ht="14.25" customHeight="1" x14ac:dyDescent="0.5">
      <c r="B22" s="1309"/>
      <c r="C22" s="1310"/>
      <c r="D22" s="1314"/>
      <c r="E22" s="1316"/>
      <c r="F22" s="142" t="s">
        <v>267</v>
      </c>
      <c r="G22" s="137"/>
      <c r="H22" s="137"/>
      <c r="I22" s="138" t="s">
        <v>265</v>
      </c>
      <c r="J22" s="488" t="s">
        <v>266</v>
      </c>
      <c r="K22" s="488" t="s">
        <v>266</v>
      </c>
      <c r="L22" s="488" t="s">
        <v>266</v>
      </c>
      <c r="M22" s="488" t="s">
        <v>266</v>
      </c>
      <c r="N22" s="488" t="s">
        <v>266</v>
      </c>
      <c r="O22" s="488" t="s">
        <v>266</v>
      </c>
      <c r="P22" s="488" t="s">
        <v>266</v>
      </c>
      <c r="Q22" s="488" t="s">
        <v>266</v>
      </c>
      <c r="R22" s="865" t="s">
        <v>266</v>
      </c>
      <c r="S22" s="556" t="s">
        <v>266</v>
      </c>
      <c r="T22" s="865" t="s">
        <v>266</v>
      </c>
      <c r="U22" s="556" t="s">
        <v>266</v>
      </c>
      <c r="V22" s="865"/>
      <c r="W22" s="556" t="s">
        <v>266</v>
      </c>
      <c r="X22" s="865"/>
    </row>
    <row r="23" spans="2:24" ht="14.25" customHeight="1" x14ac:dyDescent="0.5">
      <c r="B23" s="1309"/>
      <c r="C23" s="1310"/>
      <c r="D23" s="1314"/>
      <c r="E23" s="1316"/>
      <c r="F23" s="143" t="s">
        <v>268</v>
      </c>
      <c r="G23" s="136"/>
      <c r="H23" s="136"/>
      <c r="I23" s="153" t="s">
        <v>265</v>
      </c>
      <c r="J23" s="488" t="s">
        <v>266</v>
      </c>
      <c r="K23" s="488" t="s">
        <v>266</v>
      </c>
      <c r="L23" s="488" t="s">
        <v>266</v>
      </c>
      <c r="M23" s="488" t="s">
        <v>266</v>
      </c>
      <c r="N23" s="488" t="s">
        <v>266</v>
      </c>
      <c r="O23" s="488" t="s">
        <v>266</v>
      </c>
      <c r="P23" s="488" t="s">
        <v>266</v>
      </c>
      <c r="Q23" s="488" t="s">
        <v>266</v>
      </c>
      <c r="R23" s="865" t="s">
        <v>266</v>
      </c>
      <c r="S23" s="556" t="s">
        <v>266</v>
      </c>
      <c r="T23" s="865" t="s">
        <v>266</v>
      </c>
      <c r="U23" s="556" t="s">
        <v>266</v>
      </c>
      <c r="V23" s="865"/>
      <c r="W23" s="556" t="s">
        <v>266</v>
      </c>
      <c r="X23" s="865"/>
    </row>
    <row r="24" spans="2:24" ht="21.75" customHeight="1" x14ac:dyDescent="0.5">
      <c r="B24" s="1309"/>
      <c r="C24" s="1310"/>
      <c r="D24" s="1314"/>
      <c r="E24" s="1316"/>
      <c r="F24" s="142" t="s">
        <v>269</v>
      </c>
      <c r="G24" s="137" t="s">
        <v>21</v>
      </c>
      <c r="H24" s="137"/>
      <c r="I24" s="138" t="s">
        <v>270</v>
      </c>
      <c r="J24" s="729" t="s">
        <v>151</v>
      </c>
      <c r="K24" s="729" t="s">
        <v>151</v>
      </c>
      <c r="L24" s="729" t="s">
        <v>151</v>
      </c>
      <c r="M24" s="729" t="s">
        <v>151</v>
      </c>
      <c r="N24" s="729" t="s">
        <v>151</v>
      </c>
      <c r="O24" s="729" t="s">
        <v>151</v>
      </c>
      <c r="P24" s="729" t="s">
        <v>151</v>
      </c>
      <c r="Q24" s="729" t="s">
        <v>151</v>
      </c>
      <c r="R24" s="866" t="s">
        <v>151</v>
      </c>
      <c r="S24" s="862" t="s">
        <v>151</v>
      </c>
      <c r="T24" s="866" t="s">
        <v>151</v>
      </c>
      <c r="U24" s="862" t="s">
        <v>151</v>
      </c>
      <c r="V24" s="866"/>
      <c r="W24" s="862" t="s">
        <v>151</v>
      </c>
      <c r="X24" s="866"/>
    </row>
    <row r="25" spans="2:24" ht="18" customHeight="1" x14ac:dyDescent="0.5">
      <c r="B25" s="1309"/>
      <c r="C25" s="1310"/>
      <c r="D25" s="1314"/>
      <c r="E25" s="1316"/>
      <c r="F25" s="143" t="s">
        <v>271</v>
      </c>
      <c r="G25" s="136" t="s">
        <v>137</v>
      </c>
      <c r="H25" s="136"/>
      <c r="I25" s="537" t="s">
        <v>272</v>
      </c>
      <c r="J25" s="728">
        <v>0.61</v>
      </c>
      <c r="K25" s="728">
        <v>0.61</v>
      </c>
      <c r="L25" s="728">
        <v>0.61</v>
      </c>
      <c r="M25" s="728">
        <v>0.61</v>
      </c>
      <c r="N25" s="728">
        <v>0.61</v>
      </c>
      <c r="O25" s="728">
        <v>0.61</v>
      </c>
      <c r="P25" s="728">
        <v>0.61</v>
      </c>
      <c r="Q25" s="728">
        <v>0.61</v>
      </c>
      <c r="R25" s="859">
        <v>0.60499999999999998</v>
      </c>
      <c r="S25" s="861">
        <v>0.61</v>
      </c>
      <c r="T25" s="859">
        <v>0.61</v>
      </c>
      <c r="U25" s="861">
        <v>0.6</v>
      </c>
      <c r="V25" s="859"/>
      <c r="W25" s="861">
        <v>0.6</v>
      </c>
      <c r="X25" s="859"/>
    </row>
    <row r="26" spans="2:24" ht="18" customHeight="1" x14ac:dyDescent="0.5">
      <c r="B26" s="1309"/>
      <c r="C26" s="1310"/>
      <c r="D26" s="1314"/>
      <c r="E26" s="1316"/>
      <c r="F26" s="142" t="s">
        <v>273</v>
      </c>
      <c r="G26" s="137" t="s">
        <v>137</v>
      </c>
      <c r="H26" s="137"/>
      <c r="I26" s="536" t="s">
        <v>272</v>
      </c>
      <c r="J26" s="728">
        <v>0.61</v>
      </c>
      <c r="K26" s="728">
        <v>0.61</v>
      </c>
      <c r="L26" s="728">
        <v>0.61</v>
      </c>
      <c r="M26" s="728">
        <v>0.61</v>
      </c>
      <c r="N26" s="728">
        <v>0.61</v>
      </c>
      <c r="O26" s="728">
        <v>0.61</v>
      </c>
      <c r="P26" s="728">
        <v>0.61</v>
      </c>
      <c r="Q26" s="728">
        <v>0.61</v>
      </c>
      <c r="R26" s="859">
        <v>0.61</v>
      </c>
      <c r="S26" s="861">
        <v>0.61</v>
      </c>
      <c r="T26" s="859">
        <v>0.61</v>
      </c>
      <c r="U26" s="861">
        <v>0.62</v>
      </c>
      <c r="V26" s="859"/>
      <c r="W26" s="861">
        <v>0.61</v>
      </c>
      <c r="X26" s="859"/>
    </row>
    <row r="27" spans="2:24" ht="18" customHeight="1" x14ac:dyDescent="0.5">
      <c r="B27" s="1309"/>
      <c r="C27" s="1310"/>
      <c r="D27" s="1314"/>
      <c r="E27" s="1316"/>
      <c r="F27" s="143" t="s">
        <v>274</v>
      </c>
      <c r="G27" s="136" t="s">
        <v>137</v>
      </c>
      <c r="H27" s="136"/>
      <c r="I27" s="537" t="s">
        <v>272</v>
      </c>
      <c r="J27" s="728">
        <v>0.6</v>
      </c>
      <c r="K27" s="728">
        <v>0.6</v>
      </c>
      <c r="L27" s="728">
        <v>0.6</v>
      </c>
      <c r="M27" s="728">
        <v>0.61</v>
      </c>
      <c r="N27" s="728">
        <v>0.61</v>
      </c>
      <c r="O27" s="728">
        <v>0.61</v>
      </c>
      <c r="P27" s="728">
        <v>0.61</v>
      </c>
      <c r="Q27" s="728">
        <v>0.6</v>
      </c>
      <c r="R27" s="859">
        <v>0.6</v>
      </c>
      <c r="S27" s="861">
        <v>0.6</v>
      </c>
      <c r="T27" s="859">
        <v>0.61</v>
      </c>
      <c r="U27" s="861">
        <v>0.6</v>
      </c>
      <c r="V27" s="859"/>
      <c r="W27" s="861">
        <v>0.6</v>
      </c>
      <c r="X27" s="859"/>
    </row>
    <row r="28" spans="2:24" ht="15" customHeight="1" x14ac:dyDescent="0.5">
      <c r="B28" s="1309"/>
      <c r="C28" s="1310"/>
      <c r="D28" s="1314"/>
      <c r="E28" s="1316"/>
      <c r="F28" s="142" t="s">
        <v>275</v>
      </c>
      <c r="G28" s="137" t="s">
        <v>21</v>
      </c>
      <c r="H28" s="137"/>
      <c r="I28" s="138" t="s">
        <v>276</v>
      </c>
      <c r="J28" s="488" t="s">
        <v>200</v>
      </c>
      <c r="K28" s="488" t="s">
        <v>200</v>
      </c>
      <c r="L28" s="488" t="s">
        <v>200</v>
      </c>
      <c r="M28" s="488" t="s">
        <v>200</v>
      </c>
      <c r="N28" s="488" t="s">
        <v>200</v>
      </c>
      <c r="O28" s="488" t="s">
        <v>200</v>
      </c>
      <c r="P28" s="488" t="s">
        <v>200</v>
      </c>
      <c r="Q28" s="488" t="s">
        <v>200</v>
      </c>
      <c r="R28" s="865" t="s">
        <v>200</v>
      </c>
      <c r="S28" s="556" t="s">
        <v>200</v>
      </c>
      <c r="T28" s="865" t="s">
        <v>200</v>
      </c>
      <c r="U28" s="556" t="s">
        <v>200</v>
      </c>
      <c r="V28" s="865"/>
      <c r="W28" s="556" t="s">
        <v>200</v>
      </c>
      <c r="X28" s="865"/>
    </row>
    <row r="29" spans="2:24" ht="15" customHeight="1" x14ac:dyDescent="0.5">
      <c r="B29" s="1309"/>
      <c r="C29" s="1310"/>
      <c r="D29" s="1314"/>
      <c r="E29" s="1316"/>
      <c r="F29" s="143" t="s">
        <v>277</v>
      </c>
      <c r="G29" s="136"/>
      <c r="H29" s="136"/>
      <c r="I29" s="153" t="s">
        <v>278</v>
      </c>
      <c r="J29" s="488">
        <v>536</v>
      </c>
      <c r="K29" s="488">
        <v>536</v>
      </c>
      <c r="L29" s="488">
        <v>536</v>
      </c>
      <c r="M29" s="488">
        <v>536</v>
      </c>
      <c r="N29" s="488">
        <v>536</v>
      </c>
      <c r="O29" s="488">
        <v>536</v>
      </c>
      <c r="P29" s="488">
        <v>536</v>
      </c>
      <c r="Q29" s="488">
        <v>536</v>
      </c>
      <c r="R29" s="865">
        <v>536</v>
      </c>
      <c r="S29" s="556">
        <v>536</v>
      </c>
      <c r="T29" s="865">
        <v>536</v>
      </c>
      <c r="U29" s="556">
        <v>536</v>
      </c>
      <c r="V29" s="865"/>
      <c r="W29" s="556">
        <v>536</v>
      </c>
      <c r="X29" s="865"/>
    </row>
    <row r="30" spans="2:24" ht="15" customHeight="1" x14ac:dyDescent="0.5">
      <c r="B30" s="1309"/>
      <c r="C30" s="1310"/>
      <c r="D30" s="1314"/>
      <c r="E30" s="1316"/>
      <c r="F30" s="143" t="s">
        <v>277</v>
      </c>
      <c r="G30" s="136"/>
      <c r="H30" s="136"/>
      <c r="I30" s="153" t="s">
        <v>279</v>
      </c>
      <c r="J30" s="488">
        <v>382</v>
      </c>
      <c r="K30" s="488">
        <v>382</v>
      </c>
      <c r="L30" s="488">
        <v>382</v>
      </c>
      <c r="M30" s="488">
        <v>382</v>
      </c>
      <c r="N30" s="488">
        <v>382</v>
      </c>
      <c r="O30" s="488">
        <v>382</v>
      </c>
      <c r="P30" s="488">
        <v>382</v>
      </c>
      <c r="Q30" s="488">
        <v>382</v>
      </c>
      <c r="R30" s="865">
        <v>382</v>
      </c>
      <c r="S30" s="556">
        <v>382</v>
      </c>
      <c r="T30" s="865">
        <v>382</v>
      </c>
      <c r="U30" s="556">
        <v>382</v>
      </c>
      <c r="V30" s="865"/>
      <c r="W30" s="556">
        <v>382</v>
      </c>
      <c r="X30" s="865"/>
    </row>
    <row r="31" spans="2:24" ht="14.25" customHeight="1" x14ac:dyDescent="0.5">
      <c r="B31" s="1309"/>
      <c r="C31" s="1310"/>
      <c r="D31" s="1314"/>
      <c r="E31" s="1316"/>
      <c r="F31" s="142" t="s">
        <v>280</v>
      </c>
      <c r="G31" s="137"/>
      <c r="H31" s="137"/>
      <c r="I31" s="138" t="s">
        <v>265</v>
      </c>
      <c r="J31" s="488" t="s">
        <v>266</v>
      </c>
      <c r="K31" s="488" t="s">
        <v>266</v>
      </c>
      <c r="L31" s="488" t="s">
        <v>266</v>
      </c>
      <c r="M31" s="488" t="s">
        <v>266</v>
      </c>
      <c r="N31" s="488" t="s">
        <v>266</v>
      </c>
      <c r="O31" s="488" t="s">
        <v>266</v>
      </c>
      <c r="P31" s="488" t="s">
        <v>266</v>
      </c>
      <c r="Q31" s="488" t="s">
        <v>266</v>
      </c>
      <c r="R31" s="865" t="s">
        <v>266</v>
      </c>
      <c r="S31" s="556" t="s">
        <v>266</v>
      </c>
      <c r="T31" s="865" t="s">
        <v>266</v>
      </c>
      <c r="U31" s="556" t="s">
        <v>266</v>
      </c>
      <c r="V31" s="865"/>
      <c r="W31" s="556" t="s">
        <v>266</v>
      </c>
      <c r="X31" s="865"/>
    </row>
    <row r="32" spans="2:24" ht="15" customHeight="1" x14ac:dyDescent="0.5">
      <c r="B32" s="1309"/>
      <c r="C32" s="1310"/>
      <c r="D32" s="1314"/>
      <c r="E32" s="1316"/>
      <c r="F32" s="143" t="s">
        <v>281</v>
      </c>
      <c r="G32" s="136"/>
      <c r="H32" s="136"/>
      <c r="I32" s="153" t="s">
        <v>265</v>
      </c>
      <c r="J32" s="488" t="s">
        <v>266</v>
      </c>
      <c r="K32" s="488" t="s">
        <v>266</v>
      </c>
      <c r="L32" s="488" t="s">
        <v>266</v>
      </c>
      <c r="M32" s="488" t="s">
        <v>266</v>
      </c>
      <c r="N32" s="488" t="s">
        <v>266</v>
      </c>
      <c r="O32" s="488" t="s">
        <v>266</v>
      </c>
      <c r="P32" s="488" t="s">
        <v>266</v>
      </c>
      <c r="Q32" s="488" t="s">
        <v>266</v>
      </c>
      <c r="R32" s="865" t="s">
        <v>266</v>
      </c>
      <c r="S32" s="556" t="s">
        <v>266</v>
      </c>
      <c r="T32" s="865" t="s">
        <v>266</v>
      </c>
      <c r="U32" s="556" t="s">
        <v>266</v>
      </c>
      <c r="V32" s="865"/>
      <c r="W32" s="556" t="s">
        <v>266</v>
      </c>
      <c r="X32" s="865"/>
    </row>
    <row r="33" spans="2:24" ht="15" customHeight="1" x14ac:dyDescent="0.5">
      <c r="B33" s="1309"/>
      <c r="C33" s="1310"/>
      <c r="D33" s="1314"/>
      <c r="E33" s="1316"/>
      <c r="F33" s="142" t="s">
        <v>282</v>
      </c>
      <c r="G33" s="137"/>
      <c r="H33" s="137"/>
      <c r="I33" s="138" t="s">
        <v>265</v>
      </c>
      <c r="J33" s="488" t="s">
        <v>266</v>
      </c>
      <c r="K33" s="488" t="s">
        <v>266</v>
      </c>
      <c r="L33" s="488" t="s">
        <v>266</v>
      </c>
      <c r="M33" s="488" t="s">
        <v>266</v>
      </c>
      <c r="N33" s="488" t="s">
        <v>266</v>
      </c>
      <c r="O33" s="488" t="s">
        <v>266</v>
      </c>
      <c r="P33" s="488" t="s">
        <v>266</v>
      </c>
      <c r="Q33" s="488" t="s">
        <v>266</v>
      </c>
      <c r="R33" s="865" t="s">
        <v>266</v>
      </c>
      <c r="S33" s="556" t="s">
        <v>266</v>
      </c>
      <c r="T33" s="865" t="s">
        <v>266</v>
      </c>
      <c r="U33" s="556" t="s">
        <v>266</v>
      </c>
      <c r="V33" s="865"/>
      <c r="W33" s="556" t="s">
        <v>266</v>
      </c>
      <c r="X33" s="865"/>
    </row>
    <row r="34" spans="2:24" ht="14.25" customHeight="1" x14ac:dyDescent="0.5">
      <c r="B34" s="1309"/>
      <c r="C34" s="1310"/>
      <c r="D34" s="1314"/>
      <c r="E34" s="1316"/>
      <c r="F34" s="143" t="s">
        <v>283</v>
      </c>
      <c r="G34" s="136" t="s">
        <v>39</v>
      </c>
      <c r="H34" s="136"/>
      <c r="I34" s="153"/>
      <c r="J34" s="488">
        <v>58</v>
      </c>
      <c r="K34" s="488">
        <v>57</v>
      </c>
      <c r="L34" s="488">
        <v>59</v>
      </c>
      <c r="M34" s="488">
        <v>58</v>
      </c>
      <c r="N34" s="488">
        <v>58</v>
      </c>
      <c r="O34" s="488">
        <v>53</v>
      </c>
      <c r="P34" s="488">
        <v>56</v>
      </c>
      <c r="Q34" s="488">
        <v>58</v>
      </c>
      <c r="R34" s="865">
        <v>60</v>
      </c>
      <c r="S34" s="556">
        <v>59</v>
      </c>
      <c r="T34" s="865">
        <v>59</v>
      </c>
      <c r="U34" s="556">
        <v>46</v>
      </c>
      <c r="V34" s="865"/>
      <c r="W34" s="556">
        <v>54</v>
      </c>
      <c r="X34" s="865"/>
    </row>
    <row r="35" spans="2:24" ht="15" customHeight="1" x14ac:dyDescent="0.5">
      <c r="B35" s="1309"/>
      <c r="C35" s="1310"/>
      <c r="D35" s="1314"/>
      <c r="E35" s="1316"/>
      <c r="F35" s="142" t="s">
        <v>284</v>
      </c>
      <c r="G35" s="137" t="s">
        <v>39</v>
      </c>
      <c r="H35" s="137"/>
      <c r="I35" s="138"/>
      <c r="J35" s="488">
        <v>70</v>
      </c>
      <c r="K35" s="488">
        <v>69</v>
      </c>
      <c r="L35" s="488">
        <v>69</v>
      </c>
      <c r="M35" s="488">
        <v>68</v>
      </c>
      <c r="N35" s="488">
        <v>68</v>
      </c>
      <c r="O35" s="488">
        <v>70</v>
      </c>
      <c r="P35" s="488">
        <v>72</v>
      </c>
      <c r="Q35" s="488">
        <v>70</v>
      </c>
      <c r="R35" s="865">
        <v>75</v>
      </c>
      <c r="S35" s="556">
        <v>72</v>
      </c>
      <c r="T35" s="865">
        <v>72</v>
      </c>
      <c r="U35" s="556">
        <v>71</v>
      </c>
      <c r="V35" s="865"/>
      <c r="W35" s="556">
        <v>70</v>
      </c>
      <c r="X35" s="865"/>
    </row>
    <row r="36" spans="2:24" ht="15" customHeight="1" x14ac:dyDescent="0.5">
      <c r="B36" s="1309"/>
      <c r="C36" s="1310"/>
      <c r="D36" s="1314"/>
      <c r="E36" s="1316"/>
      <c r="F36" s="143" t="s">
        <v>285</v>
      </c>
      <c r="G36" s="136" t="s">
        <v>21</v>
      </c>
      <c r="H36" s="136" t="s">
        <v>286</v>
      </c>
      <c r="I36" s="153" t="s">
        <v>276</v>
      </c>
      <c r="J36" s="488" t="s">
        <v>200</v>
      </c>
      <c r="K36" s="488" t="s">
        <v>200</v>
      </c>
      <c r="L36" s="488" t="s">
        <v>200</v>
      </c>
      <c r="M36" s="488" t="s">
        <v>200</v>
      </c>
      <c r="N36" s="488" t="s">
        <v>200</v>
      </c>
      <c r="O36" s="488" t="s">
        <v>200</v>
      </c>
      <c r="P36" s="488" t="s">
        <v>200</v>
      </c>
      <c r="Q36" s="488" t="s">
        <v>200</v>
      </c>
      <c r="R36" s="865" t="s">
        <v>200</v>
      </c>
      <c r="S36" s="556" t="s">
        <v>200</v>
      </c>
      <c r="T36" s="865" t="s">
        <v>200</v>
      </c>
      <c r="U36" s="556" t="s">
        <v>200</v>
      </c>
      <c r="V36" s="865"/>
      <c r="W36" s="556" t="s">
        <v>200</v>
      </c>
      <c r="X36" s="865"/>
    </row>
    <row r="37" spans="2:24" ht="15" customHeight="1" x14ac:dyDescent="0.5">
      <c r="B37" s="1309"/>
      <c r="C37" s="1310"/>
      <c r="D37" s="1314"/>
      <c r="E37" s="1316"/>
      <c r="F37" s="142" t="s">
        <v>287</v>
      </c>
      <c r="G37" s="137" t="s">
        <v>288</v>
      </c>
      <c r="H37" s="137"/>
      <c r="I37" s="138"/>
      <c r="J37" s="488">
        <v>6.4</v>
      </c>
      <c r="K37" s="488">
        <v>6.4</v>
      </c>
      <c r="L37" s="488">
        <v>6.4</v>
      </c>
      <c r="M37" s="488">
        <v>6.4</v>
      </c>
      <c r="N37" s="488">
        <v>6.4</v>
      </c>
      <c r="O37" s="488">
        <v>6.4</v>
      </c>
      <c r="P37" s="488">
        <v>6.4</v>
      </c>
      <c r="Q37" s="488">
        <v>6.4</v>
      </c>
      <c r="R37" s="865">
        <v>6.4</v>
      </c>
      <c r="S37" s="556">
        <v>6.4</v>
      </c>
      <c r="T37" s="865">
        <v>6.4</v>
      </c>
      <c r="U37" s="556">
        <v>6.3</v>
      </c>
      <c r="V37" s="865"/>
      <c r="W37" s="556">
        <v>6.3</v>
      </c>
      <c r="X37" s="865"/>
    </row>
    <row r="38" spans="2:24" ht="15" customHeight="1" thickBot="1" x14ac:dyDescent="0.55000000000000004">
      <c r="B38" s="1309"/>
      <c r="C38" s="1310"/>
      <c r="D38" s="1314"/>
      <c r="E38" s="1317"/>
      <c r="F38" s="143" t="s">
        <v>289</v>
      </c>
      <c r="G38" s="136"/>
      <c r="H38" s="136"/>
      <c r="I38" s="153" t="s">
        <v>174</v>
      </c>
      <c r="J38" s="491" t="s">
        <v>154</v>
      </c>
      <c r="K38" s="491" t="s">
        <v>154</v>
      </c>
      <c r="L38" s="491" t="s">
        <v>154</v>
      </c>
      <c r="M38" s="491" t="s">
        <v>154</v>
      </c>
      <c r="N38" s="491" t="s">
        <v>154</v>
      </c>
      <c r="O38" s="491" t="s">
        <v>154</v>
      </c>
      <c r="P38" s="491" t="s">
        <v>154</v>
      </c>
      <c r="Q38" s="491" t="s">
        <v>154</v>
      </c>
      <c r="R38" s="867" t="s">
        <v>154</v>
      </c>
      <c r="S38" s="558" t="s">
        <v>154</v>
      </c>
      <c r="T38" s="867" t="s">
        <v>154</v>
      </c>
      <c r="U38" s="558" t="s">
        <v>154</v>
      </c>
      <c r="V38" s="867"/>
      <c r="W38" s="558" t="s">
        <v>154</v>
      </c>
      <c r="X38" s="867"/>
    </row>
    <row r="39" spans="2:24" ht="15" customHeight="1" x14ac:dyDescent="0.5">
      <c r="B39" s="1309"/>
      <c r="C39" s="1310"/>
      <c r="D39" s="1314"/>
      <c r="E39" s="1318" t="s">
        <v>290</v>
      </c>
      <c r="F39" s="185" t="s">
        <v>291</v>
      </c>
      <c r="G39" s="132" t="s">
        <v>39</v>
      </c>
      <c r="H39" s="132"/>
      <c r="I39" s="157"/>
      <c r="J39" s="492">
        <v>21</v>
      </c>
      <c r="K39" s="492">
        <v>20</v>
      </c>
      <c r="L39" s="492">
        <v>21</v>
      </c>
      <c r="M39" s="492">
        <v>24</v>
      </c>
      <c r="N39" s="492">
        <v>24</v>
      </c>
      <c r="O39" s="492">
        <v>20</v>
      </c>
      <c r="P39" s="492">
        <v>22</v>
      </c>
      <c r="Q39" s="492">
        <v>21</v>
      </c>
      <c r="R39" s="864">
        <v>28</v>
      </c>
      <c r="S39" s="555">
        <v>24</v>
      </c>
      <c r="T39" s="864">
        <v>24</v>
      </c>
      <c r="U39" s="555">
        <v>22</v>
      </c>
      <c r="V39" s="864"/>
      <c r="W39" s="555">
        <v>20</v>
      </c>
      <c r="X39" s="864"/>
    </row>
    <row r="40" spans="2:24" ht="15" customHeight="1" x14ac:dyDescent="0.5">
      <c r="B40" s="1309"/>
      <c r="C40" s="1310"/>
      <c r="D40" s="1314"/>
      <c r="E40" s="1316"/>
      <c r="F40" s="143" t="s">
        <v>292</v>
      </c>
      <c r="G40" s="136" t="s">
        <v>21</v>
      </c>
      <c r="H40" s="136" t="s">
        <v>286</v>
      </c>
      <c r="I40" s="153" t="s">
        <v>276</v>
      </c>
      <c r="J40" s="488" t="s">
        <v>200</v>
      </c>
      <c r="K40" s="488" t="s">
        <v>200</v>
      </c>
      <c r="L40" s="488" t="s">
        <v>200</v>
      </c>
      <c r="M40" s="488" t="s">
        <v>200</v>
      </c>
      <c r="N40" s="488" t="s">
        <v>200</v>
      </c>
      <c r="O40" s="488" t="s">
        <v>200</v>
      </c>
      <c r="P40" s="488" t="s">
        <v>200</v>
      </c>
      <c r="Q40" s="488" t="s">
        <v>200</v>
      </c>
      <c r="R40" s="865" t="s">
        <v>200</v>
      </c>
      <c r="S40" s="556" t="s">
        <v>200</v>
      </c>
      <c r="T40" s="865" t="s">
        <v>200</v>
      </c>
      <c r="U40" s="556" t="s">
        <v>200</v>
      </c>
      <c r="V40" s="865"/>
      <c r="W40" s="556" t="s">
        <v>200</v>
      </c>
      <c r="X40" s="865"/>
    </row>
    <row r="41" spans="2:24" ht="15" customHeight="1" x14ac:dyDescent="0.5">
      <c r="B41" s="1309"/>
      <c r="C41" s="1310"/>
      <c r="D41" s="1314"/>
      <c r="E41" s="1316"/>
      <c r="F41" s="142" t="s">
        <v>293</v>
      </c>
      <c r="G41" s="137" t="s">
        <v>288</v>
      </c>
      <c r="H41" s="137"/>
      <c r="I41" s="138"/>
      <c r="J41" s="488">
        <v>3.7</v>
      </c>
      <c r="K41" s="488">
        <v>3.7</v>
      </c>
      <c r="L41" s="488">
        <v>3.7</v>
      </c>
      <c r="M41" s="488">
        <v>3.7</v>
      </c>
      <c r="N41" s="488">
        <v>3.7</v>
      </c>
      <c r="O41" s="488">
        <v>3.5</v>
      </c>
      <c r="P41" s="488">
        <v>3.6</v>
      </c>
      <c r="Q41" s="488">
        <v>3.7</v>
      </c>
      <c r="R41" s="865">
        <v>3.6</v>
      </c>
      <c r="S41" s="556">
        <v>3.7</v>
      </c>
      <c r="T41" s="865">
        <v>3.5</v>
      </c>
      <c r="U41" s="556">
        <v>3.5</v>
      </c>
      <c r="V41" s="865"/>
      <c r="W41" s="556">
        <v>3.5</v>
      </c>
      <c r="X41" s="865"/>
    </row>
    <row r="42" spans="2:24" ht="15" customHeight="1" x14ac:dyDescent="0.5">
      <c r="B42" s="1309"/>
      <c r="C42" s="1310"/>
      <c r="D42" s="1314"/>
      <c r="E42" s="1316"/>
      <c r="F42" s="143" t="s">
        <v>289</v>
      </c>
      <c r="G42" s="136"/>
      <c r="H42" s="136"/>
      <c r="I42" s="153" t="s">
        <v>174</v>
      </c>
      <c r="J42" s="488" t="s">
        <v>154</v>
      </c>
      <c r="K42" s="488" t="s">
        <v>154</v>
      </c>
      <c r="L42" s="488" t="s">
        <v>154</v>
      </c>
      <c r="M42" s="488" t="s">
        <v>154</v>
      </c>
      <c r="N42" s="488" t="s">
        <v>154</v>
      </c>
      <c r="O42" s="488" t="s">
        <v>154</v>
      </c>
      <c r="P42" s="488" t="s">
        <v>154</v>
      </c>
      <c r="Q42" s="488" t="s">
        <v>154</v>
      </c>
      <c r="R42" s="865" t="s">
        <v>154</v>
      </c>
      <c r="S42" s="556" t="s">
        <v>154</v>
      </c>
      <c r="T42" s="865" t="s">
        <v>154</v>
      </c>
      <c r="U42" s="556" t="s">
        <v>154</v>
      </c>
      <c r="V42" s="865"/>
      <c r="W42" s="556" t="s">
        <v>154</v>
      </c>
      <c r="X42" s="865"/>
    </row>
    <row r="43" spans="2:24" ht="15" customHeight="1" x14ac:dyDescent="0.5">
      <c r="B43" s="1309"/>
      <c r="C43" s="1310"/>
      <c r="D43" s="1314"/>
      <c r="E43" s="1316"/>
      <c r="F43" s="142" t="s">
        <v>294</v>
      </c>
      <c r="G43" s="137"/>
      <c r="H43" s="137"/>
      <c r="I43" s="138"/>
      <c r="J43" s="488">
        <v>28</v>
      </c>
      <c r="K43" s="488">
        <v>28</v>
      </c>
      <c r="L43" s="488">
        <v>28</v>
      </c>
      <c r="M43" s="488">
        <v>28</v>
      </c>
      <c r="N43" s="488">
        <v>28</v>
      </c>
      <c r="O43" s="488">
        <v>28</v>
      </c>
      <c r="P43" s="488">
        <v>28</v>
      </c>
      <c r="Q43" s="488">
        <v>28</v>
      </c>
      <c r="R43" s="865">
        <v>28</v>
      </c>
      <c r="S43" s="556">
        <v>28</v>
      </c>
      <c r="T43" s="865">
        <v>28</v>
      </c>
      <c r="U43" s="556">
        <v>28</v>
      </c>
      <c r="V43" s="865"/>
      <c r="W43" s="556">
        <v>28</v>
      </c>
      <c r="X43" s="865"/>
    </row>
    <row r="44" spans="2:24" ht="15" customHeight="1" thickBot="1" x14ac:dyDescent="0.55000000000000004">
      <c r="B44" s="1311"/>
      <c r="C44" s="1312"/>
      <c r="D44" s="1315"/>
      <c r="E44" s="1317"/>
      <c r="F44" s="184" t="s">
        <v>259</v>
      </c>
      <c r="G44" s="148" t="s">
        <v>260</v>
      </c>
      <c r="H44" s="148"/>
      <c r="I44" s="149"/>
      <c r="J44" s="728">
        <v>0.1</v>
      </c>
      <c r="K44" s="728">
        <v>0.1</v>
      </c>
      <c r="L44" s="728">
        <v>0.1</v>
      </c>
      <c r="M44" s="728">
        <v>0.1</v>
      </c>
      <c r="N44" s="728">
        <v>0.1</v>
      </c>
      <c r="O44" s="728">
        <v>0.1</v>
      </c>
      <c r="P44" s="728">
        <v>0.1</v>
      </c>
      <c r="Q44" s="728">
        <v>0.1</v>
      </c>
      <c r="R44" s="859">
        <v>0.1</v>
      </c>
      <c r="S44" s="861">
        <v>0.1</v>
      </c>
      <c r="T44" s="859">
        <v>0.1</v>
      </c>
      <c r="U44" s="861">
        <v>0.1</v>
      </c>
      <c r="V44" s="859"/>
      <c r="W44" s="861">
        <v>0.1</v>
      </c>
      <c r="X44" s="859"/>
    </row>
    <row r="45" spans="2:24" ht="17.25" customHeight="1" x14ac:dyDescent="0.5">
      <c r="B45" s="1307" t="s">
        <v>295</v>
      </c>
      <c r="C45" s="1308"/>
      <c r="D45" s="1282" t="s">
        <v>296</v>
      </c>
      <c r="E45" s="1319" t="s">
        <v>297</v>
      </c>
      <c r="F45" s="30" t="s">
        <v>298</v>
      </c>
      <c r="G45" s="27" t="s">
        <v>77</v>
      </c>
      <c r="H45" s="27"/>
      <c r="I45" s="79"/>
      <c r="J45" s="488">
        <v>0</v>
      </c>
      <c r="K45" s="488">
        <v>0</v>
      </c>
      <c r="L45" s="488">
        <v>0</v>
      </c>
      <c r="M45" s="488">
        <v>0</v>
      </c>
      <c r="N45" s="488">
        <v>0</v>
      </c>
      <c r="O45" s="488">
        <v>0</v>
      </c>
      <c r="P45" s="488">
        <v>0</v>
      </c>
      <c r="Q45" s="488">
        <v>0</v>
      </c>
      <c r="R45" s="865">
        <v>0</v>
      </c>
      <c r="S45" s="556">
        <v>0</v>
      </c>
      <c r="T45" s="865">
        <v>0</v>
      </c>
      <c r="U45" s="556">
        <v>0</v>
      </c>
      <c r="V45" s="865"/>
      <c r="W45" s="556">
        <v>0</v>
      </c>
      <c r="X45" s="865"/>
    </row>
    <row r="46" spans="2:24" ht="16.5" customHeight="1" thickBot="1" x14ac:dyDescent="0.55000000000000004">
      <c r="B46" s="1309"/>
      <c r="C46" s="1310"/>
      <c r="D46" s="1284"/>
      <c r="E46" s="1287"/>
      <c r="F46" s="20" t="s">
        <v>299</v>
      </c>
      <c r="G46" s="21"/>
      <c r="H46" s="21"/>
      <c r="I46" s="197" t="s">
        <v>174</v>
      </c>
      <c r="J46" s="490" t="s">
        <v>154</v>
      </c>
      <c r="K46" s="490" t="s">
        <v>154</v>
      </c>
      <c r="L46" s="490" t="s">
        <v>154</v>
      </c>
      <c r="M46" s="490" t="s">
        <v>154</v>
      </c>
      <c r="N46" s="490" t="s">
        <v>154</v>
      </c>
      <c r="O46" s="490" t="s">
        <v>154</v>
      </c>
      <c r="P46" s="490" t="s">
        <v>154</v>
      </c>
      <c r="Q46" s="490" t="s">
        <v>154</v>
      </c>
      <c r="R46" s="868" t="s">
        <v>154</v>
      </c>
      <c r="S46" s="557" t="s">
        <v>154</v>
      </c>
      <c r="T46" s="868" t="s">
        <v>154</v>
      </c>
      <c r="U46" s="557" t="s">
        <v>154</v>
      </c>
      <c r="V46" s="868"/>
      <c r="W46" s="557" t="s">
        <v>154</v>
      </c>
      <c r="X46" s="868"/>
    </row>
    <row r="47" spans="2:24" ht="17.25" customHeight="1" x14ac:dyDescent="0.5">
      <c r="B47" s="1309"/>
      <c r="C47" s="1310"/>
      <c r="D47" s="1282" t="s">
        <v>300</v>
      </c>
      <c r="E47" s="1285" t="s">
        <v>301</v>
      </c>
      <c r="F47" s="699" t="s">
        <v>302</v>
      </c>
      <c r="G47" s="11"/>
      <c r="H47" s="11"/>
      <c r="I47" s="37"/>
      <c r="J47" s="488">
        <v>73</v>
      </c>
      <c r="K47" s="488">
        <v>73</v>
      </c>
      <c r="L47" s="488">
        <v>73</v>
      </c>
      <c r="M47" s="488">
        <v>73</v>
      </c>
      <c r="N47" s="488">
        <v>73</v>
      </c>
      <c r="O47" s="488">
        <v>73</v>
      </c>
      <c r="P47" s="488">
        <v>73</v>
      </c>
      <c r="Q47" s="488">
        <v>73</v>
      </c>
      <c r="R47" s="865">
        <v>73</v>
      </c>
      <c r="S47" s="556">
        <v>73</v>
      </c>
      <c r="T47" s="865">
        <v>73</v>
      </c>
      <c r="U47" s="556">
        <v>73</v>
      </c>
      <c r="V47" s="865"/>
      <c r="W47" s="556">
        <v>73</v>
      </c>
      <c r="X47" s="865"/>
    </row>
    <row r="48" spans="2:24" ht="17.25" customHeight="1" x14ac:dyDescent="0.5">
      <c r="B48" s="1309"/>
      <c r="C48" s="1310"/>
      <c r="D48" s="1320"/>
      <c r="E48" s="1319"/>
      <c r="F48" s="7" t="s">
        <v>303</v>
      </c>
      <c r="G48" s="27"/>
      <c r="H48" s="27"/>
      <c r="I48" s="79"/>
      <c r="J48" s="488">
        <v>126</v>
      </c>
      <c r="K48" s="488">
        <v>126</v>
      </c>
      <c r="L48" s="488">
        <v>126</v>
      </c>
      <c r="M48" s="488">
        <v>126</v>
      </c>
      <c r="N48" s="488">
        <v>126</v>
      </c>
      <c r="O48" s="488">
        <v>126</v>
      </c>
      <c r="P48" s="488">
        <v>127</v>
      </c>
      <c r="Q48" s="488">
        <v>127</v>
      </c>
      <c r="R48" s="865">
        <v>128</v>
      </c>
      <c r="S48" s="556">
        <v>128</v>
      </c>
      <c r="T48" s="865">
        <v>128</v>
      </c>
      <c r="U48" s="556">
        <v>128</v>
      </c>
      <c r="V48" s="865"/>
      <c r="W48" s="556">
        <v>128</v>
      </c>
      <c r="X48" s="865"/>
    </row>
    <row r="49" spans="2:24" ht="20.25" x14ac:dyDescent="0.5">
      <c r="B49" s="1309"/>
      <c r="C49" s="1310"/>
      <c r="D49" s="1283"/>
      <c r="E49" s="1286"/>
      <c r="F49" s="18" t="s">
        <v>304</v>
      </c>
      <c r="G49" s="19"/>
      <c r="H49" s="19"/>
      <c r="I49" s="42" t="s">
        <v>305</v>
      </c>
      <c r="J49" s="488" t="s">
        <v>306</v>
      </c>
      <c r="K49" s="488" t="s">
        <v>306</v>
      </c>
      <c r="L49" s="488" t="s">
        <v>306</v>
      </c>
      <c r="M49" s="488" t="s">
        <v>306</v>
      </c>
      <c r="N49" s="488" t="s">
        <v>306</v>
      </c>
      <c r="O49" s="488" t="s">
        <v>306</v>
      </c>
      <c r="P49" s="488" t="s">
        <v>306</v>
      </c>
      <c r="Q49" s="488" t="s">
        <v>306</v>
      </c>
      <c r="R49" s="865" t="s">
        <v>306</v>
      </c>
      <c r="S49" s="556" t="s">
        <v>306</v>
      </c>
      <c r="T49" s="865" t="s">
        <v>306</v>
      </c>
      <c r="U49" s="556" t="s">
        <v>306</v>
      </c>
      <c r="V49" s="865"/>
      <c r="W49" s="556" t="s">
        <v>306</v>
      </c>
      <c r="X49" s="865"/>
    </row>
    <row r="50" spans="2:24" ht="17.25" customHeight="1" thickBot="1" x14ac:dyDescent="0.55000000000000004">
      <c r="B50" s="1309"/>
      <c r="C50" s="1310"/>
      <c r="D50" s="1284"/>
      <c r="E50" s="1287"/>
      <c r="F50" s="14" t="s">
        <v>307</v>
      </c>
      <c r="G50" s="12"/>
      <c r="H50" s="12"/>
      <c r="I50" s="78" t="s">
        <v>174</v>
      </c>
      <c r="J50" s="490" t="s">
        <v>154</v>
      </c>
      <c r="K50" s="490" t="s">
        <v>154</v>
      </c>
      <c r="L50" s="490" t="s">
        <v>154</v>
      </c>
      <c r="M50" s="490" t="s">
        <v>154</v>
      </c>
      <c r="N50" s="490" t="s">
        <v>154</v>
      </c>
      <c r="O50" s="490" t="s">
        <v>154</v>
      </c>
      <c r="P50" s="490" t="s">
        <v>154</v>
      </c>
      <c r="Q50" s="490" t="s">
        <v>154</v>
      </c>
      <c r="R50" s="868" t="s">
        <v>154</v>
      </c>
      <c r="S50" s="557" t="s">
        <v>154</v>
      </c>
      <c r="T50" s="868" t="s">
        <v>154</v>
      </c>
      <c r="U50" s="557" t="s">
        <v>154</v>
      </c>
      <c r="V50" s="868"/>
      <c r="W50" s="557" t="s">
        <v>154</v>
      </c>
      <c r="X50" s="868"/>
    </row>
    <row r="51" spans="2:24" ht="17.25" customHeight="1" x14ac:dyDescent="0.5">
      <c r="B51" s="1309"/>
      <c r="C51" s="1310"/>
      <c r="D51" s="1282" t="s">
        <v>257</v>
      </c>
      <c r="E51" s="1285" t="s">
        <v>308</v>
      </c>
      <c r="F51" s="13" t="s">
        <v>309</v>
      </c>
      <c r="G51" s="11"/>
      <c r="H51" s="11"/>
      <c r="I51" s="37"/>
      <c r="J51" s="488">
        <v>203</v>
      </c>
      <c r="K51" s="488">
        <v>203</v>
      </c>
      <c r="L51" s="488">
        <v>203</v>
      </c>
      <c r="M51" s="488">
        <v>203</v>
      </c>
      <c r="N51" s="488">
        <v>203</v>
      </c>
      <c r="O51" s="488">
        <v>203</v>
      </c>
      <c r="P51" s="488">
        <v>203</v>
      </c>
      <c r="Q51" s="488">
        <v>203</v>
      </c>
      <c r="R51" s="865">
        <v>203</v>
      </c>
      <c r="S51" s="556">
        <v>203</v>
      </c>
      <c r="T51" s="865">
        <v>203</v>
      </c>
      <c r="U51" s="556">
        <v>203</v>
      </c>
      <c r="V51" s="865"/>
      <c r="W51" s="556">
        <v>203</v>
      </c>
      <c r="X51" s="865"/>
    </row>
    <row r="52" spans="2:24" ht="21" customHeight="1" x14ac:dyDescent="0.5">
      <c r="B52" s="1309"/>
      <c r="C52" s="1310"/>
      <c r="D52" s="1283"/>
      <c r="E52" s="1286"/>
      <c r="F52" s="18" t="s">
        <v>310</v>
      </c>
      <c r="G52" s="19"/>
      <c r="H52" s="19"/>
      <c r="I52" s="42"/>
      <c r="J52" s="488">
        <v>195</v>
      </c>
      <c r="K52" s="488">
        <v>195</v>
      </c>
      <c r="L52" s="488">
        <v>195</v>
      </c>
      <c r="M52" s="488">
        <v>195</v>
      </c>
      <c r="N52" s="488">
        <v>195</v>
      </c>
      <c r="O52" s="488">
        <v>195</v>
      </c>
      <c r="P52" s="488">
        <v>195</v>
      </c>
      <c r="Q52" s="488">
        <v>195</v>
      </c>
      <c r="R52" s="865">
        <v>195</v>
      </c>
      <c r="S52" s="556">
        <v>195</v>
      </c>
      <c r="T52" s="865">
        <v>195</v>
      </c>
      <c r="U52" s="556">
        <v>195</v>
      </c>
      <c r="V52" s="865"/>
      <c r="W52" s="556">
        <v>195</v>
      </c>
      <c r="X52" s="865"/>
    </row>
    <row r="53" spans="2:24" ht="17.25" customHeight="1" x14ac:dyDescent="0.5">
      <c r="B53" s="1309"/>
      <c r="C53" s="1310"/>
      <c r="D53" s="1283"/>
      <c r="E53" s="1286"/>
      <c r="F53" s="698" t="s">
        <v>311</v>
      </c>
      <c r="G53" s="8"/>
      <c r="H53" s="8"/>
      <c r="I53" s="41"/>
      <c r="J53" s="488">
        <v>13</v>
      </c>
      <c r="K53" s="488">
        <v>13</v>
      </c>
      <c r="L53" s="488">
        <v>13</v>
      </c>
      <c r="M53" s="488">
        <v>13</v>
      </c>
      <c r="N53" s="488">
        <v>13</v>
      </c>
      <c r="O53" s="488">
        <v>13</v>
      </c>
      <c r="P53" s="488">
        <v>13</v>
      </c>
      <c r="Q53" s="488">
        <v>13</v>
      </c>
      <c r="R53" s="865">
        <v>13</v>
      </c>
      <c r="S53" s="556">
        <v>13</v>
      </c>
      <c r="T53" s="865">
        <v>13</v>
      </c>
      <c r="U53" s="556">
        <v>13</v>
      </c>
      <c r="V53" s="865"/>
      <c r="W53" s="556">
        <v>13</v>
      </c>
      <c r="X53" s="865"/>
    </row>
    <row r="54" spans="2:24" ht="17.25" customHeight="1" x14ac:dyDescent="0.5">
      <c r="B54" s="1309"/>
      <c r="C54" s="1310"/>
      <c r="D54" s="1283"/>
      <c r="E54" s="1286"/>
      <c r="F54" s="698" t="s">
        <v>312</v>
      </c>
      <c r="G54" s="8"/>
      <c r="H54" s="8"/>
      <c r="I54" s="41"/>
      <c r="J54" s="488">
        <v>334</v>
      </c>
      <c r="K54" s="488">
        <v>334</v>
      </c>
      <c r="L54" s="488">
        <v>334</v>
      </c>
      <c r="M54" s="488">
        <v>334</v>
      </c>
      <c r="N54" s="488">
        <v>334</v>
      </c>
      <c r="O54" s="488">
        <v>334</v>
      </c>
      <c r="P54" s="488">
        <v>334</v>
      </c>
      <c r="Q54" s="488">
        <v>334</v>
      </c>
      <c r="R54" s="865">
        <v>334</v>
      </c>
      <c r="S54" s="556">
        <v>334</v>
      </c>
      <c r="T54" s="865">
        <v>334</v>
      </c>
      <c r="U54" s="556">
        <v>334</v>
      </c>
      <c r="V54" s="865"/>
      <c r="W54" s="556">
        <v>334</v>
      </c>
      <c r="X54" s="865"/>
    </row>
    <row r="55" spans="2:24" ht="19.899999999999999" customHeight="1" x14ac:dyDescent="0.5">
      <c r="B55" s="1309"/>
      <c r="C55" s="1310"/>
      <c r="D55" s="1283"/>
      <c r="E55" s="1286"/>
      <c r="F55" s="7" t="s">
        <v>313</v>
      </c>
      <c r="G55" s="8"/>
      <c r="H55" s="8"/>
      <c r="I55" s="41"/>
      <c r="J55" s="488">
        <v>335</v>
      </c>
      <c r="K55" s="488">
        <v>335</v>
      </c>
      <c r="L55" s="488">
        <v>335</v>
      </c>
      <c r="M55" s="488">
        <v>335</v>
      </c>
      <c r="N55" s="488">
        <v>335</v>
      </c>
      <c r="O55" s="488">
        <v>335</v>
      </c>
      <c r="P55" s="488">
        <v>335</v>
      </c>
      <c r="Q55" s="488">
        <v>335</v>
      </c>
      <c r="R55" s="865">
        <v>335</v>
      </c>
      <c r="S55" s="556">
        <v>335</v>
      </c>
      <c r="T55" s="865">
        <v>335</v>
      </c>
      <c r="U55" s="556">
        <v>335</v>
      </c>
      <c r="V55" s="865"/>
      <c r="W55" s="556">
        <v>335</v>
      </c>
      <c r="X55" s="865"/>
    </row>
    <row r="56" spans="2:24" ht="17.25" customHeight="1" x14ac:dyDescent="0.5">
      <c r="B56" s="1309"/>
      <c r="C56" s="1310"/>
      <c r="D56" s="1283"/>
      <c r="E56" s="1286"/>
      <c r="F56" s="30" t="s">
        <v>314</v>
      </c>
      <c r="G56" s="8"/>
      <c r="H56" s="8"/>
      <c r="I56" s="41"/>
      <c r="J56" s="488">
        <v>334</v>
      </c>
      <c r="K56" s="488">
        <v>334</v>
      </c>
      <c r="L56" s="488">
        <v>334</v>
      </c>
      <c r="M56" s="488">
        <v>334</v>
      </c>
      <c r="N56" s="488">
        <v>334</v>
      </c>
      <c r="O56" s="488">
        <v>334</v>
      </c>
      <c r="P56" s="488">
        <v>334</v>
      </c>
      <c r="Q56" s="488">
        <v>334</v>
      </c>
      <c r="R56" s="865">
        <v>334</v>
      </c>
      <c r="S56" s="556">
        <v>334</v>
      </c>
      <c r="T56" s="865">
        <v>334</v>
      </c>
      <c r="U56" s="556">
        <v>334</v>
      </c>
      <c r="V56" s="865"/>
      <c r="W56" s="556">
        <v>334</v>
      </c>
      <c r="X56" s="865"/>
    </row>
    <row r="57" spans="2:24" ht="20.25" x14ac:dyDescent="0.5">
      <c r="B57" s="1309"/>
      <c r="C57" s="1310"/>
      <c r="D57" s="1283"/>
      <c r="E57" s="1286"/>
      <c r="F57" s="18" t="s">
        <v>304</v>
      </c>
      <c r="G57" s="19"/>
      <c r="H57" s="19"/>
      <c r="I57" s="42" t="s">
        <v>305</v>
      </c>
      <c r="J57" s="488" t="s">
        <v>306</v>
      </c>
      <c r="K57" s="488" t="s">
        <v>306</v>
      </c>
      <c r="L57" s="488" t="s">
        <v>306</v>
      </c>
      <c r="M57" s="488" t="s">
        <v>306</v>
      </c>
      <c r="N57" s="488" t="s">
        <v>306</v>
      </c>
      <c r="O57" s="488" t="s">
        <v>306</v>
      </c>
      <c r="P57" s="488" t="s">
        <v>306</v>
      </c>
      <c r="Q57" s="488" t="s">
        <v>306</v>
      </c>
      <c r="R57" s="865" t="s">
        <v>306</v>
      </c>
      <c r="S57" s="556" t="s">
        <v>306</v>
      </c>
      <c r="T57" s="865" t="s">
        <v>306</v>
      </c>
      <c r="U57" s="556" t="s">
        <v>306</v>
      </c>
      <c r="V57" s="865"/>
      <c r="W57" s="556" t="s">
        <v>306</v>
      </c>
      <c r="X57" s="865"/>
    </row>
    <row r="58" spans="2:24" ht="17.25" customHeight="1" thickBot="1" x14ac:dyDescent="0.55000000000000004">
      <c r="B58" s="1309"/>
      <c r="C58" s="1310"/>
      <c r="D58" s="1284"/>
      <c r="E58" s="1287"/>
      <c r="F58" s="14" t="s">
        <v>307</v>
      </c>
      <c r="G58" s="12"/>
      <c r="H58" s="12"/>
      <c r="I58" s="78" t="s">
        <v>174</v>
      </c>
      <c r="J58" s="490" t="s">
        <v>154</v>
      </c>
      <c r="K58" s="490" t="s">
        <v>154</v>
      </c>
      <c r="L58" s="490" t="s">
        <v>154</v>
      </c>
      <c r="M58" s="490" t="s">
        <v>154</v>
      </c>
      <c r="N58" s="490" t="s">
        <v>154</v>
      </c>
      <c r="O58" s="490" t="s">
        <v>154</v>
      </c>
      <c r="P58" s="490" t="s">
        <v>154</v>
      </c>
      <c r="Q58" s="490" t="s">
        <v>154</v>
      </c>
      <c r="R58" s="868" t="s">
        <v>154</v>
      </c>
      <c r="S58" s="557" t="s">
        <v>154</v>
      </c>
      <c r="T58" s="868" t="s">
        <v>154</v>
      </c>
      <c r="U58" s="557" t="s">
        <v>154</v>
      </c>
      <c r="V58" s="868"/>
      <c r="W58" s="557" t="s">
        <v>154</v>
      </c>
      <c r="X58" s="868"/>
    </row>
    <row r="59" spans="2:24" ht="17.25" customHeight="1" x14ac:dyDescent="0.5">
      <c r="B59" s="1309"/>
      <c r="C59" s="1310"/>
      <c r="D59" s="1282" t="s">
        <v>315</v>
      </c>
      <c r="E59" s="1285" t="s">
        <v>316</v>
      </c>
      <c r="F59" s="699" t="s">
        <v>302</v>
      </c>
      <c r="G59" s="11"/>
      <c r="H59" s="11"/>
      <c r="I59" s="37"/>
      <c r="J59" s="488">
        <v>120</v>
      </c>
      <c r="K59" s="488">
        <v>120</v>
      </c>
      <c r="L59" s="488">
        <v>120</v>
      </c>
      <c r="M59" s="488">
        <v>120</v>
      </c>
      <c r="N59" s="488">
        <v>120</v>
      </c>
      <c r="O59" s="488">
        <v>120</v>
      </c>
      <c r="P59" s="488">
        <v>120</v>
      </c>
      <c r="Q59" s="488">
        <v>120</v>
      </c>
      <c r="R59" s="865">
        <v>120</v>
      </c>
      <c r="S59" s="556">
        <v>120</v>
      </c>
      <c r="T59" s="865">
        <v>120</v>
      </c>
      <c r="U59" s="556">
        <v>120</v>
      </c>
      <c r="V59" s="865"/>
      <c r="W59" s="556">
        <v>120</v>
      </c>
      <c r="X59" s="865"/>
    </row>
    <row r="60" spans="2:24" ht="17.25" customHeight="1" x14ac:dyDescent="0.5">
      <c r="B60" s="1309"/>
      <c r="C60" s="1310"/>
      <c r="D60" s="1320"/>
      <c r="E60" s="1319"/>
      <c r="F60" s="7" t="s">
        <v>303</v>
      </c>
      <c r="G60" s="27"/>
      <c r="H60" s="27"/>
      <c r="I60" s="79"/>
      <c r="J60" s="488">
        <v>88</v>
      </c>
      <c r="K60" s="488">
        <v>88</v>
      </c>
      <c r="L60" s="488">
        <v>88</v>
      </c>
      <c r="M60" s="488">
        <v>88</v>
      </c>
      <c r="N60" s="488">
        <v>88</v>
      </c>
      <c r="O60" s="488">
        <v>88</v>
      </c>
      <c r="P60" s="488">
        <v>88</v>
      </c>
      <c r="Q60" s="488">
        <v>88</v>
      </c>
      <c r="R60" s="865">
        <v>88</v>
      </c>
      <c r="S60" s="556">
        <v>88</v>
      </c>
      <c r="T60" s="865">
        <v>88</v>
      </c>
      <c r="U60" s="556">
        <v>88</v>
      </c>
      <c r="V60" s="865"/>
      <c r="W60" s="556">
        <v>88</v>
      </c>
      <c r="X60" s="865"/>
    </row>
    <row r="61" spans="2:24" ht="20.25" x14ac:dyDescent="0.5">
      <c r="B61" s="1309"/>
      <c r="C61" s="1310"/>
      <c r="D61" s="1283"/>
      <c r="E61" s="1286"/>
      <c r="F61" s="18" t="s">
        <v>304</v>
      </c>
      <c r="G61" s="19"/>
      <c r="H61" s="19"/>
      <c r="I61" s="42" t="s">
        <v>305</v>
      </c>
      <c r="J61" s="488" t="s">
        <v>306</v>
      </c>
      <c r="K61" s="488" t="s">
        <v>306</v>
      </c>
      <c r="L61" s="488" t="s">
        <v>306</v>
      </c>
      <c r="M61" s="488" t="s">
        <v>306</v>
      </c>
      <c r="N61" s="488" t="s">
        <v>306</v>
      </c>
      <c r="O61" s="488" t="s">
        <v>306</v>
      </c>
      <c r="P61" s="488" t="s">
        <v>306</v>
      </c>
      <c r="Q61" s="488" t="s">
        <v>306</v>
      </c>
      <c r="R61" s="865" t="s">
        <v>306</v>
      </c>
      <c r="S61" s="556" t="s">
        <v>306</v>
      </c>
      <c r="T61" s="865" t="s">
        <v>306</v>
      </c>
      <c r="U61" s="556" t="s">
        <v>306</v>
      </c>
      <c r="V61" s="865"/>
      <c r="W61" s="556" t="s">
        <v>306</v>
      </c>
      <c r="X61" s="865"/>
    </row>
    <row r="62" spans="2:24" ht="17.25" customHeight="1" thickBot="1" x14ac:dyDescent="0.55000000000000004">
      <c r="B62" s="1309"/>
      <c r="C62" s="1310"/>
      <c r="D62" s="1284"/>
      <c r="E62" s="1287"/>
      <c r="F62" s="14" t="s">
        <v>307</v>
      </c>
      <c r="G62" s="12"/>
      <c r="H62" s="12"/>
      <c r="I62" s="78" t="s">
        <v>174</v>
      </c>
      <c r="J62" s="490" t="s">
        <v>154</v>
      </c>
      <c r="K62" s="490" t="s">
        <v>154</v>
      </c>
      <c r="L62" s="490" t="s">
        <v>154</v>
      </c>
      <c r="M62" s="490" t="s">
        <v>154</v>
      </c>
      <c r="N62" s="490" t="s">
        <v>154</v>
      </c>
      <c r="O62" s="490" t="s">
        <v>154</v>
      </c>
      <c r="P62" s="490" t="s">
        <v>154</v>
      </c>
      <c r="Q62" s="490" t="s">
        <v>154</v>
      </c>
      <c r="R62" s="868" t="s">
        <v>154</v>
      </c>
      <c r="S62" s="557" t="s">
        <v>154</v>
      </c>
      <c r="T62" s="868" t="s">
        <v>154</v>
      </c>
      <c r="U62" s="557" t="s">
        <v>154</v>
      </c>
      <c r="V62" s="868"/>
      <c r="W62" s="557" t="s">
        <v>154</v>
      </c>
      <c r="X62" s="868"/>
    </row>
    <row r="63" spans="2:24" ht="20.25" x14ac:dyDescent="0.5">
      <c r="B63" s="1309"/>
      <c r="C63" s="1310"/>
      <c r="D63" s="1282" t="s">
        <v>317</v>
      </c>
      <c r="E63" s="1285" t="s">
        <v>318</v>
      </c>
      <c r="F63" s="16" t="s">
        <v>304</v>
      </c>
      <c r="G63" s="17"/>
      <c r="H63" s="17"/>
      <c r="I63" s="40" t="s">
        <v>305</v>
      </c>
      <c r="J63" s="488" t="s">
        <v>319</v>
      </c>
      <c r="K63" s="488" t="s">
        <v>319</v>
      </c>
      <c r="L63" s="488" t="s">
        <v>306</v>
      </c>
      <c r="M63" s="488" t="s">
        <v>306</v>
      </c>
      <c r="N63" s="488" t="s">
        <v>306</v>
      </c>
      <c r="O63" s="488" t="s">
        <v>306</v>
      </c>
      <c r="P63" s="488" t="s">
        <v>306</v>
      </c>
      <c r="Q63" s="488" t="s">
        <v>319</v>
      </c>
      <c r="R63" s="865" t="s">
        <v>306</v>
      </c>
      <c r="S63" s="556" t="s">
        <v>306</v>
      </c>
      <c r="T63" s="865" t="s">
        <v>306</v>
      </c>
      <c r="U63" s="556" t="s">
        <v>306</v>
      </c>
      <c r="V63" s="865"/>
      <c r="W63" s="556" t="s">
        <v>306</v>
      </c>
      <c r="X63" s="865"/>
    </row>
    <row r="64" spans="2:24" ht="17.25" customHeight="1" thickBot="1" x14ac:dyDescent="0.55000000000000004">
      <c r="B64" s="1309"/>
      <c r="C64" s="1310"/>
      <c r="D64" s="1284"/>
      <c r="E64" s="1287"/>
      <c r="F64" s="14" t="s">
        <v>307</v>
      </c>
      <c r="G64" s="12"/>
      <c r="H64" s="12"/>
      <c r="I64" s="78" t="s">
        <v>174</v>
      </c>
      <c r="J64" s="490" t="s">
        <v>154</v>
      </c>
      <c r="K64" s="490" t="s">
        <v>154</v>
      </c>
      <c r="L64" s="490" t="s">
        <v>154</v>
      </c>
      <c r="M64" s="490" t="s">
        <v>154</v>
      </c>
      <c r="N64" s="490" t="s">
        <v>154</v>
      </c>
      <c r="O64" s="490" t="s">
        <v>154</v>
      </c>
      <c r="P64" s="490" t="s">
        <v>154</v>
      </c>
      <c r="Q64" s="490" t="s">
        <v>154</v>
      </c>
      <c r="R64" s="868" t="s">
        <v>154</v>
      </c>
      <c r="S64" s="557" t="s">
        <v>154</v>
      </c>
      <c r="T64" s="868" t="s">
        <v>154</v>
      </c>
      <c r="U64" s="557" t="s">
        <v>154</v>
      </c>
      <c r="V64" s="868"/>
      <c r="W64" s="557" t="s">
        <v>154</v>
      </c>
      <c r="X64" s="868"/>
    </row>
    <row r="65" spans="2:24" ht="17.25" customHeight="1" x14ac:dyDescent="0.5">
      <c r="B65" s="1309"/>
      <c r="C65" s="1310"/>
      <c r="D65" s="1323" t="s">
        <v>315</v>
      </c>
      <c r="E65" s="1325" t="s">
        <v>320</v>
      </c>
      <c r="F65" s="16" t="s">
        <v>321</v>
      </c>
      <c r="G65" s="17" t="s">
        <v>137</v>
      </c>
      <c r="H65" s="17"/>
      <c r="I65" s="40"/>
      <c r="J65" s="488">
        <v>0.625</v>
      </c>
      <c r="K65" s="488">
        <v>0.625</v>
      </c>
      <c r="L65" s="488">
        <v>0.62</v>
      </c>
      <c r="M65" s="488">
        <v>0.625</v>
      </c>
      <c r="N65" s="488">
        <v>0.63</v>
      </c>
      <c r="O65" s="488">
        <v>0.63</v>
      </c>
      <c r="P65" s="488">
        <v>0.625</v>
      </c>
      <c r="Q65" s="488">
        <v>0.625</v>
      </c>
      <c r="R65" s="865">
        <v>0.625</v>
      </c>
      <c r="S65" s="556">
        <v>0.625</v>
      </c>
      <c r="T65" s="865">
        <v>0.625</v>
      </c>
      <c r="U65" s="556">
        <v>0.622</v>
      </c>
      <c r="V65" s="865"/>
      <c r="W65" s="556">
        <v>0.625</v>
      </c>
      <c r="X65" s="865"/>
    </row>
    <row r="66" spans="2:24" ht="15.75" x14ac:dyDescent="0.5">
      <c r="B66" s="1309"/>
      <c r="C66" s="1310"/>
      <c r="D66" s="1321"/>
      <c r="E66" s="1322"/>
      <c r="F66" s="7" t="s">
        <v>322</v>
      </c>
      <c r="G66" s="8" t="s">
        <v>137</v>
      </c>
      <c r="H66" s="8"/>
      <c r="I66" s="41"/>
      <c r="J66" s="488">
        <v>0.61</v>
      </c>
      <c r="K66" s="488">
        <v>0.61</v>
      </c>
      <c r="L66" s="488">
        <v>0.61</v>
      </c>
      <c r="M66" s="488">
        <v>0.61</v>
      </c>
      <c r="N66" s="488">
        <v>0.62</v>
      </c>
      <c r="O66" s="488">
        <v>0.62</v>
      </c>
      <c r="P66" s="488">
        <v>0.61</v>
      </c>
      <c r="Q66" s="488">
        <v>0.61</v>
      </c>
      <c r="R66" s="865">
        <v>0.62</v>
      </c>
      <c r="S66" s="556">
        <v>0.62</v>
      </c>
      <c r="T66" s="865">
        <v>0.62</v>
      </c>
      <c r="U66" s="556">
        <v>0.62</v>
      </c>
      <c r="V66" s="865"/>
      <c r="W66" s="556">
        <v>0.62</v>
      </c>
      <c r="X66" s="865"/>
    </row>
    <row r="67" spans="2:24" ht="17.25" customHeight="1" thickBot="1" x14ac:dyDescent="0.55000000000000004">
      <c r="B67" s="1309"/>
      <c r="C67" s="1310"/>
      <c r="D67" s="1324"/>
      <c r="E67" s="1326"/>
      <c r="F67" s="20" t="s">
        <v>323</v>
      </c>
      <c r="G67" s="21" t="s">
        <v>137</v>
      </c>
      <c r="H67" s="21"/>
      <c r="I67" s="197"/>
      <c r="J67" s="490">
        <v>0.61</v>
      </c>
      <c r="K67" s="490">
        <v>0.61</v>
      </c>
      <c r="L67" s="490">
        <v>0.61</v>
      </c>
      <c r="M67" s="490">
        <v>0.61</v>
      </c>
      <c r="N67" s="490">
        <v>0.62</v>
      </c>
      <c r="O67" s="490">
        <v>0.62</v>
      </c>
      <c r="P67" s="490">
        <v>0.61</v>
      </c>
      <c r="Q67" s="490">
        <v>0.61</v>
      </c>
      <c r="R67" s="868">
        <v>0.62</v>
      </c>
      <c r="S67" s="557">
        <v>0.62</v>
      </c>
      <c r="T67" s="868">
        <v>0.62</v>
      </c>
      <c r="U67" s="557">
        <v>0.62</v>
      </c>
      <c r="V67" s="868"/>
      <c r="W67" s="557">
        <v>0.62</v>
      </c>
      <c r="X67" s="868"/>
    </row>
    <row r="68" spans="2:24" ht="17.25" customHeight="1" thickBot="1" x14ac:dyDescent="0.55000000000000004">
      <c r="B68" s="1309"/>
      <c r="C68" s="1310"/>
      <c r="D68" s="1280" t="s">
        <v>324</v>
      </c>
      <c r="E68" s="1281"/>
      <c r="F68" s="38" t="s">
        <v>325</v>
      </c>
      <c r="G68" s="15"/>
      <c r="H68" s="15"/>
      <c r="I68" s="44" t="s">
        <v>326</v>
      </c>
      <c r="J68" s="490">
        <v>0.41</v>
      </c>
      <c r="K68" s="490">
        <v>0.41</v>
      </c>
      <c r="L68" s="490">
        <v>0.41</v>
      </c>
      <c r="M68" s="490">
        <v>0.41</v>
      </c>
      <c r="N68" s="490">
        <v>0.42</v>
      </c>
      <c r="O68" s="490">
        <v>0.42</v>
      </c>
      <c r="P68" s="490">
        <v>0.42</v>
      </c>
      <c r="Q68" s="490">
        <v>0.41</v>
      </c>
      <c r="R68" s="868">
        <v>0.42</v>
      </c>
      <c r="S68" s="557">
        <v>0.42</v>
      </c>
      <c r="T68" s="868">
        <v>0.42</v>
      </c>
      <c r="U68" s="557">
        <v>0.42</v>
      </c>
      <c r="V68" s="868"/>
      <c r="W68" s="557">
        <v>0.42</v>
      </c>
      <c r="X68" s="868"/>
    </row>
    <row r="69" spans="2:24" ht="17.25" customHeight="1" x14ac:dyDescent="0.5">
      <c r="B69" s="1309"/>
      <c r="C69" s="1310"/>
      <c r="D69" s="1282" t="s">
        <v>257</v>
      </c>
      <c r="E69" s="1285" t="s">
        <v>257</v>
      </c>
      <c r="F69" s="13" t="s">
        <v>327</v>
      </c>
      <c r="G69" s="11" t="s">
        <v>137</v>
      </c>
      <c r="H69" s="11"/>
      <c r="I69" s="37"/>
      <c r="J69" s="488">
        <v>0.625</v>
      </c>
      <c r="K69" s="488">
        <v>0.625</v>
      </c>
      <c r="L69" s="488">
        <v>0.62</v>
      </c>
      <c r="M69" s="488">
        <v>0.62</v>
      </c>
      <c r="N69" s="488">
        <v>0.63</v>
      </c>
      <c r="O69" s="488">
        <v>0.63</v>
      </c>
      <c r="P69" s="488">
        <v>0.62</v>
      </c>
      <c r="Q69" s="488">
        <v>0.625</v>
      </c>
      <c r="R69" s="865">
        <v>0.625</v>
      </c>
      <c r="S69" s="556">
        <v>0.625</v>
      </c>
      <c r="T69" s="865">
        <v>0.62</v>
      </c>
      <c r="U69" s="556">
        <v>0.623</v>
      </c>
      <c r="V69" s="865"/>
      <c r="W69" s="556">
        <v>0.621</v>
      </c>
      <c r="X69" s="865"/>
    </row>
    <row r="70" spans="2:24" ht="17.25" customHeight="1" x14ac:dyDescent="0.5">
      <c r="B70" s="1309"/>
      <c r="C70" s="1310"/>
      <c r="D70" s="1283"/>
      <c r="E70" s="1286"/>
      <c r="F70" s="18" t="s">
        <v>328</v>
      </c>
      <c r="G70" s="19" t="s">
        <v>137</v>
      </c>
      <c r="H70" s="19"/>
      <c r="I70" s="42"/>
      <c r="J70" s="488">
        <v>0.61</v>
      </c>
      <c r="K70" s="488">
        <v>0.61</v>
      </c>
      <c r="L70" s="488">
        <v>0.6</v>
      </c>
      <c r="M70" s="488">
        <v>0.61</v>
      </c>
      <c r="N70" s="488">
        <v>0.62</v>
      </c>
      <c r="O70" s="488">
        <v>0.62</v>
      </c>
      <c r="P70" s="488">
        <v>0.61</v>
      </c>
      <c r="Q70" s="488">
        <v>0.61</v>
      </c>
      <c r="R70" s="865">
        <v>0.62</v>
      </c>
      <c r="S70" s="556">
        <v>0.62</v>
      </c>
      <c r="T70" s="865">
        <v>0.62</v>
      </c>
      <c r="U70" s="556">
        <v>0.621</v>
      </c>
      <c r="V70" s="865"/>
      <c r="W70" s="556">
        <v>0.621</v>
      </c>
      <c r="X70" s="865"/>
    </row>
    <row r="71" spans="2:24" ht="17.25" customHeight="1" thickBot="1" x14ac:dyDescent="0.55000000000000004">
      <c r="B71" s="1309"/>
      <c r="C71" s="1310"/>
      <c r="D71" s="1284"/>
      <c r="E71" s="1287"/>
      <c r="F71" s="14" t="s">
        <v>329</v>
      </c>
      <c r="G71" s="12" t="s">
        <v>137</v>
      </c>
      <c r="H71" s="12"/>
      <c r="I71" s="78"/>
      <c r="J71" s="490">
        <v>0.61</v>
      </c>
      <c r="K71" s="490">
        <v>0.61</v>
      </c>
      <c r="L71" s="490">
        <v>0.61</v>
      </c>
      <c r="M71" s="490">
        <v>0.61</v>
      </c>
      <c r="N71" s="490">
        <v>0.62</v>
      </c>
      <c r="O71" s="490">
        <v>0.62</v>
      </c>
      <c r="P71" s="490">
        <v>0.61</v>
      </c>
      <c r="Q71" s="490">
        <v>0.61</v>
      </c>
      <c r="R71" s="868">
        <v>0.61499999999999999</v>
      </c>
      <c r="S71" s="557">
        <v>0.61499999999999999</v>
      </c>
      <c r="T71" s="868">
        <v>0.62</v>
      </c>
      <c r="U71" s="557">
        <v>0.61799999999999999</v>
      </c>
      <c r="V71" s="868"/>
      <c r="W71" s="557">
        <v>0.61799999999999999</v>
      </c>
      <c r="X71" s="868"/>
    </row>
    <row r="72" spans="2:24" ht="17.25" customHeight="1" thickBot="1" x14ac:dyDescent="0.55000000000000004">
      <c r="B72" s="1309"/>
      <c r="C72" s="1310"/>
      <c r="D72" s="1321" t="s">
        <v>324</v>
      </c>
      <c r="E72" s="1322"/>
      <c r="F72" s="46" t="s">
        <v>325</v>
      </c>
      <c r="G72" s="50"/>
      <c r="H72" s="50"/>
      <c r="I72" s="198" t="s">
        <v>330</v>
      </c>
      <c r="J72" s="491">
        <v>0.42</v>
      </c>
      <c r="K72" s="491">
        <v>0.42</v>
      </c>
      <c r="L72" s="491">
        <v>0.42</v>
      </c>
      <c r="M72" s="491">
        <v>0.42199999999999999</v>
      </c>
      <c r="N72" s="491">
        <v>0.42</v>
      </c>
      <c r="O72" s="491">
        <v>0.42</v>
      </c>
      <c r="P72" s="491">
        <v>0.42</v>
      </c>
      <c r="Q72" s="491">
        <v>0.42</v>
      </c>
      <c r="R72" s="867">
        <v>0.41499999999999998</v>
      </c>
      <c r="S72" s="558">
        <v>0.41499999999999998</v>
      </c>
      <c r="T72" s="867">
        <v>0.41499999999999998</v>
      </c>
      <c r="U72" s="558">
        <v>0.42</v>
      </c>
      <c r="V72" s="867"/>
      <c r="W72" s="558">
        <v>0.42</v>
      </c>
      <c r="X72" s="867"/>
    </row>
    <row r="73" spans="2:24" ht="17.25" customHeight="1" x14ac:dyDescent="0.5">
      <c r="B73" s="1309"/>
      <c r="C73" s="1310"/>
      <c r="D73" s="1282" t="s">
        <v>300</v>
      </c>
      <c r="E73" s="1285" t="s">
        <v>331</v>
      </c>
      <c r="F73" s="51" t="s">
        <v>332</v>
      </c>
      <c r="G73" s="52" t="s">
        <v>137</v>
      </c>
      <c r="H73" s="52"/>
      <c r="I73" s="199"/>
      <c r="J73" s="492">
        <v>0.61</v>
      </c>
      <c r="K73" s="492">
        <v>0.61</v>
      </c>
      <c r="L73" s="492">
        <v>0.61</v>
      </c>
      <c r="M73" s="492">
        <v>0.61</v>
      </c>
      <c r="N73" s="855">
        <v>0.62</v>
      </c>
      <c r="O73" s="855">
        <v>0.62</v>
      </c>
      <c r="P73" s="855">
        <v>0.61</v>
      </c>
      <c r="Q73" s="855">
        <v>0.61</v>
      </c>
      <c r="R73" s="869">
        <v>0.62</v>
      </c>
      <c r="S73" s="863">
        <v>0.62</v>
      </c>
      <c r="T73" s="869">
        <v>0.62</v>
      </c>
      <c r="U73" s="863">
        <v>0.62</v>
      </c>
      <c r="V73" s="869"/>
      <c r="W73" s="863">
        <v>0.62</v>
      </c>
      <c r="X73" s="869"/>
    </row>
    <row r="74" spans="2:24" ht="17.25" customHeight="1" x14ac:dyDescent="0.5">
      <c r="B74" s="1309"/>
      <c r="C74" s="1310"/>
      <c r="D74" s="1283"/>
      <c r="E74" s="1286"/>
      <c r="F74" s="18" t="s">
        <v>333</v>
      </c>
      <c r="G74" s="19" t="s">
        <v>137</v>
      </c>
      <c r="H74" s="19"/>
      <c r="I74" s="42"/>
      <c r="J74" s="488">
        <v>0.61</v>
      </c>
      <c r="K74" s="488">
        <v>0.61</v>
      </c>
      <c r="L74" s="488">
        <v>0.61</v>
      </c>
      <c r="M74" s="488">
        <v>0.61199999999999999</v>
      </c>
      <c r="N74" s="856">
        <v>0.62</v>
      </c>
      <c r="O74" s="857">
        <v>0.62</v>
      </c>
      <c r="P74" s="857">
        <v>0.61</v>
      </c>
      <c r="Q74" s="857">
        <v>0.61</v>
      </c>
      <c r="R74" s="870">
        <v>0.62</v>
      </c>
      <c r="S74" s="580">
        <v>0.62</v>
      </c>
      <c r="T74" s="870">
        <v>0.62</v>
      </c>
      <c r="U74" s="580">
        <v>0.62</v>
      </c>
      <c r="V74" s="870"/>
      <c r="W74" s="580">
        <v>0.62</v>
      </c>
      <c r="X74" s="870"/>
    </row>
    <row r="75" spans="2:24" ht="17.25" customHeight="1" thickBot="1" x14ac:dyDescent="0.55000000000000004">
      <c r="B75" s="1311"/>
      <c r="C75" s="1312"/>
      <c r="D75" s="1284"/>
      <c r="E75" s="1287"/>
      <c r="F75" s="53" t="s">
        <v>334</v>
      </c>
      <c r="G75" s="54" t="s">
        <v>137</v>
      </c>
      <c r="H75" s="54"/>
      <c r="I75" s="200"/>
      <c r="J75" s="490">
        <v>0.61</v>
      </c>
      <c r="K75" s="490">
        <v>0.61</v>
      </c>
      <c r="L75" s="490">
        <v>0.61</v>
      </c>
      <c r="M75" s="490">
        <v>0.61</v>
      </c>
      <c r="N75" s="488">
        <v>0.62</v>
      </c>
      <c r="O75" s="488">
        <v>0.62</v>
      </c>
      <c r="P75" s="488">
        <v>0.61</v>
      </c>
      <c r="Q75" s="488">
        <v>0.61</v>
      </c>
      <c r="R75" s="868">
        <v>0.61</v>
      </c>
      <c r="S75" s="557">
        <v>0.61</v>
      </c>
      <c r="T75" s="868">
        <v>0.62</v>
      </c>
      <c r="U75" s="557">
        <v>0.61799999999999999</v>
      </c>
      <c r="V75" s="868"/>
      <c r="W75" s="557">
        <v>0.61899999999999999</v>
      </c>
      <c r="X75" s="868"/>
    </row>
    <row r="76" spans="2:24" ht="17.25" customHeight="1" x14ac:dyDescent="0.5">
      <c r="B76" s="39"/>
      <c r="C76" s="39"/>
      <c r="D76" s="2"/>
      <c r="E76" s="2"/>
      <c r="F76" s="9"/>
      <c r="G76" s="36"/>
      <c r="H76" s="36"/>
      <c r="I76" s="36"/>
    </row>
    <row r="77" spans="2:24" ht="16.5" customHeight="1" thickBot="1" x14ac:dyDescent="0.55000000000000004"/>
    <row r="78" spans="2:24" ht="21.75" customHeight="1" x14ac:dyDescent="0.5">
      <c r="B78" s="5"/>
      <c r="C78" s="5"/>
      <c r="D78" s="6"/>
      <c r="E78" s="1013" t="s">
        <v>201</v>
      </c>
      <c r="F78" s="1014"/>
      <c r="G78" s="1014"/>
      <c r="H78" s="1014"/>
      <c r="I78" s="1228"/>
      <c r="J78" s="1276"/>
      <c r="K78" s="1276"/>
      <c r="L78" s="1276"/>
      <c r="M78" s="1276"/>
      <c r="N78" s="1276" t="s">
        <v>335</v>
      </c>
      <c r="O78" s="1276"/>
      <c r="P78" s="1276"/>
      <c r="Q78" s="1276"/>
      <c r="R78" s="1272"/>
      <c r="S78" s="1268"/>
      <c r="T78" s="1270"/>
      <c r="U78" s="1268"/>
      <c r="V78" s="1270"/>
      <c r="W78" s="1268"/>
      <c r="X78" s="1270"/>
    </row>
    <row r="79" spans="2:24" ht="21.75" customHeight="1" thickBot="1" x14ac:dyDescent="0.55000000000000004">
      <c r="B79" s="5"/>
      <c r="C79" s="5"/>
      <c r="D79" s="6"/>
      <c r="E79" s="1015"/>
      <c r="F79" s="1016"/>
      <c r="G79" s="1016"/>
      <c r="H79" s="1016"/>
      <c r="I79" s="1229"/>
      <c r="J79" s="1277"/>
      <c r="K79" s="1277"/>
      <c r="L79" s="1277"/>
      <c r="M79" s="1277"/>
      <c r="N79" s="1277"/>
      <c r="O79" s="1277"/>
      <c r="P79" s="1277"/>
      <c r="Q79" s="1277"/>
      <c r="R79" s="1273"/>
      <c r="S79" s="1269"/>
      <c r="T79" s="1271"/>
      <c r="U79" s="1269"/>
      <c r="V79" s="1271"/>
      <c r="W79" s="1269"/>
      <c r="X79" s="1271"/>
    </row>
    <row r="80" spans="2:24" s="119" customFormat="1" ht="21.75" customHeight="1" thickBot="1" x14ac:dyDescent="0.55000000000000004">
      <c r="B80" s="5"/>
      <c r="C80" s="5"/>
      <c r="D80" s="6"/>
      <c r="E80" s="1011" t="s">
        <v>123</v>
      </c>
      <c r="F80" s="1012"/>
      <c r="G80" s="1012"/>
      <c r="H80" s="1012"/>
      <c r="I80" s="1214"/>
      <c r="J80" s="419" t="s">
        <v>336</v>
      </c>
      <c r="K80" s="419" t="s">
        <v>336</v>
      </c>
      <c r="L80" s="419" t="s">
        <v>206</v>
      </c>
      <c r="M80" s="419" t="s">
        <v>206</v>
      </c>
      <c r="N80" s="419" t="s">
        <v>337</v>
      </c>
      <c r="O80" s="419"/>
      <c r="P80" s="419"/>
      <c r="Q80" s="419" t="s">
        <v>253</v>
      </c>
      <c r="R80" s="858"/>
      <c r="S80" s="858" t="s">
        <v>210</v>
      </c>
      <c r="T80" s="860" t="s">
        <v>206</v>
      </c>
      <c r="U80" s="858" t="s">
        <v>210</v>
      </c>
      <c r="V80" s="860"/>
      <c r="W80" s="858" t="s">
        <v>210</v>
      </c>
      <c r="X80" s="860"/>
    </row>
  </sheetData>
  <mergeCells count="74">
    <mergeCell ref="W6:X6"/>
    <mergeCell ref="W7:W8"/>
    <mergeCell ref="X7:X8"/>
    <mergeCell ref="W78:W79"/>
    <mergeCell ref="X78:X79"/>
    <mergeCell ref="Q78:Q79"/>
    <mergeCell ref="B45:C75"/>
    <mergeCell ref="D45:D46"/>
    <mergeCell ref="E45:E46"/>
    <mergeCell ref="D47:D50"/>
    <mergeCell ref="E47:E50"/>
    <mergeCell ref="D51:D58"/>
    <mergeCell ref="E51:E58"/>
    <mergeCell ref="D59:D62"/>
    <mergeCell ref="E59:E62"/>
    <mergeCell ref="D63:D64"/>
    <mergeCell ref="D72:E72"/>
    <mergeCell ref="D73:D75"/>
    <mergeCell ref="E63:E64"/>
    <mergeCell ref="D65:D67"/>
    <mergeCell ref="E65:E67"/>
    <mergeCell ref="B9:C44"/>
    <mergeCell ref="D9:D44"/>
    <mergeCell ref="E15:E38"/>
    <mergeCell ref="E39:E44"/>
    <mergeCell ref="E9:E14"/>
    <mergeCell ref="B5:E5"/>
    <mergeCell ref="F5:I5"/>
    <mergeCell ref="B6:C8"/>
    <mergeCell ref="D6:E8"/>
    <mergeCell ref="F6:F8"/>
    <mergeCell ref="G6:G8"/>
    <mergeCell ref="H6:H8"/>
    <mergeCell ref="I6:I8"/>
    <mergeCell ref="B2:I2"/>
    <mergeCell ref="B3:I3"/>
    <mergeCell ref="E4:G4"/>
    <mergeCell ref="H4:I4"/>
    <mergeCell ref="B4:D4"/>
    <mergeCell ref="J7:J8"/>
    <mergeCell ref="J78:J79"/>
    <mergeCell ref="L78:L79"/>
    <mergeCell ref="E80:I80"/>
    <mergeCell ref="E78:I79"/>
    <mergeCell ref="D68:E68"/>
    <mergeCell ref="D69:D71"/>
    <mergeCell ref="E69:E71"/>
    <mergeCell ref="E73:E75"/>
    <mergeCell ref="R7:R8"/>
    <mergeCell ref="R78:R79"/>
    <mergeCell ref="K6:L6"/>
    <mergeCell ref="K78:K79"/>
    <mergeCell ref="K7:K8"/>
    <mergeCell ref="L7:L8"/>
    <mergeCell ref="M6:N6"/>
    <mergeCell ref="M7:M8"/>
    <mergeCell ref="N7:N8"/>
    <mergeCell ref="M78:M79"/>
    <mergeCell ref="N78:N79"/>
    <mergeCell ref="O7:O8"/>
    <mergeCell ref="O78:O79"/>
    <mergeCell ref="P7:P8"/>
    <mergeCell ref="P78:P79"/>
    <mergeCell ref="Q7:Q8"/>
    <mergeCell ref="S6:T6"/>
    <mergeCell ref="S7:S8"/>
    <mergeCell ref="T7:T8"/>
    <mergeCell ref="S78:S79"/>
    <mergeCell ref="T78:T79"/>
    <mergeCell ref="U6:V6"/>
    <mergeCell ref="U7:U8"/>
    <mergeCell ref="V7:V8"/>
    <mergeCell ref="U78:U79"/>
    <mergeCell ref="V78:V79"/>
  </mergeCells>
  <phoneticPr fontId="23" type="noConversion"/>
  <conditionalFormatting sqref="J25:J27">
    <cfRule type="colorScale" priority="136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J10:P10 J12:P12 J14:P14 J16:P16 J18:P18 J20:P20">
    <cfRule type="colorScale" priority="124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J44:P44">
    <cfRule type="colorScale" priority="127">
      <colorScale>
        <cfvo type="num" val="1"/>
        <cfvo type="num" val="1.5"/>
        <cfvo type="num" val="3"/>
        <color rgb="FF00B050"/>
        <color rgb="FFFFC000"/>
        <color rgb="FFFF5050"/>
      </colorScale>
    </cfRule>
  </conditionalFormatting>
  <conditionalFormatting sqref="J25:T27">
    <cfRule type="cellIs" dxfId="9" priority="40" operator="greaterThan">
      <formula>0.9</formula>
    </cfRule>
    <cfRule type="cellIs" dxfId="8" priority="41" operator="greaterThan">
      <formula>0.9</formula>
    </cfRule>
  </conditionalFormatting>
  <conditionalFormatting sqref="K25:N27">
    <cfRule type="colorScale" priority="109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O25:O27">
    <cfRule type="colorScale" priority="37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P25:P27">
    <cfRule type="colorScale" priority="38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Q10">
    <cfRule type="colorScale" priority="92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Q12">
    <cfRule type="colorScale" priority="91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Q14">
    <cfRule type="colorScale" priority="90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Q16">
    <cfRule type="colorScale" priority="89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Q18">
    <cfRule type="colorScale" priority="88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Q20">
    <cfRule type="colorScale" priority="87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Q25:Q27">
    <cfRule type="colorScale" priority="78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Q44">
    <cfRule type="colorScale" priority="93">
      <colorScale>
        <cfvo type="num" val="1"/>
        <cfvo type="num" val="1.5"/>
        <cfvo type="num" val="3"/>
        <color rgb="FF00B050"/>
        <color rgb="FFFFC000"/>
        <color rgb="FFFF5050"/>
      </colorScale>
    </cfRule>
  </conditionalFormatting>
  <conditionalFormatting sqref="R10">
    <cfRule type="colorScale" priority="67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R12">
    <cfRule type="colorScale" priority="66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R14">
    <cfRule type="colorScale" priority="65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R16">
    <cfRule type="colorScale" priority="64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R18">
    <cfRule type="colorScale" priority="63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R20">
    <cfRule type="colorScale" priority="62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R25:R27">
    <cfRule type="colorScale" priority="39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R44">
    <cfRule type="colorScale" priority="68">
      <colorScale>
        <cfvo type="num" val="1"/>
        <cfvo type="num" val="1.5"/>
        <cfvo type="num" val="3"/>
        <color rgb="FF00B050"/>
        <color rgb="FFFFC000"/>
        <color rgb="FFFF5050"/>
      </colorScale>
    </cfRule>
  </conditionalFormatting>
  <conditionalFormatting sqref="S10">
    <cfRule type="colorScale" priority="56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S12">
    <cfRule type="colorScale" priority="55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S14">
    <cfRule type="colorScale" priority="54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S16">
    <cfRule type="colorScale" priority="53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S18">
    <cfRule type="colorScale" priority="52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S20">
    <cfRule type="colorScale" priority="51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S25:S27">
    <cfRule type="colorScale" priority="42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S44">
    <cfRule type="colorScale" priority="57">
      <colorScale>
        <cfvo type="num" val="1"/>
        <cfvo type="num" val="1.5"/>
        <cfvo type="num" val="3"/>
        <color rgb="FF00B050"/>
        <color rgb="FFFFC000"/>
        <color rgb="FFFF5050"/>
      </colorScale>
    </cfRule>
  </conditionalFormatting>
  <conditionalFormatting sqref="T10">
    <cfRule type="colorScale" priority="49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T12">
    <cfRule type="colorScale" priority="48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T14">
    <cfRule type="colorScale" priority="47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T16">
    <cfRule type="colorScale" priority="46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T18">
    <cfRule type="colorScale" priority="45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T20">
    <cfRule type="colorScale" priority="44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T25:T27">
    <cfRule type="colorScale" priority="43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T44">
    <cfRule type="colorScale" priority="50">
      <colorScale>
        <cfvo type="num" val="1"/>
        <cfvo type="num" val="1.5"/>
        <cfvo type="num" val="3"/>
        <color rgb="FF00B050"/>
        <color rgb="FFFFC000"/>
        <color rgb="FFFF5050"/>
      </colorScale>
    </cfRule>
  </conditionalFormatting>
  <conditionalFormatting sqref="U10">
    <cfRule type="colorScale" priority="35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U12">
    <cfRule type="colorScale" priority="34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U14">
    <cfRule type="colorScale" priority="33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U16">
    <cfRule type="colorScale" priority="32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U18">
    <cfRule type="colorScale" priority="31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U20">
    <cfRule type="colorScale" priority="30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U25:U27">
    <cfRule type="colorScale" priority="21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U44">
    <cfRule type="colorScale" priority="36">
      <colorScale>
        <cfvo type="num" val="1"/>
        <cfvo type="num" val="1.5"/>
        <cfvo type="num" val="3"/>
        <color rgb="FF00B050"/>
        <color rgb="FFFFC000"/>
        <color rgb="FFFF5050"/>
      </colorScale>
    </cfRule>
  </conditionalFormatting>
  <conditionalFormatting sqref="U25:X27">
    <cfRule type="cellIs" dxfId="7" priority="1" operator="greaterThan">
      <formula>0.9</formula>
    </cfRule>
    <cfRule type="cellIs" dxfId="6" priority="2" operator="greaterThan">
      <formula>0.9</formula>
    </cfRule>
  </conditionalFormatting>
  <conditionalFormatting sqref="V10">
    <cfRule type="colorScale" priority="28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V12">
    <cfRule type="colorScale" priority="27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V14">
    <cfRule type="colorScale" priority="26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V16">
    <cfRule type="colorScale" priority="25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V18">
    <cfRule type="colorScale" priority="24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V20">
    <cfRule type="colorScale" priority="23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V25:V27">
    <cfRule type="colorScale" priority="22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V44">
    <cfRule type="colorScale" priority="29">
      <colorScale>
        <cfvo type="num" val="1"/>
        <cfvo type="num" val="1.5"/>
        <cfvo type="num" val="3"/>
        <color rgb="FF00B050"/>
        <color rgb="FFFFC000"/>
        <color rgb="FFFF5050"/>
      </colorScale>
    </cfRule>
  </conditionalFormatting>
  <conditionalFormatting sqref="W10">
    <cfRule type="colorScale" priority="17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W12">
    <cfRule type="colorScale" priority="16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W14">
    <cfRule type="colorScale" priority="15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W16">
    <cfRule type="colorScale" priority="14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W18">
    <cfRule type="colorScale" priority="13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W20">
    <cfRule type="colorScale" priority="12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W25:W27">
    <cfRule type="colorScale" priority="3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W44">
    <cfRule type="colorScale" priority="18">
      <colorScale>
        <cfvo type="num" val="1"/>
        <cfvo type="num" val="1.5"/>
        <cfvo type="num" val="3"/>
        <color rgb="FF00B050"/>
        <color rgb="FFFFC000"/>
        <color rgb="FFFF5050"/>
      </colorScale>
    </cfRule>
  </conditionalFormatting>
  <conditionalFormatting sqref="X10">
    <cfRule type="colorScale" priority="10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X12">
    <cfRule type="colorScale" priority="9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X14">
    <cfRule type="colorScale" priority="8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X16">
    <cfRule type="colorScale" priority="7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X18">
    <cfRule type="colorScale" priority="6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X20">
    <cfRule type="colorScale" priority="5">
      <colorScale>
        <cfvo type="num" val="1.2"/>
        <cfvo type="num" val="1.3"/>
        <cfvo type="num" val="1.8"/>
        <color rgb="FF00B050"/>
        <color rgb="FFFFFF00"/>
        <color rgb="FFFF5050"/>
      </colorScale>
    </cfRule>
  </conditionalFormatting>
  <conditionalFormatting sqref="X25:X27">
    <cfRule type="colorScale" priority="4">
      <colorScale>
        <cfvo type="num" val="0.5"/>
        <cfvo type="num" val="0.55000000000000004"/>
        <cfvo type="num" val="0.6"/>
        <color rgb="FFFF0000"/>
        <color rgb="FFFFFF00"/>
        <color rgb="FF00B050"/>
      </colorScale>
    </cfRule>
  </conditionalFormatting>
  <conditionalFormatting sqref="X44">
    <cfRule type="colorScale" priority="11">
      <colorScale>
        <cfvo type="num" val="1"/>
        <cfvo type="num" val="1.5"/>
        <cfvo type="num" val="3"/>
        <color rgb="FF00B050"/>
        <color rgb="FFFFC000"/>
        <color rgb="FFFF5050"/>
      </colorScale>
    </cfRule>
  </conditionalFormatting>
  <dataValidations count="6">
    <dataValidation type="list" allowBlank="1" showInputMessage="1" showErrorMessage="1" sqref="N63:X63 J61:X61 J57:X57 J49:X49" xr:uid="{230EB08D-AB42-439A-A6C5-98B2DA642A0B}">
      <formula1>"B, D"</formula1>
    </dataValidation>
    <dataValidation type="list" allowBlank="1" showInputMessage="1" showErrorMessage="1" sqref="J80:X80" xr:uid="{F15B5191-5EB9-4657-A673-5FD277686F64}">
      <formula1>"C.C, F.M, G.P, I.A, K.T, L.M, L.CH, M.P, M.M"</formula1>
    </dataValidation>
    <dataValidation type="list" allowBlank="1" showInputMessage="1" showErrorMessage="1" sqref="J31:X33 J21:X23" xr:uid="{D8B91443-09FC-4EE9-B954-210A18D2C226}">
      <formula1>"MÁX, MÍN"</formula1>
    </dataValidation>
    <dataValidation type="list" allowBlank="1" showInputMessage="1" showErrorMessage="1" sqref="J40:X40 J36:X36 J28:X28" xr:uid="{A41D1256-6D95-44E5-9199-5AC95E26E38B}">
      <formula1>"OK, NOK"</formula1>
    </dataValidation>
    <dataValidation type="list" allowBlank="1" showInputMessage="1" showErrorMessage="1" sqref="J24:X24" xr:uid="{F947FAD6-AAB6-400F-BF66-E56E2B863899}">
      <formula1>"A, C"</formula1>
    </dataValidation>
    <dataValidation type="list" allowBlank="1" showInputMessage="1" showErrorMessage="1" sqref="J58:X58 J46:X46 J62:X62 J50:X50 J38:X38 J42:X42 J64:X64" xr:uid="{2EDA740C-2BA0-4059-8ED5-7A1C4D34F1ED}">
      <formula1>"SI, NO"</formula1>
    </dataValidation>
  </dataValidations>
  <pageMargins left="0.23622047244094488" right="0.23622047244094488" top="0" bottom="0" header="0.31496062992125984" footer="0.31496062992125984"/>
  <pageSetup paperSize="9" scale="53" fitToWidth="0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2444-3370-4E4B-8EB0-DD2BF4465EDD}">
  <sheetPr codeName="Hoja5">
    <tabColor theme="9" tint="0.39997558519241921"/>
    <pageSetUpPr fitToPage="1"/>
  </sheetPr>
  <dimension ref="A1:AN209"/>
  <sheetViews>
    <sheetView showGridLines="0" zoomScale="55" zoomScaleNormal="55" workbookViewId="0">
      <pane xSplit="10" ySplit="7" topLeftCell="Y178" activePane="bottomRight" state="frozen"/>
      <selection pane="topRight"/>
      <selection pane="bottomLeft"/>
      <selection pane="bottomRight" activeCell="K180" sqref="K180"/>
    </sheetView>
  </sheetViews>
  <sheetFormatPr baseColWidth="10" defaultColWidth="10.625" defaultRowHeight="16.149999999999999" customHeight="1" x14ac:dyDescent="0.45"/>
  <cols>
    <col min="1" max="1" width="0.125" style="237" customWidth="1"/>
    <col min="2" max="2" width="2.625" style="3" customWidth="1"/>
    <col min="3" max="3" width="5.125" style="3" customWidth="1"/>
    <col min="4" max="4" width="9.625" style="58" customWidth="1"/>
    <col min="5" max="5" width="8.625" style="58" customWidth="1"/>
    <col min="6" max="6" width="48.625" style="1" customWidth="1"/>
    <col min="7" max="7" width="6.75" style="1" customWidth="1"/>
    <col min="8" max="8" width="8.125" style="1" customWidth="1"/>
    <col min="9" max="9" width="11.75" style="2" hidden="1" customWidth="1"/>
    <col min="10" max="10" width="11.5" style="2" customWidth="1"/>
    <col min="11" max="11" width="17.1875" style="240" customWidth="1"/>
    <col min="12" max="12" width="30.5" style="240" customWidth="1"/>
    <col min="13" max="13" width="10.625" style="240" customWidth="1"/>
    <col min="14" max="14" width="10.625" style="240"/>
    <col min="15" max="15" width="22.5625" style="240" customWidth="1"/>
    <col min="16" max="36" width="10.625" style="240"/>
    <col min="37" max="37" width="10.875" style="240" bestFit="1" customWidth="1"/>
    <col min="38" max="16384" width="10.625" style="240"/>
  </cols>
  <sheetData>
    <row r="1" spans="1:40" s="237" customFormat="1" ht="52.5" customHeight="1" x14ac:dyDescent="0.4">
      <c r="B1" s="1039" t="s">
        <v>0</v>
      </c>
      <c r="C1" s="1039"/>
      <c r="D1" s="1039"/>
      <c r="E1" s="1039"/>
      <c r="F1" s="1039"/>
      <c r="G1" s="1039"/>
      <c r="H1" s="1039"/>
      <c r="I1" s="1039"/>
      <c r="J1" s="1039"/>
    </row>
    <row r="2" spans="1:40" s="237" customFormat="1" ht="33.75" customHeight="1" x14ac:dyDescent="0.4">
      <c r="B2" s="1040" t="s">
        <v>1</v>
      </c>
      <c r="C2" s="1041"/>
      <c r="D2" s="1041"/>
      <c r="E2" s="1041"/>
      <c r="F2" s="1041" t="s">
        <v>211</v>
      </c>
      <c r="G2" s="1041"/>
      <c r="H2" s="1041" t="s">
        <v>212</v>
      </c>
      <c r="I2" s="1041"/>
      <c r="J2" s="1041"/>
    </row>
    <row r="3" spans="1:40" s="237" customFormat="1" ht="46.5" x14ac:dyDescent="0.4">
      <c r="B3" s="1042" t="s">
        <v>124</v>
      </c>
      <c r="C3" s="1043"/>
      <c r="D3" s="1043"/>
      <c r="E3" s="1043"/>
      <c r="F3" s="1044" t="s">
        <v>338</v>
      </c>
      <c r="G3" s="1044"/>
      <c r="H3" s="1044"/>
      <c r="I3" s="1044"/>
      <c r="J3" s="258" t="s">
        <v>4</v>
      </c>
    </row>
    <row r="4" spans="1:40" ht="5.25" customHeight="1" x14ac:dyDescent="0.45">
      <c r="B4" s="191"/>
      <c r="C4" s="191"/>
      <c r="D4" s="191"/>
      <c r="E4" s="191"/>
      <c r="F4" s="195"/>
      <c r="G4" s="195"/>
      <c r="H4" s="196"/>
      <c r="I4" s="196"/>
      <c r="J4" s="196"/>
    </row>
    <row r="5" spans="1:40" ht="27.4" customHeight="1" x14ac:dyDescent="0.45">
      <c r="A5" s="251"/>
      <c r="B5" s="1045" t="s">
        <v>126</v>
      </c>
      <c r="C5" s="1046"/>
      <c r="D5" s="1046" t="s">
        <v>5</v>
      </c>
      <c r="E5" s="1046"/>
      <c r="F5" s="1051" t="s">
        <v>6</v>
      </c>
      <c r="G5" s="1054" t="s">
        <v>7</v>
      </c>
      <c r="H5" s="1057" t="s">
        <v>339</v>
      </c>
      <c r="I5" s="1054" t="s">
        <v>8</v>
      </c>
      <c r="J5" s="1058" t="s">
        <v>9</v>
      </c>
      <c r="K5" s="1121">
        <v>46144</v>
      </c>
      <c r="L5" s="1122"/>
      <c r="M5" s="1123"/>
      <c r="N5" s="1121">
        <v>46145</v>
      </c>
      <c r="O5" s="1123"/>
      <c r="P5" s="1121">
        <v>46146</v>
      </c>
      <c r="Q5" s="1123"/>
      <c r="R5" s="1121">
        <v>46147</v>
      </c>
      <c r="S5" s="1123"/>
      <c r="T5" s="1121">
        <v>46148</v>
      </c>
      <c r="U5" s="1123"/>
      <c r="V5" s="1121">
        <v>46150</v>
      </c>
      <c r="W5" s="1123"/>
      <c r="X5" s="1121">
        <v>46151</v>
      </c>
      <c r="Y5" s="1123"/>
      <c r="Z5" s="1121">
        <v>46152</v>
      </c>
      <c r="AA5" s="1123"/>
      <c r="AB5" s="1121">
        <v>46153</v>
      </c>
      <c r="AC5" s="1123"/>
      <c r="AD5" s="1121">
        <v>46154</v>
      </c>
      <c r="AE5" s="1123"/>
      <c r="AF5" s="903">
        <v>46155</v>
      </c>
      <c r="AG5" s="1121">
        <v>46156</v>
      </c>
      <c r="AH5" s="1122"/>
      <c r="AI5" s="933">
        <v>46157</v>
      </c>
      <c r="AJ5" s="903">
        <v>46159</v>
      </c>
      <c r="AK5" s="1121">
        <v>46160</v>
      </c>
      <c r="AL5" s="1123"/>
      <c r="AM5" s="1121">
        <v>46161</v>
      </c>
      <c r="AN5" s="1123"/>
    </row>
    <row r="6" spans="1:40" s="253" customFormat="1" ht="27.4" customHeight="1" x14ac:dyDescent="0.5">
      <c r="A6" s="252"/>
      <c r="B6" s="1047"/>
      <c r="C6" s="1048"/>
      <c r="D6" s="1048"/>
      <c r="E6" s="1048"/>
      <c r="F6" s="1052"/>
      <c r="G6" s="1055"/>
      <c r="H6" s="1056"/>
      <c r="I6" s="1055"/>
      <c r="J6" s="1059"/>
      <c r="K6" s="110">
        <v>4.1666666666666664E-2</v>
      </c>
      <c r="L6" s="792"/>
      <c r="M6" s="55">
        <v>0.41666666666666669</v>
      </c>
      <c r="N6" s="110">
        <v>0.91666666666666663</v>
      </c>
      <c r="O6" s="55"/>
      <c r="P6" s="110">
        <v>0.66666666666666663</v>
      </c>
      <c r="Q6" s="55"/>
      <c r="R6" s="110">
        <v>0.45833333333333331</v>
      </c>
      <c r="S6" s="110"/>
      <c r="T6" s="110">
        <v>0.66666666666666663</v>
      </c>
      <c r="U6" s="110"/>
      <c r="V6" s="110">
        <v>0.10416666666666667</v>
      </c>
      <c r="W6" s="110">
        <v>0.35416666666666669</v>
      </c>
      <c r="X6" s="110">
        <v>0.125</v>
      </c>
      <c r="Y6" s="110">
        <v>0.4375</v>
      </c>
      <c r="Z6" s="110">
        <v>0.125</v>
      </c>
      <c r="AA6" s="110">
        <v>0.70833333333333337</v>
      </c>
      <c r="AB6" s="110">
        <v>4.1666666666666664E-2</v>
      </c>
      <c r="AC6" s="110">
        <v>0.625</v>
      </c>
      <c r="AD6" s="792">
        <v>4.1666666666666664E-2</v>
      </c>
      <c r="AE6" s="110">
        <v>0.66666666666666663</v>
      </c>
      <c r="AF6" s="792">
        <v>0.125</v>
      </c>
      <c r="AG6" s="792">
        <v>8.3333333333333329E-2</v>
      </c>
      <c r="AH6" s="792">
        <v>0.41666666666666669</v>
      </c>
      <c r="AI6" s="934">
        <v>0.70833333333333337</v>
      </c>
      <c r="AJ6" s="934">
        <v>0.125</v>
      </c>
      <c r="AK6" s="934">
        <v>0.125</v>
      </c>
      <c r="AL6" s="934"/>
      <c r="AM6" s="934">
        <v>0.66666666666666663</v>
      </c>
      <c r="AN6" s="934"/>
    </row>
    <row r="7" spans="1:40" s="302" customFormat="1" ht="27.4" customHeight="1" x14ac:dyDescent="0.5">
      <c r="A7" s="299"/>
      <c r="B7" s="1049"/>
      <c r="C7" s="1050"/>
      <c r="D7" s="1050"/>
      <c r="E7" s="1050"/>
      <c r="F7" s="1053"/>
      <c r="G7" s="1056"/>
      <c r="H7" s="1056"/>
      <c r="I7" s="1056"/>
      <c r="J7" s="1060"/>
      <c r="K7" s="301">
        <v>55</v>
      </c>
      <c r="L7" s="793"/>
      <c r="M7" s="300">
        <v>55</v>
      </c>
      <c r="N7" s="301">
        <v>55</v>
      </c>
      <c r="O7" s="300"/>
      <c r="P7" s="301">
        <v>55</v>
      </c>
      <c r="Q7" s="300"/>
      <c r="R7" s="301">
        <v>55</v>
      </c>
      <c r="S7" s="301"/>
      <c r="T7" s="301">
        <v>55</v>
      </c>
      <c r="U7" s="301"/>
      <c r="V7" s="301">
        <v>55</v>
      </c>
      <c r="W7" s="301" t="s">
        <v>340</v>
      </c>
      <c r="X7" s="301">
        <v>55</v>
      </c>
      <c r="Y7" s="301" t="s">
        <v>340</v>
      </c>
      <c r="Z7" s="301">
        <v>55</v>
      </c>
      <c r="AA7" s="301" t="s">
        <v>340</v>
      </c>
      <c r="AB7" s="301">
        <v>55</v>
      </c>
      <c r="AC7" s="301" t="s">
        <v>340</v>
      </c>
      <c r="AD7" s="301" t="s">
        <v>340</v>
      </c>
      <c r="AE7" s="301">
        <v>56.03</v>
      </c>
      <c r="AF7" s="301" t="s">
        <v>340</v>
      </c>
      <c r="AG7" s="793" t="s">
        <v>341</v>
      </c>
      <c r="AH7" s="793">
        <v>0</v>
      </c>
      <c r="AI7" s="935" t="s">
        <v>341</v>
      </c>
      <c r="AJ7" s="935" t="s">
        <v>341</v>
      </c>
      <c r="AK7" s="935">
        <v>50</v>
      </c>
      <c r="AL7" s="935"/>
      <c r="AM7" s="935">
        <v>50</v>
      </c>
      <c r="AN7" s="935"/>
    </row>
    <row r="8" spans="1:40" ht="27.4" customHeight="1" x14ac:dyDescent="0.45">
      <c r="B8" s="1114" t="s">
        <v>342</v>
      </c>
      <c r="C8" s="1115"/>
      <c r="D8" s="1071" t="s">
        <v>343</v>
      </c>
      <c r="E8" s="1072"/>
      <c r="F8" s="381" t="s">
        <v>344</v>
      </c>
      <c r="G8" s="382" t="s">
        <v>27</v>
      </c>
      <c r="H8" s="382" t="s">
        <v>345</v>
      </c>
      <c r="I8" s="382"/>
      <c r="J8" s="383" t="s">
        <v>346</v>
      </c>
      <c r="K8" s="509">
        <v>120</v>
      </c>
      <c r="L8" s="879"/>
      <c r="M8" s="384">
        <v>120</v>
      </c>
      <c r="N8" s="509">
        <v>120</v>
      </c>
      <c r="O8" s="384"/>
      <c r="P8" s="509">
        <v>120</v>
      </c>
      <c r="Q8" s="509"/>
      <c r="R8" s="509">
        <v>135</v>
      </c>
      <c r="S8" s="509"/>
      <c r="T8" s="509">
        <v>132</v>
      </c>
      <c r="U8" s="509"/>
      <c r="V8" s="509">
        <v>120</v>
      </c>
      <c r="W8" s="509">
        <v>140</v>
      </c>
      <c r="X8" s="509">
        <v>130</v>
      </c>
      <c r="Y8" s="509">
        <v>140</v>
      </c>
      <c r="Z8" s="509">
        <v>130</v>
      </c>
      <c r="AA8" s="509">
        <v>130</v>
      </c>
      <c r="AB8" s="509">
        <v>130</v>
      </c>
      <c r="AC8" s="509">
        <v>135</v>
      </c>
      <c r="AD8" s="794">
        <v>130</v>
      </c>
      <c r="AE8" s="815">
        <v>140</v>
      </c>
      <c r="AF8" s="794">
        <v>130</v>
      </c>
      <c r="AG8" s="794">
        <v>180</v>
      </c>
      <c r="AH8" s="912">
        <v>0</v>
      </c>
      <c r="AI8" s="936">
        <v>141</v>
      </c>
      <c r="AJ8" s="936">
        <v>170</v>
      </c>
      <c r="AK8" s="936">
        <v>120</v>
      </c>
      <c r="AL8" s="936"/>
      <c r="AM8" s="936">
        <v>120</v>
      </c>
      <c r="AN8" s="936"/>
    </row>
    <row r="9" spans="1:40" ht="27.4" customHeight="1" x14ac:dyDescent="0.45">
      <c r="B9" s="1067"/>
      <c r="C9" s="1116"/>
      <c r="D9" s="1073"/>
      <c r="E9" s="1074"/>
      <c r="F9" s="97" t="s">
        <v>347</v>
      </c>
      <c r="G9" s="56" t="s">
        <v>48</v>
      </c>
      <c r="H9" s="56" t="s">
        <v>217</v>
      </c>
      <c r="I9" s="56"/>
      <c r="J9" s="98"/>
      <c r="K9" s="246">
        <v>574.29999999999995</v>
      </c>
      <c r="L9" s="795"/>
      <c r="M9" s="255">
        <v>573.6</v>
      </c>
      <c r="N9" s="246">
        <v>581</v>
      </c>
      <c r="O9" s="255"/>
      <c r="P9" s="246">
        <v>582</v>
      </c>
      <c r="Q9" s="246"/>
      <c r="R9" s="246">
        <v>580.4</v>
      </c>
      <c r="S9" s="246"/>
      <c r="T9" s="246">
        <v>575</v>
      </c>
      <c r="U9" s="246"/>
      <c r="V9" s="246">
        <v>581.20000000000005</v>
      </c>
      <c r="W9" s="246">
        <v>608</v>
      </c>
      <c r="X9" s="246">
        <v>592.20000000000005</v>
      </c>
      <c r="Y9" s="246">
        <v>608.29999999999995</v>
      </c>
      <c r="Z9" s="246">
        <v>598</v>
      </c>
      <c r="AA9" s="246">
        <v>601.1</v>
      </c>
      <c r="AB9" s="246">
        <v>598</v>
      </c>
      <c r="AC9" s="246">
        <v>589</v>
      </c>
      <c r="AD9" s="795">
        <v>574.29999999999995</v>
      </c>
      <c r="AE9" s="816">
        <v>613.4</v>
      </c>
      <c r="AF9" s="795">
        <v>573.6</v>
      </c>
      <c r="AG9" s="795">
        <v>766.2</v>
      </c>
      <c r="AH9" s="913">
        <v>0</v>
      </c>
      <c r="AI9" s="937">
        <v>770</v>
      </c>
      <c r="AJ9" s="937">
        <v>777.4</v>
      </c>
      <c r="AK9" s="937">
        <v>535.20000000000005</v>
      </c>
      <c r="AL9" s="937"/>
      <c r="AM9" s="937">
        <v>583</v>
      </c>
      <c r="AN9" s="937"/>
    </row>
    <row r="10" spans="1:40" ht="27.4" customHeight="1" x14ac:dyDescent="0.45">
      <c r="B10" s="1067"/>
      <c r="C10" s="1116"/>
      <c r="D10" s="1073"/>
      <c r="E10" s="1074"/>
      <c r="F10" s="87" t="s">
        <v>45</v>
      </c>
      <c r="G10" s="83" t="s">
        <v>348</v>
      </c>
      <c r="H10" s="83" t="s">
        <v>217</v>
      </c>
      <c r="I10" s="83"/>
      <c r="J10" s="88"/>
      <c r="K10" s="246">
        <v>3.12</v>
      </c>
      <c r="L10" s="795"/>
      <c r="M10" s="255">
        <v>2.5299999999999998</v>
      </c>
      <c r="N10" s="246">
        <v>1.42</v>
      </c>
      <c r="O10" s="255"/>
      <c r="P10" s="246">
        <v>2.56</v>
      </c>
      <c r="Q10" s="246"/>
      <c r="R10" s="246">
        <v>2.17</v>
      </c>
      <c r="S10" s="246"/>
      <c r="T10" s="246">
        <v>1.48</v>
      </c>
      <c r="U10" s="246"/>
      <c r="V10" s="246">
        <v>1.31</v>
      </c>
      <c r="W10" s="246">
        <v>7.46</v>
      </c>
      <c r="X10" s="246">
        <v>2.36</v>
      </c>
      <c r="Y10" s="246">
        <v>5.42</v>
      </c>
      <c r="Z10" s="246">
        <v>5.66</v>
      </c>
      <c r="AA10" s="246">
        <v>4.3899999999999997</v>
      </c>
      <c r="AB10" s="246">
        <v>5.66</v>
      </c>
      <c r="AC10" s="246">
        <v>5.45</v>
      </c>
      <c r="AD10" s="795">
        <v>3.12</v>
      </c>
      <c r="AE10" s="816">
        <v>7.8</v>
      </c>
      <c r="AF10" s="795">
        <v>2.5299999999999998</v>
      </c>
      <c r="AG10" s="795">
        <v>16.59</v>
      </c>
      <c r="AH10" s="913">
        <v>0</v>
      </c>
      <c r="AI10" s="937">
        <v>18.07</v>
      </c>
      <c r="AJ10" s="937">
        <v>18.329999999999998</v>
      </c>
      <c r="AK10" s="937">
        <v>-2.83</v>
      </c>
      <c r="AL10" s="937"/>
      <c r="AM10" s="937">
        <v>59.88</v>
      </c>
      <c r="AN10" s="937"/>
    </row>
    <row r="11" spans="1:40" ht="27.4" customHeight="1" x14ac:dyDescent="0.45">
      <c r="B11" s="1067"/>
      <c r="C11" s="1116"/>
      <c r="D11" s="1073"/>
      <c r="E11" s="1074"/>
      <c r="F11" s="97" t="s">
        <v>349</v>
      </c>
      <c r="G11" s="56" t="s">
        <v>48</v>
      </c>
      <c r="H11" s="56" t="s">
        <v>350</v>
      </c>
      <c r="I11" s="56"/>
      <c r="J11" s="98"/>
      <c r="K11" s="246">
        <v>250</v>
      </c>
      <c r="L11" s="795"/>
      <c r="M11" s="255">
        <v>250</v>
      </c>
      <c r="N11" s="246">
        <v>250</v>
      </c>
      <c r="O11" s="255"/>
      <c r="P11" s="246">
        <v>250</v>
      </c>
      <c r="Q11" s="246"/>
      <c r="R11" s="246">
        <v>300</v>
      </c>
      <c r="S11" s="246"/>
      <c r="T11" s="246">
        <v>300</v>
      </c>
      <c r="U11" s="246"/>
      <c r="V11" s="246">
        <v>300</v>
      </c>
      <c r="W11" s="246">
        <v>300</v>
      </c>
      <c r="X11" s="246">
        <v>300</v>
      </c>
      <c r="Y11" s="246">
        <v>310</v>
      </c>
      <c r="Z11" s="246">
        <v>310</v>
      </c>
      <c r="AA11" s="246">
        <v>300</v>
      </c>
      <c r="AB11" s="246">
        <v>310</v>
      </c>
      <c r="AC11" s="246">
        <v>300</v>
      </c>
      <c r="AD11" s="795">
        <v>250</v>
      </c>
      <c r="AE11" s="816">
        <v>330</v>
      </c>
      <c r="AF11" s="795">
        <v>250</v>
      </c>
      <c r="AG11" s="795">
        <v>400</v>
      </c>
      <c r="AH11" s="913">
        <v>0</v>
      </c>
      <c r="AI11" s="937">
        <v>400</v>
      </c>
      <c r="AJ11" s="937">
        <v>400</v>
      </c>
      <c r="AK11" s="937">
        <v>300</v>
      </c>
      <c r="AL11" s="937"/>
      <c r="AM11" s="937">
        <v>300</v>
      </c>
      <c r="AN11" s="937"/>
    </row>
    <row r="12" spans="1:40" ht="27.4" customHeight="1" x14ac:dyDescent="0.45">
      <c r="B12" s="1067"/>
      <c r="C12" s="1116"/>
      <c r="D12" s="1075"/>
      <c r="E12" s="1076"/>
      <c r="F12" s="339" t="s">
        <v>351</v>
      </c>
      <c r="G12" s="111" t="s">
        <v>48</v>
      </c>
      <c r="H12" s="111" t="s">
        <v>350</v>
      </c>
      <c r="I12" s="111"/>
      <c r="J12" s="112"/>
      <c r="K12" s="261">
        <v>250</v>
      </c>
      <c r="L12" s="796"/>
      <c r="M12" s="308">
        <v>250</v>
      </c>
      <c r="N12" s="261">
        <v>250</v>
      </c>
      <c r="O12" s="308"/>
      <c r="P12" s="261">
        <v>250</v>
      </c>
      <c r="Q12" s="261"/>
      <c r="R12" s="261">
        <v>300</v>
      </c>
      <c r="S12" s="261"/>
      <c r="T12" s="261">
        <v>300</v>
      </c>
      <c r="U12" s="261"/>
      <c r="V12" s="261">
        <v>300</v>
      </c>
      <c r="W12" s="261">
        <v>300</v>
      </c>
      <c r="X12" s="261">
        <v>300</v>
      </c>
      <c r="Y12" s="261">
        <v>310</v>
      </c>
      <c r="Z12" s="261">
        <v>310</v>
      </c>
      <c r="AA12" s="261">
        <v>290</v>
      </c>
      <c r="AB12" s="261">
        <v>310</v>
      </c>
      <c r="AC12" s="261">
        <v>300</v>
      </c>
      <c r="AD12" s="796">
        <v>250</v>
      </c>
      <c r="AE12" s="817">
        <v>300</v>
      </c>
      <c r="AF12" s="796">
        <v>250</v>
      </c>
      <c r="AG12" s="796">
        <v>390</v>
      </c>
      <c r="AH12" s="914">
        <v>0</v>
      </c>
      <c r="AI12" s="938">
        <v>400</v>
      </c>
      <c r="AJ12" s="938">
        <v>380</v>
      </c>
      <c r="AK12" s="938">
        <v>280</v>
      </c>
      <c r="AL12" s="938"/>
      <c r="AM12" s="938">
        <v>300</v>
      </c>
      <c r="AN12" s="938"/>
    </row>
    <row r="13" spans="1:40" ht="27.4" customHeight="1" x14ac:dyDescent="0.45">
      <c r="B13" s="1067"/>
      <c r="C13" s="1116"/>
      <c r="D13" s="1077" t="s">
        <v>352</v>
      </c>
      <c r="E13" s="1078"/>
      <c r="F13" s="354" t="s">
        <v>43</v>
      </c>
      <c r="G13" s="355" t="s">
        <v>12</v>
      </c>
      <c r="H13" s="83" t="s">
        <v>217</v>
      </c>
      <c r="I13" s="355"/>
      <c r="J13" s="356"/>
      <c r="K13" s="495">
        <v>52.78</v>
      </c>
      <c r="L13" s="797"/>
      <c r="M13" s="357">
        <v>54.44</v>
      </c>
      <c r="N13" s="495">
        <v>54.64</v>
      </c>
      <c r="O13" s="357"/>
      <c r="P13" s="495">
        <v>54.33</v>
      </c>
      <c r="Q13" s="495"/>
      <c r="R13" s="495">
        <v>53.87</v>
      </c>
      <c r="S13" s="495"/>
      <c r="T13" s="495">
        <v>57.6</v>
      </c>
      <c r="U13" s="495"/>
      <c r="V13" s="495">
        <v>56.5</v>
      </c>
      <c r="W13" s="495">
        <v>53.24</v>
      </c>
      <c r="X13" s="495">
        <v>55.2</v>
      </c>
      <c r="Y13" s="495">
        <v>55.06</v>
      </c>
      <c r="Z13" s="495">
        <v>52.46</v>
      </c>
      <c r="AA13" s="495">
        <v>58.64</v>
      </c>
      <c r="AB13" s="495">
        <v>52.46</v>
      </c>
      <c r="AC13" s="495">
        <v>50.67</v>
      </c>
      <c r="AD13" s="797">
        <v>52.78</v>
      </c>
      <c r="AE13" s="828">
        <v>54.53</v>
      </c>
      <c r="AF13" s="797">
        <v>54.44</v>
      </c>
      <c r="AG13" s="797">
        <v>101.92</v>
      </c>
      <c r="AH13" s="915">
        <v>0</v>
      </c>
      <c r="AI13" s="939">
        <v>102.38</v>
      </c>
      <c r="AJ13" s="939">
        <v>99.94</v>
      </c>
      <c r="AK13" s="939">
        <v>50.2</v>
      </c>
      <c r="AL13" s="939"/>
      <c r="AM13" s="939">
        <v>59</v>
      </c>
      <c r="AN13" s="939"/>
    </row>
    <row r="14" spans="1:40" ht="27.4" customHeight="1" x14ac:dyDescent="0.45">
      <c r="B14" s="1067"/>
      <c r="C14" s="1116"/>
      <c r="D14" s="1079"/>
      <c r="E14" s="1080"/>
      <c r="F14" s="87" t="s">
        <v>45</v>
      </c>
      <c r="G14" s="83" t="s">
        <v>348</v>
      </c>
      <c r="H14" s="83" t="s">
        <v>217</v>
      </c>
      <c r="I14" s="83"/>
      <c r="J14" s="88"/>
      <c r="K14" s="247">
        <v>2.62</v>
      </c>
      <c r="L14" s="795"/>
      <c r="M14" s="255">
        <v>3.72</v>
      </c>
      <c r="N14" s="247">
        <v>1.46</v>
      </c>
      <c r="O14" s="255"/>
      <c r="P14" s="247">
        <v>3.43</v>
      </c>
      <c r="Q14" s="247"/>
      <c r="R14" s="247">
        <v>1.38</v>
      </c>
      <c r="S14" s="247"/>
      <c r="T14" s="247">
        <v>1.22</v>
      </c>
      <c r="U14" s="247"/>
      <c r="V14" s="247">
        <v>1.26</v>
      </c>
      <c r="W14" s="247">
        <v>7.03</v>
      </c>
      <c r="X14" s="247">
        <v>2.39</v>
      </c>
      <c r="Y14" s="247">
        <v>5.75</v>
      </c>
      <c r="Z14" s="247">
        <v>5.46</v>
      </c>
      <c r="AA14" s="247">
        <v>5.22</v>
      </c>
      <c r="AB14" s="247">
        <v>5.46</v>
      </c>
      <c r="AC14" s="247">
        <v>5.48</v>
      </c>
      <c r="AD14" s="795">
        <v>2.62</v>
      </c>
      <c r="AE14" s="816">
        <v>6.88</v>
      </c>
      <c r="AF14" s="795">
        <v>3.72</v>
      </c>
      <c r="AG14" s="795">
        <v>16.399999999999999</v>
      </c>
      <c r="AH14" s="913">
        <v>0</v>
      </c>
      <c r="AI14" s="937">
        <v>19.27</v>
      </c>
      <c r="AJ14" s="937">
        <v>16.510000000000002</v>
      </c>
      <c r="AK14" s="937">
        <v>-3.17</v>
      </c>
      <c r="AL14" s="937"/>
      <c r="AM14" s="937">
        <v>1.31</v>
      </c>
      <c r="AN14" s="937"/>
    </row>
    <row r="15" spans="1:40" ht="27.4" customHeight="1" x14ac:dyDescent="0.45">
      <c r="B15" s="1067"/>
      <c r="C15" s="1116"/>
      <c r="D15" s="1079"/>
      <c r="E15" s="1080"/>
      <c r="F15" s="97" t="s">
        <v>353</v>
      </c>
      <c r="G15" s="56" t="s">
        <v>354</v>
      </c>
      <c r="H15" s="56" t="s">
        <v>217</v>
      </c>
      <c r="I15" s="56"/>
      <c r="J15" s="98"/>
      <c r="K15" s="247">
        <v>13.27</v>
      </c>
      <c r="L15" s="795"/>
      <c r="M15" s="255">
        <v>13.26</v>
      </c>
      <c r="N15" s="247">
        <v>13.27</v>
      </c>
      <c r="O15" s="255"/>
      <c r="P15" s="247">
        <v>13.23</v>
      </c>
      <c r="Q15" s="247"/>
      <c r="R15" s="247">
        <v>13.26</v>
      </c>
      <c r="S15" s="247"/>
      <c r="T15" s="247">
        <v>13.24</v>
      </c>
      <c r="U15" s="247"/>
      <c r="V15" s="247">
        <v>13.22</v>
      </c>
      <c r="W15" s="247">
        <v>13.32</v>
      </c>
      <c r="X15" s="247">
        <v>13.25</v>
      </c>
      <c r="Y15" s="247">
        <v>13.32</v>
      </c>
      <c r="Z15" s="247">
        <v>13.33</v>
      </c>
      <c r="AA15" s="247">
        <v>13.31</v>
      </c>
      <c r="AB15" s="247">
        <v>13.33</v>
      </c>
      <c r="AC15" s="247">
        <v>13.32</v>
      </c>
      <c r="AD15" s="795">
        <v>13.27</v>
      </c>
      <c r="AE15" s="816">
        <v>13.38</v>
      </c>
      <c r="AF15" s="795">
        <v>13.26</v>
      </c>
      <c r="AG15" s="795">
        <v>13.35</v>
      </c>
      <c r="AH15" s="913">
        <v>0</v>
      </c>
      <c r="AI15" s="937">
        <v>13.31</v>
      </c>
      <c r="AJ15" s="937">
        <v>13.3</v>
      </c>
      <c r="AK15" s="937">
        <v>13.2</v>
      </c>
      <c r="AL15" s="937"/>
      <c r="AM15" s="937">
        <v>13.2</v>
      </c>
      <c r="AN15" s="937"/>
    </row>
    <row r="16" spans="1:40" ht="27.4" customHeight="1" x14ac:dyDescent="0.45">
      <c r="B16" s="1067"/>
      <c r="C16" s="1116"/>
      <c r="D16" s="1079"/>
      <c r="E16" s="1080"/>
      <c r="F16" s="101" t="s">
        <v>259</v>
      </c>
      <c r="G16" s="62" t="s">
        <v>48</v>
      </c>
      <c r="H16" s="62"/>
      <c r="I16" s="62"/>
      <c r="J16" s="102"/>
      <c r="K16" s="247">
        <v>2345</v>
      </c>
      <c r="L16" s="795"/>
      <c r="M16" s="255">
        <v>2356</v>
      </c>
      <c r="N16" s="247">
        <v>2370</v>
      </c>
      <c r="O16" s="255"/>
      <c r="P16" s="247">
        <v>2330</v>
      </c>
      <c r="Q16" s="247"/>
      <c r="R16" s="247">
        <v>2351</v>
      </c>
      <c r="S16" s="247"/>
      <c r="T16" s="247">
        <v>2370</v>
      </c>
      <c r="U16" s="247"/>
      <c r="V16" s="247">
        <v>2412</v>
      </c>
      <c r="W16" s="247">
        <v>2327</v>
      </c>
      <c r="X16" s="247">
        <v>2415</v>
      </c>
      <c r="Y16" s="247">
        <v>2378</v>
      </c>
      <c r="Z16" s="247">
        <v>2269</v>
      </c>
      <c r="AA16" s="247">
        <v>2553</v>
      </c>
      <c r="AB16" s="247">
        <v>2269</v>
      </c>
      <c r="AC16" s="795">
        <v>2205</v>
      </c>
      <c r="AD16" s="835">
        <v>2345</v>
      </c>
      <c r="AE16" s="816">
        <v>2275</v>
      </c>
      <c r="AF16" s="835">
        <v>2356</v>
      </c>
      <c r="AG16" s="835">
        <v>4480</v>
      </c>
      <c r="AH16" s="913">
        <v>0</v>
      </c>
      <c r="AI16" s="937">
        <v>4511</v>
      </c>
      <c r="AJ16" s="937">
        <v>4409</v>
      </c>
      <c r="AK16" s="937">
        <v>2147</v>
      </c>
      <c r="AL16" s="937"/>
      <c r="AM16" s="937">
        <v>2585</v>
      </c>
      <c r="AN16" s="937"/>
    </row>
    <row r="17" spans="1:40" s="256" customFormat="1" ht="25.5" customHeight="1" x14ac:dyDescent="0.5">
      <c r="A17" s="254"/>
      <c r="B17" s="1067"/>
      <c r="C17" s="1116"/>
      <c r="D17" s="1081"/>
      <c r="E17" s="1082"/>
      <c r="F17" s="359" t="s">
        <v>355</v>
      </c>
      <c r="G17" s="360"/>
      <c r="H17" s="360"/>
      <c r="I17" s="360"/>
      <c r="J17" s="361" t="s">
        <v>181</v>
      </c>
      <c r="K17" s="256" t="s">
        <v>356</v>
      </c>
      <c r="M17" s="362" t="s">
        <v>356</v>
      </c>
      <c r="N17" s="256" t="s">
        <v>356</v>
      </c>
      <c r="O17" s="362"/>
      <c r="P17" s="256" t="s">
        <v>356</v>
      </c>
      <c r="R17" s="256" t="s">
        <v>356</v>
      </c>
      <c r="T17" s="905" t="s">
        <v>357</v>
      </c>
      <c r="V17" s="905" t="s">
        <v>357</v>
      </c>
      <c r="W17" s="256" t="s">
        <v>356</v>
      </c>
      <c r="X17" s="256" t="s">
        <v>356</v>
      </c>
      <c r="Y17" s="905" t="s">
        <v>357</v>
      </c>
      <c r="Z17" s="256" t="s">
        <v>356</v>
      </c>
      <c r="AA17" s="239" t="s">
        <v>356</v>
      </c>
      <c r="AB17" s="256" t="s">
        <v>356</v>
      </c>
      <c r="AC17" s="905" t="s">
        <v>357</v>
      </c>
      <c r="AD17" s="853" t="s">
        <v>356</v>
      </c>
      <c r="AE17" s="829" t="s">
        <v>356</v>
      </c>
      <c r="AF17" s="853" t="s">
        <v>356</v>
      </c>
      <c r="AG17" s="853" t="s">
        <v>356</v>
      </c>
      <c r="AH17" s="916" t="s">
        <v>133</v>
      </c>
      <c r="AI17" s="937" t="s">
        <v>356</v>
      </c>
      <c r="AJ17" s="937" t="s">
        <v>356</v>
      </c>
      <c r="AK17" s="937" t="s">
        <v>356</v>
      </c>
      <c r="AL17" s="937"/>
      <c r="AM17" s="937" t="s">
        <v>356</v>
      </c>
      <c r="AN17" s="937"/>
    </row>
    <row r="18" spans="1:40" ht="27.4" customHeight="1" x14ac:dyDescent="0.45">
      <c r="B18" s="1067"/>
      <c r="C18" s="1116"/>
      <c r="D18" s="1077" t="s">
        <v>358</v>
      </c>
      <c r="E18" s="1078"/>
      <c r="F18" s="99" t="s">
        <v>359</v>
      </c>
      <c r="G18" s="57" t="s">
        <v>77</v>
      </c>
      <c r="H18" s="57"/>
      <c r="I18" s="57"/>
      <c r="J18" s="100" t="s">
        <v>360</v>
      </c>
      <c r="K18" s="333">
        <v>54.64</v>
      </c>
      <c r="L18" s="798"/>
      <c r="M18" s="305">
        <v>53.66</v>
      </c>
      <c r="N18" s="333">
        <v>55.98</v>
      </c>
      <c r="O18" s="305"/>
      <c r="P18" s="333">
        <v>56</v>
      </c>
      <c r="Q18" s="333"/>
      <c r="R18" s="333">
        <v>53.72</v>
      </c>
      <c r="S18" s="333"/>
      <c r="T18" s="333">
        <v>53.33</v>
      </c>
      <c r="U18" s="333"/>
      <c r="V18" s="333">
        <v>53.36</v>
      </c>
      <c r="W18" s="333">
        <v>53.51</v>
      </c>
      <c r="X18" s="333">
        <v>53.41</v>
      </c>
      <c r="Y18" s="333">
        <v>55</v>
      </c>
      <c r="Z18" s="333">
        <v>51.71</v>
      </c>
      <c r="AA18" s="333">
        <v>59.79</v>
      </c>
      <c r="AB18" s="333">
        <v>51.71</v>
      </c>
      <c r="AC18" s="798">
        <v>49.36</v>
      </c>
      <c r="AD18" s="836">
        <v>54.64</v>
      </c>
      <c r="AE18" s="818">
        <v>52.4</v>
      </c>
      <c r="AF18" s="836">
        <v>53.66</v>
      </c>
      <c r="AG18" s="836">
        <v>75.8</v>
      </c>
      <c r="AH18" s="917">
        <v>56</v>
      </c>
      <c r="AI18" s="941">
        <v>76.7</v>
      </c>
      <c r="AJ18" s="937">
        <v>76.3</v>
      </c>
      <c r="AK18" s="937">
        <v>47.9</v>
      </c>
      <c r="AL18" s="937"/>
      <c r="AM18" s="937">
        <v>59.8</v>
      </c>
      <c r="AN18" s="937"/>
    </row>
    <row r="19" spans="1:40" ht="27.4" customHeight="1" x14ac:dyDescent="0.45">
      <c r="B19" s="1067"/>
      <c r="C19" s="1116"/>
      <c r="D19" s="1079"/>
      <c r="E19" s="1080"/>
      <c r="F19" s="87" t="s">
        <v>361</v>
      </c>
      <c r="G19" s="83" t="s">
        <v>21</v>
      </c>
      <c r="H19" s="83"/>
      <c r="I19" s="83"/>
      <c r="J19" s="88" t="s">
        <v>362</v>
      </c>
      <c r="K19" s="247" t="s">
        <v>363</v>
      </c>
      <c r="L19" s="795"/>
      <c r="M19" s="255" t="s">
        <v>364</v>
      </c>
      <c r="N19" s="247" t="s">
        <v>48</v>
      </c>
      <c r="O19" s="255"/>
      <c r="P19" s="247" t="s">
        <v>48</v>
      </c>
      <c r="Q19" s="247"/>
      <c r="R19" s="247" t="s">
        <v>48</v>
      </c>
      <c r="S19" s="247"/>
      <c r="T19" s="247" t="s">
        <v>48</v>
      </c>
      <c r="U19" s="247"/>
      <c r="V19" s="247" t="s">
        <v>48</v>
      </c>
      <c r="W19" s="247" t="s">
        <v>48</v>
      </c>
      <c r="X19" s="247" t="s">
        <v>48</v>
      </c>
      <c r="Y19" s="247" t="s">
        <v>48</v>
      </c>
      <c r="Z19" s="247" t="s">
        <v>48</v>
      </c>
      <c r="AA19" s="247" t="s">
        <v>48</v>
      </c>
      <c r="AB19" s="247" t="s">
        <v>48</v>
      </c>
      <c r="AC19" s="795" t="s">
        <v>48</v>
      </c>
      <c r="AD19" s="835" t="s">
        <v>48</v>
      </c>
      <c r="AE19" s="816" t="s">
        <v>48</v>
      </c>
      <c r="AF19" s="835" t="s">
        <v>48</v>
      </c>
      <c r="AG19" s="835" t="s">
        <v>48</v>
      </c>
      <c r="AH19" s="913" t="s">
        <v>365</v>
      </c>
      <c r="AI19" s="937" t="s">
        <v>48</v>
      </c>
      <c r="AJ19" s="937" t="s">
        <v>48</v>
      </c>
      <c r="AK19" s="937" t="s">
        <v>48</v>
      </c>
      <c r="AL19" s="937"/>
      <c r="AM19" s="937" t="s">
        <v>48</v>
      </c>
      <c r="AN19" s="937"/>
    </row>
    <row r="20" spans="1:40" ht="27.4" customHeight="1" x14ac:dyDescent="0.45">
      <c r="B20" s="1067"/>
      <c r="C20" s="1116"/>
      <c r="D20" s="1081"/>
      <c r="E20" s="1082"/>
      <c r="F20" s="101" t="s">
        <v>366</v>
      </c>
      <c r="G20" s="62" t="s">
        <v>77</v>
      </c>
      <c r="H20" s="62"/>
      <c r="I20" s="62"/>
      <c r="J20" s="102" t="s">
        <v>360</v>
      </c>
      <c r="K20" s="334">
        <v>91.86</v>
      </c>
      <c r="L20" s="796"/>
      <c r="M20" s="308">
        <v>90.52</v>
      </c>
      <c r="N20" s="334">
        <v>91.45</v>
      </c>
      <c r="O20" s="308"/>
      <c r="P20" s="334">
        <v>91</v>
      </c>
      <c r="Q20" s="334"/>
      <c r="R20" s="334">
        <v>91.72</v>
      </c>
      <c r="S20" s="334"/>
      <c r="T20" s="334">
        <v>90.87</v>
      </c>
      <c r="U20" s="334"/>
      <c r="V20" s="334">
        <v>90.75</v>
      </c>
      <c r="W20" s="334">
        <v>90.03</v>
      </c>
      <c r="X20" s="334">
        <v>90.58</v>
      </c>
      <c r="Y20" s="334">
        <v>91</v>
      </c>
      <c r="Z20" s="334">
        <v>90.57</v>
      </c>
      <c r="AA20" s="334">
        <v>93.87</v>
      </c>
      <c r="AB20" s="334">
        <v>90.57</v>
      </c>
      <c r="AC20" s="796">
        <v>89.34</v>
      </c>
      <c r="AD20" s="837">
        <v>91.86</v>
      </c>
      <c r="AE20" s="817">
        <v>91.5</v>
      </c>
      <c r="AF20" s="837">
        <v>90.52</v>
      </c>
      <c r="AG20" s="837">
        <v>99.4</v>
      </c>
      <c r="AH20" s="914">
        <v>0</v>
      </c>
      <c r="AI20" s="938">
        <v>98.88</v>
      </c>
      <c r="AJ20" s="937">
        <v>99.57</v>
      </c>
      <c r="AK20" s="937">
        <v>87.23</v>
      </c>
      <c r="AL20" s="937"/>
      <c r="AM20" s="937">
        <v>94.59</v>
      </c>
      <c r="AN20" s="937"/>
    </row>
    <row r="21" spans="1:40" ht="27.4" customHeight="1" x14ac:dyDescent="0.45">
      <c r="B21" s="1067"/>
      <c r="C21" s="1116"/>
      <c r="D21" s="1077" t="s">
        <v>367</v>
      </c>
      <c r="E21" s="1078"/>
      <c r="F21" s="343" t="s">
        <v>368</v>
      </c>
      <c r="G21" s="344" t="s">
        <v>21</v>
      </c>
      <c r="H21" s="344"/>
      <c r="I21" s="344"/>
      <c r="J21" s="345" t="s">
        <v>276</v>
      </c>
      <c r="K21" s="358" t="s">
        <v>200</v>
      </c>
      <c r="L21" s="799"/>
      <c r="M21" s="357" t="s">
        <v>200</v>
      </c>
      <c r="N21" s="358" t="s">
        <v>200</v>
      </c>
      <c r="O21" s="357"/>
      <c r="P21" s="358" t="s">
        <v>200</v>
      </c>
      <c r="Q21" s="358"/>
      <c r="R21" s="358" t="s">
        <v>200</v>
      </c>
      <c r="S21" s="358"/>
      <c r="T21" s="358" t="s">
        <v>200</v>
      </c>
      <c r="U21" s="358"/>
      <c r="V21" s="358" t="s">
        <v>200</v>
      </c>
      <c r="W21" s="358" t="s">
        <v>200</v>
      </c>
      <c r="X21" s="358" t="s">
        <v>200</v>
      </c>
      <c r="Y21" s="358" t="s">
        <v>200</v>
      </c>
      <c r="Z21" s="358" t="s">
        <v>200</v>
      </c>
      <c r="AA21" s="358" t="s">
        <v>200</v>
      </c>
      <c r="AB21" s="358" t="s">
        <v>200</v>
      </c>
      <c r="AC21" s="799" t="s">
        <v>200</v>
      </c>
      <c r="AD21" s="838" t="s">
        <v>200</v>
      </c>
      <c r="AE21" s="820" t="s">
        <v>200</v>
      </c>
      <c r="AF21" s="838" t="s">
        <v>200</v>
      </c>
      <c r="AG21" s="838" t="s">
        <v>200</v>
      </c>
      <c r="AH21" s="918" t="s">
        <v>225</v>
      </c>
      <c r="AI21" s="942" t="s">
        <v>200</v>
      </c>
      <c r="AJ21" s="942" t="s">
        <v>200</v>
      </c>
      <c r="AK21" s="942" t="s">
        <v>200</v>
      </c>
      <c r="AL21" s="942"/>
      <c r="AM21" s="942" t="s">
        <v>200</v>
      </c>
      <c r="AN21" s="942"/>
    </row>
    <row r="22" spans="1:40" ht="17.649999999999999" customHeight="1" x14ac:dyDescent="0.45">
      <c r="B22" s="1067"/>
      <c r="C22" s="1116"/>
      <c r="D22" s="1079"/>
      <c r="E22" s="1080"/>
      <c r="F22" s="97" t="s">
        <v>369</v>
      </c>
      <c r="G22" s="56" t="s">
        <v>21</v>
      </c>
      <c r="H22" s="56"/>
      <c r="I22" s="56"/>
      <c r="J22" s="98" t="s">
        <v>276</v>
      </c>
      <c r="K22" s="247" t="s">
        <v>370</v>
      </c>
      <c r="L22" s="795"/>
      <c r="M22" s="255" t="s">
        <v>200</v>
      </c>
      <c r="N22" s="247" t="s">
        <v>370</v>
      </c>
      <c r="O22" s="255"/>
      <c r="P22" s="247" t="s">
        <v>200</v>
      </c>
      <c r="Q22" s="247"/>
      <c r="R22" s="247" t="s">
        <v>200</v>
      </c>
      <c r="S22" s="247"/>
      <c r="T22" s="247" t="s">
        <v>200</v>
      </c>
      <c r="U22" s="247"/>
      <c r="V22" s="247" t="s">
        <v>200</v>
      </c>
      <c r="W22" s="247" t="s">
        <v>200</v>
      </c>
      <c r="X22" s="247" t="s">
        <v>200</v>
      </c>
      <c r="Y22" s="247" t="s">
        <v>200</v>
      </c>
      <c r="Z22" s="247" t="s">
        <v>200</v>
      </c>
      <c r="AA22" s="247" t="s">
        <v>200</v>
      </c>
      <c r="AB22" s="247" t="s">
        <v>200</v>
      </c>
      <c r="AC22" s="795" t="s">
        <v>200</v>
      </c>
      <c r="AD22" s="835" t="s">
        <v>200</v>
      </c>
      <c r="AE22" s="816" t="s">
        <v>200</v>
      </c>
      <c r="AF22" s="835" t="s">
        <v>200</v>
      </c>
      <c r="AG22" s="835" t="s">
        <v>200</v>
      </c>
      <c r="AH22" s="913" t="s">
        <v>200</v>
      </c>
      <c r="AI22" s="937" t="s">
        <v>200</v>
      </c>
      <c r="AJ22" s="937" t="s">
        <v>200</v>
      </c>
      <c r="AK22" s="937" t="s">
        <v>200</v>
      </c>
      <c r="AL22" s="937"/>
      <c r="AM22" s="937" t="s">
        <v>200</v>
      </c>
      <c r="AN22" s="937"/>
    </row>
    <row r="23" spans="1:40" ht="25.15" customHeight="1" x14ac:dyDescent="0.45">
      <c r="B23" s="1067"/>
      <c r="C23" s="1116"/>
      <c r="D23" s="1079"/>
      <c r="E23" s="1080"/>
      <c r="F23" s="87" t="s">
        <v>371</v>
      </c>
      <c r="G23" s="83"/>
      <c r="H23" s="83"/>
      <c r="I23" s="83"/>
      <c r="J23" s="88" t="s">
        <v>276</v>
      </c>
      <c r="K23" s="247" t="s">
        <v>370</v>
      </c>
      <c r="L23" s="795"/>
      <c r="M23" s="255" t="s">
        <v>200</v>
      </c>
      <c r="N23" s="247" t="s">
        <v>370</v>
      </c>
      <c r="O23" s="255"/>
      <c r="P23" s="247" t="s">
        <v>200</v>
      </c>
      <c r="Q23" s="247"/>
      <c r="R23" s="247" t="s">
        <v>200</v>
      </c>
      <c r="S23" s="247"/>
      <c r="T23" s="247" t="s">
        <v>200</v>
      </c>
      <c r="U23" s="247"/>
      <c r="V23" s="247" t="s">
        <v>200</v>
      </c>
      <c r="W23" s="247" t="s">
        <v>200</v>
      </c>
      <c r="X23" s="247" t="s">
        <v>200</v>
      </c>
      <c r="Y23" s="247" t="s">
        <v>200</v>
      </c>
      <c r="Z23" s="247" t="s">
        <v>200</v>
      </c>
      <c r="AA23" s="247" t="s">
        <v>200</v>
      </c>
      <c r="AB23" s="247" t="s">
        <v>200</v>
      </c>
      <c r="AC23" s="795" t="s">
        <v>200</v>
      </c>
      <c r="AD23" s="835" t="s">
        <v>200</v>
      </c>
      <c r="AE23" s="816" t="s">
        <v>200</v>
      </c>
      <c r="AF23" s="835" t="s">
        <v>200</v>
      </c>
      <c r="AG23" s="835" t="s">
        <v>200</v>
      </c>
      <c r="AH23" s="913" t="s">
        <v>200</v>
      </c>
      <c r="AI23" s="937" t="s">
        <v>200</v>
      </c>
      <c r="AJ23" s="937" t="s">
        <v>200</v>
      </c>
      <c r="AK23" s="937" t="s">
        <v>200</v>
      </c>
      <c r="AL23" s="937"/>
      <c r="AM23" s="937" t="s">
        <v>200</v>
      </c>
      <c r="AN23" s="937"/>
    </row>
    <row r="24" spans="1:40" ht="25.5" customHeight="1" x14ac:dyDescent="0.45">
      <c r="B24" s="1067"/>
      <c r="C24" s="1116"/>
      <c r="D24" s="1081"/>
      <c r="E24" s="1082"/>
      <c r="F24" s="348" t="s">
        <v>372</v>
      </c>
      <c r="G24" s="349"/>
      <c r="H24" s="349"/>
      <c r="I24" s="349"/>
      <c r="J24" s="350" t="s">
        <v>276</v>
      </c>
      <c r="K24" s="363" t="s">
        <v>370</v>
      </c>
      <c r="L24" s="800"/>
      <c r="M24" s="362" t="s">
        <v>200</v>
      </c>
      <c r="N24" s="363" t="s">
        <v>370</v>
      </c>
      <c r="O24" s="362"/>
      <c r="P24" s="363" t="s">
        <v>200</v>
      </c>
      <c r="Q24" s="363"/>
      <c r="R24" s="363" t="s">
        <v>200</v>
      </c>
      <c r="S24" s="363"/>
      <c r="T24" s="363" t="s">
        <v>200</v>
      </c>
      <c r="U24" s="363"/>
      <c r="V24" s="363" t="s">
        <v>200</v>
      </c>
      <c r="W24" s="363" t="s">
        <v>200</v>
      </c>
      <c r="X24" s="363" t="s">
        <v>200</v>
      </c>
      <c r="Y24" s="363" t="s">
        <v>200</v>
      </c>
      <c r="Z24" s="363" t="s">
        <v>200</v>
      </c>
      <c r="AA24" s="363" t="s">
        <v>200</v>
      </c>
      <c r="AB24" s="363" t="s">
        <v>200</v>
      </c>
      <c r="AC24" s="800" t="s">
        <v>200</v>
      </c>
      <c r="AD24" s="839" t="s">
        <v>200</v>
      </c>
      <c r="AE24" s="822" t="s">
        <v>200</v>
      </c>
      <c r="AF24" s="839" t="s">
        <v>200</v>
      </c>
      <c r="AG24" s="839" t="s">
        <v>200</v>
      </c>
      <c r="AH24" s="919" t="s">
        <v>200</v>
      </c>
      <c r="AI24" s="943" t="s">
        <v>200</v>
      </c>
      <c r="AJ24" s="943" t="s">
        <v>200</v>
      </c>
      <c r="AK24" s="943" t="s">
        <v>200</v>
      </c>
      <c r="AL24" s="943"/>
      <c r="AM24" s="943" t="s">
        <v>200</v>
      </c>
      <c r="AN24" s="943"/>
    </row>
    <row r="25" spans="1:40" ht="25.5" customHeight="1" x14ac:dyDescent="0.45">
      <c r="B25" s="1067"/>
      <c r="C25" s="1116"/>
      <c r="D25" s="1077" t="s">
        <v>373</v>
      </c>
      <c r="E25" s="1078"/>
      <c r="F25" s="103" t="s">
        <v>374</v>
      </c>
      <c r="G25" s="61" t="s">
        <v>375</v>
      </c>
      <c r="H25" s="61" t="s">
        <v>217</v>
      </c>
      <c r="I25" s="61" t="s">
        <v>376</v>
      </c>
      <c r="J25" s="248"/>
      <c r="K25" s="260">
        <v>121</v>
      </c>
      <c r="L25" s="798"/>
      <c r="M25" s="305">
        <v>120</v>
      </c>
      <c r="N25" s="260">
        <v>119</v>
      </c>
      <c r="O25" s="305"/>
      <c r="P25" s="260">
        <v>117</v>
      </c>
      <c r="Q25" s="260"/>
      <c r="R25" s="260">
        <v>117</v>
      </c>
      <c r="S25" s="260"/>
      <c r="T25" s="260">
        <v>113</v>
      </c>
      <c r="U25" s="260"/>
      <c r="V25" s="260">
        <v>115</v>
      </c>
      <c r="W25" s="260">
        <v>122</v>
      </c>
      <c r="X25" s="260">
        <v>120</v>
      </c>
      <c r="Y25" s="260">
        <v>115</v>
      </c>
      <c r="Z25" s="260">
        <v>109</v>
      </c>
      <c r="AA25" s="260">
        <v>117</v>
      </c>
      <c r="AB25" s="260">
        <v>109</v>
      </c>
      <c r="AC25" s="798">
        <v>113</v>
      </c>
      <c r="AD25" s="836">
        <v>121</v>
      </c>
      <c r="AE25" s="818">
        <v>113</v>
      </c>
      <c r="AF25" s="836">
        <v>120</v>
      </c>
      <c r="AG25" s="836">
        <v>159</v>
      </c>
      <c r="AH25" s="917">
        <v>3</v>
      </c>
      <c r="AI25" s="941">
        <v>134</v>
      </c>
      <c r="AJ25" s="941">
        <v>154</v>
      </c>
      <c r="AK25" s="941">
        <v>147</v>
      </c>
      <c r="AL25" s="941"/>
      <c r="AM25" s="941">
        <v>134</v>
      </c>
      <c r="AN25" s="941"/>
    </row>
    <row r="26" spans="1:40" ht="25.15" customHeight="1" x14ac:dyDescent="0.45">
      <c r="B26" s="1067"/>
      <c r="C26" s="1116"/>
      <c r="D26" s="1079"/>
      <c r="E26" s="1080"/>
      <c r="F26" s="97" t="s">
        <v>377</v>
      </c>
      <c r="G26" s="56" t="s">
        <v>375</v>
      </c>
      <c r="H26" s="56" t="s">
        <v>217</v>
      </c>
      <c r="I26" s="56" t="s">
        <v>376</v>
      </c>
      <c r="J26" s="249"/>
      <c r="K26" s="246">
        <v>72</v>
      </c>
      <c r="L26" s="795"/>
      <c r="M26" s="255">
        <v>72</v>
      </c>
      <c r="N26" s="246">
        <v>73</v>
      </c>
      <c r="O26" s="255"/>
      <c r="P26" s="246">
        <v>67</v>
      </c>
      <c r="Q26" s="246"/>
      <c r="R26" s="246">
        <v>74</v>
      </c>
      <c r="S26" s="246"/>
      <c r="T26" s="246">
        <v>69</v>
      </c>
      <c r="U26" s="246"/>
      <c r="V26" s="246">
        <v>71</v>
      </c>
      <c r="W26" s="246">
        <v>74</v>
      </c>
      <c r="X26" s="246">
        <v>72</v>
      </c>
      <c r="Y26" s="246">
        <v>70</v>
      </c>
      <c r="Z26" s="246">
        <v>74</v>
      </c>
      <c r="AA26" s="246">
        <v>71</v>
      </c>
      <c r="AB26" s="246">
        <v>74</v>
      </c>
      <c r="AC26" s="795">
        <v>69</v>
      </c>
      <c r="AD26" s="835">
        <v>72</v>
      </c>
      <c r="AE26" s="816">
        <v>72</v>
      </c>
      <c r="AF26" s="835">
        <v>72</v>
      </c>
      <c r="AG26" s="835">
        <v>113</v>
      </c>
      <c r="AH26" s="913">
        <v>5</v>
      </c>
      <c r="AI26" s="937">
        <v>110</v>
      </c>
      <c r="AJ26" s="937">
        <v>120</v>
      </c>
      <c r="AK26" s="937">
        <v>110</v>
      </c>
      <c r="AL26" s="937"/>
      <c r="AM26" s="937">
        <v>96</v>
      </c>
      <c r="AN26" s="937"/>
    </row>
    <row r="27" spans="1:40" ht="25.15" customHeight="1" x14ac:dyDescent="0.45">
      <c r="B27" s="1067"/>
      <c r="C27" s="1116"/>
      <c r="D27" s="1079"/>
      <c r="E27" s="1080"/>
      <c r="F27" s="87" t="s">
        <v>378</v>
      </c>
      <c r="G27" s="83" t="s">
        <v>375</v>
      </c>
      <c r="H27" s="83" t="s">
        <v>217</v>
      </c>
      <c r="I27" s="83" t="s">
        <v>376</v>
      </c>
      <c r="J27" s="250"/>
      <c r="K27" s="246">
        <v>189</v>
      </c>
      <c r="L27" s="795"/>
      <c r="M27" s="255">
        <v>190</v>
      </c>
      <c r="N27" s="246">
        <v>186</v>
      </c>
      <c r="O27" s="255"/>
      <c r="P27" s="246">
        <v>185</v>
      </c>
      <c r="Q27" s="246"/>
      <c r="R27" s="246">
        <v>172</v>
      </c>
      <c r="S27" s="246"/>
      <c r="T27" s="246">
        <v>178</v>
      </c>
      <c r="U27" s="246"/>
      <c r="V27" s="246">
        <v>176</v>
      </c>
      <c r="W27" s="246">
        <v>188</v>
      </c>
      <c r="X27" s="246">
        <v>178</v>
      </c>
      <c r="Y27" s="246">
        <v>181</v>
      </c>
      <c r="Z27" s="246">
        <v>194</v>
      </c>
      <c r="AA27" s="246">
        <v>182</v>
      </c>
      <c r="AB27" s="246">
        <v>194</v>
      </c>
      <c r="AC27" s="795">
        <v>183</v>
      </c>
      <c r="AD27" s="835">
        <v>189</v>
      </c>
      <c r="AE27" s="816">
        <v>185</v>
      </c>
      <c r="AF27" s="835">
        <v>190</v>
      </c>
      <c r="AG27" s="835">
        <v>245</v>
      </c>
      <c r="AH27" s="913">
        <v>2</v>
      </c>
      <c r="AI27" s="937">
        <v>246</v>
      </c>
      <c r="AJ27" s="937">
        <v>252</v>
      </c>
      <c r="AK27" s="937">
        <v>245</v>
      </c>
      <c r="AL27" s="937"/>
      <c r="AM27" s="937">
        <v>229</v>
      </c>
      <c r="AN27" s="937"/>
    </row>
    <row r="28" spans="1:40" ht="25.15" customHeight="1" x14ac:dyDescent="0.45">
      <c r="B28" s="1067"/>
      <c r="C28" s="1116"/>
      <c r="D28" s="1079"/>
      <c r="E28" s="1080"/>
      <c r="F28" s="97" t="s">
        <v>379</v>
      </c>
      <c r="G28" s="56" t="s">
        <v>375</v>
      </c>
      <c r="H28" s="56" t="s">
        <v>217</v>
      </c>
      <c r="I28" s="56" t="s">
        <v>376</v>
      </c>
      <c r="J28" s="249"/>
      <c r="K28" s="246">
        <v>161</v>
      </c>
      <c r="L28" s="795"/>
      <c r="M28" s="255">
        <v>159</v>
      </c>
      <c r="N28" s="246">
        <v>164</v>
      </c>
      <c r="O28" s="255"/>
      <c r="P28" s="246">
        <v>154</v>
      </c>
      <c r="Q28" s="246"/>
      <c r="R28" s="246">
        <v>158</v>
      </c>
      <c r="S28" s="246"/>
      <c r="T28" s="246">
        <v>158</v>
      </c>
      <c r="U28" s="246"/>
      <c r="V28" s="246">
        <v>152</v>
      </c>
      <c r="W28" s="246">
        <v>164</v>
      </c>
      <c r="X28" s="246">
        <v>158</v>
      </c>
      <c r="Y28" s="246">
        <v>159</v>
      </c>
      <c r="Z28" s="246">
        <v>171</v>
      </c>
      <c r="AA28" s="246">
        <v>163</v>
      </c>
      <c r="AB28" s="246">
        <v>171</v>
      </c>
      <c r="AC28" s="795">
        <v>166</v>
      </c>
      <c r="AD28" s="835">
        <v>161</v>
      </c>
      <c r="AE28" s="816">
        <v>169</v>
      </c>
      <c r="AF28" s="835">
        <v>159</v>
      </c>
      <c r="AG28" s="835">
        <v>207</v>
      </c>
      <c r="AH28" s="913">
        <v>2</v>
      </c>
      <c r="AI28" s="937">
        <v>208</v>
      </c>
      <c r="AJ28" s="937">
        <v>213</v>
      </c>
      <c r="AK28" s="937">
        <v>210</v>
      </c>
      <c r="AL28" s="937"/>
      <c r="AM28" s="937">
        <v>201</v>
      </c>
      <c r="AN28" s="937"/>
    </row>
    <row r="29" spans="1:40" ht="25.15" customHeight="1" x14ac:dyDescent="0.45">
      <c r="B29" s="1067"/>
      <c r="C29" s="1116"/>
      <c r="D29" s="1079"/>
      <c r="E29" s="1080"/>
      <c r="F29" s="87" t="s">
        <v>380</v>
      </c>
      <c r="G29" s="83" t="s">
        <v>375</v>
      </c>
      <c r="H29" s="83" t="s">
        <v>217</v>
      </c>
      <c r="I29" s="83" t="s">
        <v>376</v>
      </c>
      <c r="J29" s="250"/>
      <c r="K29" s="246">
        <v>55</v>
      </c>
      <c r="L29" s="795"/>
      <c r="M29" s="255">
        <v>51</v>
      </c>
      <c r="N29" s="246">
        <v>54</v>
      </c>
      <c r="O29" s="255"/>
      <c r="P29" s="246">
        <v>52</v>
      </c>
      <c r="Q29" s="246"/>
      <c r="R29" s="246">
        <v>51</v>
      </c>
      <c r="S29" s="246"/>
      <c r="T29" s="246">
        <v>52</v>
      </c>
      <c r="U29" s="246"/>
      <c r="V29" s="246">
        <v>53</v>
      </c>
      <c r="W29" s="246">
        <v>51</v>
      </c>
      <c r="X29" s="246">
        <v>52</v>
      </c>
      <c r="Y29" s="246">
        <v>52</v>
      </c>
      <c r="Z29" s="246">
        <v>56</v>
      </c>
      <c r="AA29" s="246">
        <v>50</v>
      </c>
      <c r="AB29" s="246">
        <v>56</v>
      </c>
      <c r="AC29" s="795">
        <v>53</v>
      </c>
      <c r="AD29" s="835">
        <v>55</v>
      </c>
      <c r="AE29" s="816">
        <v>54</v>
      </c>
      <c r="AF29" s="835">
        <v>51</v>
      </c>
      <c r="AG29" s="835">
        <v>54</v>
      </c>
      <c r="AH29" s="913">
        <v>4</v>
      </c>
      <c r="AI29" s="937">
        <v>53</v>
      </c>
      <c r="AJ29" s="937">
        <v>55</v>
      </c>
      <c r="AK29" s="937">
        <v>52</v>
      </c>
      <c r="AL29" s="937"/>
      <c r="AM29" s="937">
        <v>50</v>
      </c>
      <c r="AN29" s="937"/>
    </row>
    <row r="30" spans="1:40" ht="25.15" customHeight="1" x14ac:dyDescent="0.45">
      <c r="B30" s="1067"/>
      <c r="C30" s="1116"/>
      <c r="D30" s="1079"/>
      <c r="E30" s="1080"/>
      <c r="F30" s="97" t="s">
        <v>381</v>
      </c>
      <c r="G30" s="56" t="s">
        <v>375</v>
      </c>
      <c r="H30" s="56" t="s">
        <v>217</v>
      </c>
      <c r="I30" s="56" t="s">
        <v>376</v>
      </c>
      <c r="J30" s="249"/>
      <c r="K30" s="246">
        <v>45</v>
      </c>
      <c r="L30" s="795"/>
      <c r="M30" s="255">
        <v>45</v>
      </c>
      <c r="N30" s="246">
        <v>44</v>
      </c>
      <c r="O30" s="255"/>
      <c r="P30" s="246">
        <v>45</v>
      </c>
      <c r="Q30" s="246"/>
      <c r="R30" s="246">
        <v>45</v>
      </c>
      <c r="S30" s="246"/>
      <c r="T30" s="246">
        <v>45</v>
      </c>
      <c r="U30" s="246"/>
      <c r="V30" s="246">
        <v>44</v>
      </c>
      <c r="W30" s="246">
        <v>44</v>
      </c>
      <c r="X30" s="246">
        <v>43</v>
      </c>
      <c r="Y30" s="246">
        <v>44</v>
      </c>
      <c r="Z30" s="246">
        <v>47</v>
      </c>
      <c r="AA30" s="246">
        <v>45</v>
      </c>
      <c r="AB30" s="246">
        <v>47</v>
      </c>
      <c r="AC30" s="795">
        <v>45</v>
      </c>
      <c r="AD30" s="835">
        <v>45</v>
      </c>
      <c r="AE30" s="816">
        <v>45</v>
      </c>
      <c r="AF30" s="835">
        <v>45</v>
      </c>
      <c r="AG30" s="835">
        <v>44</v>
      </c>
      <c r="AH30" s="913">
        <v>4</v>
      </c>
      <c r="AI30" s="937">
        <v>44</v>
      </c>
      <c r="AJ30" s="937">
        <v>45</v>
      </c>
      <c r="AK30" s="937">
        <v>44</v>
      </c>
      <c r="AL30" s="937"/>
      <c r="AM30" s="937">
        <v>44</v>
      </c>
      <c r="AN30" s="937"/>
    </row>
    <row r="31" spans="1:40" ht="25.15" customHeight="1" x14ac:dyDescent="0.45">
      <c r="B31" s="1067"/>
      <c r="C31" s="1116"/>
      <c r="D31" s="1079"/>
      <c r="E31" s="1080"/>
      <c r="F31" s="87" t="s">
        <v>382</v>
      </c>
      <c r="G31" s="83" t="s">
        <v>375</v>
      </c>
      <c r="H31" s="83" t="s">
        <v>217</v>
      </c>
      <c r="I31" s="83" t="s">
        <v>383</v>
      </c>
      <c r="J31" s="250"/>
      <c r="K31" s="246">
        <v>10</v>
      </c>
      <c r="L31" s="795"/>
      <c r="M31" s="255">
        <v>10</v>
      </c>
      <c r="N31" s="246">
        <v>10</v>
      </c>
      <c r="O31" s="255"/>
      <c r="P31" s="246">
        <v>10</v>
      </c>
      <c r="Q31" s="246"/>
      <c r="R31" s="246">
        <v>9</v>
      </c>
      <c r="S31" s="246"/>
      <c r="T31" s="246">
        <v>10</v>
      </c>
      <c r="U31" s="246"/>
      <c r="V31" s="246">
        <v>10</v>
      </c>
      <c r="W31" s="246">
        <v>9</v>
      </c>
      <c r="X31" s="246">
        <v>10</v>
      </c>
      <c r="Y31" s="246">
        <v>9</v>
      </c>
      <c r="Z31" s="246">
        <v>11</v>
      </c>
      <c r="AA31" s="246">
        <v>6</v>
      </c>
      <c r="AB31" s="246">
        <v>11</v>
      </c>
      <c r="AC31" s="795">
        <v>6</v>
      </c>
      <c r="AD31" s="835">
        <v>10</v>
      </c>
      <c r="AE31" s="816">
        <v>7</v>
      </c>
      <c r="AF31" s="835">
        <v>10</v>
      </c>
      <c r="AG31" s="835">
        <v>15</v>
      </c>
      <c r="AH31" s="913">
        <v>1</v>
      </c>
      <c r="AI31" s="937">
        <v>14</v>
      </c>
      <c r="AJ31" s="937">
        <v>14</v>
      </c>
      <c r="AK31" s="937">
        <v>15</v>
      </c>
      <c r="AL31" s="937"/>
      <c r="AM31" s="937">
        <v>14</v>
      </c>
      <c r="AN31" s="937"/>
    </row>
    <row r="32" spans="1:40" ht="25.15" customHeight="1" x14ac:dyDescent="0.45">
      <c r="B32" s="1067"/>
      <c r="C32" s="1116"/>
      <c r="D32" s="1079"/>
      <c r="E32" s="1080"/>
      <c r="F32" s="97" t="s">
        <v>384</v>
      </c>
      <c r="G32" s="56" t="s">
        <v>375</v>
      </c>
      <c r="H32" s="56" t="s">
        <v>217</v>
      </c>
      <c r="I32" s="56" t="s">
        <v>383</v>
      </c>
      <c r="J32" s="249"/>
      <c r="K32" s="246">
        <v>11</v>
      </c>
      <c r="L32" s="795"/>
      <c r="M32" s="255">
        <v>11</v>
      </c>
      <c r="N32" s="246">
        <v>12</v>
      </c>
      <c r="O32" s="255"/>
      <c r="P32" s="246">
        <v>11</v>
      </c>
      <c r="Q32" s="246"/>
      <c r="R32" s="246">
        <v>11</v>
      </c>
      <c r="S32" s="246"/>
      <c r="T32" s="246">
        <v>11</v>
      </c>
      <c r="U32" s="246"/>
      <c r="V32" s="246">
        <v>11</v>
      </c>
      <c r="W32" s="246">
        <v>11</v>
      </c>
      <c r="X32" s="246">
        <v>11</v>
      </c>
      <c r="Y32" s="246">
        <v>11</v>
      </c>
      <c r="Z32" s="246">
        <v>12</v>
      </c>
      <c r="AA32" s="246">
        <v>8</v>
      </c>
      <c r="AB32" s="246">
        <v>12</v>
      </c>
      <c r="AC32" s="795">
        <v>11</v>
      </c>
      <c r="AD32" s="835">
        <v>11</v>
      </c>
      <c r="AE32" s="816">
        <v>12</v>
      </c>
      <c r="AF32" s="835">
        <v>11</v>
      </c>
      <c r="AG32" s="835">
        <v>10</v>
      </c>
      <c r="AH32" s="913">
        <v>0</v>
      </c>
      <c r="AI32" s="937">
        <v>16</v>
      </c>
      <c r="AJ32" s="937">
        <v>16</v>
      </c>
      <c r="AK32" s="937">
        <v>16</v>
      </c>
      <c r="AL32" s="937"/>
      <c r="AM32" s="937">
        <v>15</v>
      </c>
      <c r="AN32" s="937"/>
    </row>
    <row r="33" spans="1:40" ht="25.5" customHeight="1" x14ac:dyDescent="0.45">
      <c r="B33" s="1067"/>
      <c r="C33" s="1116"/>
      <c r="D33" s="1079"/>
      <c r="E33" s="1080"/>
      <c r="F33" s="87" t="s">
        <v>385</v>
      </c>
      <c r="G33" s="83" t="s">
        <v>375</v>
      </c>
      <c r="H33" s="83" t="s">
        <v>217</v>
      </c>
      <c r="I33" s="83" t="s">
        <v>386</v>
      </c>
      <c r="J33" s="250"/>
      <c r="K33" s="246">
        <v>18</v>
      </c>
      <c r="L33" s="795"/>
      <c r="M33" s="255">
        <v>16</v>
      </c>
      <c r="N33" s="246">
        <v>17</v>
      </c>
      <c r="O33" s="255"/>
      <c r="P33" s="246">
        <v>17</v>
      </c>
      <c r="Q33" s="246"/>
      <c r="R33" s="246">
        <v>16</v>
      </c>
      <c r="S33" s="246"/>
      <c r="T33" s="246">
        <v>16</v>
      </c>
      <c r="U33" s="246"/>
      <c r="V33" s="246">
        <v>15</v>
      </c>
      <c r="W33" s="246">
        <v>18</v>
      </c>
      <c r="X33" s="246">
        <v>16</v>
      </c>
      <c r="Y33" s="246">
        <v>16</v>
      </c>
      <c r="Z33" s="246">
        <v>17</v>
      </c>
      <c r="AA33" s="246">
        <v>17</v>
      </c>
      <c r="AB33" s="246">
        <v>17</v>
      </c>
      <c r="AC33" s="795">
        <v>10</v>
      </c>
      <c r="AD33" s="835">
        <v>18</v>
      </c>
      <c r="AE33" s="816">
        <v>10</v>
      </c>
      <c r="AF33" s="835">
        <v>16</v>
      </c>
      <c r="AG33" s="835">
        <v>19</v>
      </c>
      <c r="AH33" s="913">
        <v>2</v>
      </c>
      <c r="AI33" s="937">
        <v>17</v>
      </c>
      <c r="AJ33" s="937">
        <v>19</v>
      </c>
      <c r="AK33" s="937">
        <v>17</v>
      </c>
      <c r="AL33" s="937"/>
      <c r="AM33" s="937">
        <v>17</v>
      </c>
      <c r="AN33" s="937"/>
    </row>
    <row r="34" spans="1:40" ht="25.5" customHeight="1" x14ac:dyDescent="0.45">
      <c r="B34" s="1067"/>
      <c r="C34" s="1116"/>
      <c r="D34" s="1079"/>
      <c r="E34" s="1080"/>
      <c r="F34" s="97" t="s">
        <v>387</v>
      </c>
      <c r="G34" s="56" t="s">
        <v>375</v>
      </c>
      <c r="H34" s="56" t="s">
        <v>217</v>
      </c>
      <c r="I34" s="56" t="s">
        <v>383</v>
      </c>
      <c r="J34" s="249"/>
      <c r="K34" s="246">
        <v>1</v>
      </c>
      <c r="L34" s="795"/>
      <c r="M34" s="255">
        <v>1</v>
      </c>
      <c r="N34" s="246">
        <v>1</v>
      </c>
      <c r="O34" s="255"/>
      <c r="P34" s="246">
        <v>1</v>
      </c>
      <c r="Q34" s="246"/>
      <c r="R34" s="246">
        <v>1</v>
      </c>
      <c r="S34" s="246"/>
      <c r="T34" s="246">
        <v>1</v>
      </c>
      <c r="U34" s="246"/>
      <c r="V34" s="246">
        <v>2</v>
      </c>
      <c r="W34" s="246">
        <v>1</v>
      </c>
      <c r="X34" s="246">
        <v>2</v>
      </c>
      <c r="Y34" s="246">
        <v>8</v>
      </c>
      <c r="Z34" s="246">
        <v>1</v>
      </c>
      <c r="AA34" s="246">
        <v>1</v>
      </c>
      <c r="AB34" s="246">
        <v>1</v>
      </c>
      <c r="AC34" s="795">
        <v>8</v>
      </c>
      <c r="AD34" s="835">
        <v>1</v>
      </c>
      <c r="AE34" s="816">
        <v>1</v>
      </c>
      <c r="AF34" s="835">
        <v>1</v>
      </c>
      <c r="AG34" s="835">
        <v>1</v>
      </c>
      <c r="AH34" s="913">
        <v>0</v>
      </c>
      <c r="AI34" s="937">
        <v>1</v>
      </c>
      <c r="AJ34" s="937">
        <v>10</v>
      </c>
      <c r="AK34" s="937">
        <v>11</v>
      </c>
      <c r="AL34" s="937"/>
      <c r="AM34" s="937">
        <v>2</v>
      </c>
      <c r="AN34" s="937"/>
    </row>
    <row r="35" spans="1:40" ht="25.15" customHeight="1" x14ac:dyDescent="0.45">
      <c r="B35" s="1067"/>
      <c r="C35" s="1116"/>
      <c r="D35" s="1079"/>
      <c r="E35" s="1080"/>
      <c r="F35" s="87" t="s">
        <v>388</v>
      </c>
      <c r="G35" s="83" t="s">
        <v>375</v>
      </c>
      <c r="H35" s="83" t="s">
        <v>217</v>
      </c>
      <c r="I35" s="83" t="s">
        <v>383</v>
      </c>
      <c r="J35" s="250"/>
      <c r="K35" s="246">
        <v>1</v>
      </c>
      <c r="L35" s="795"/>
      <c r="M35" s="255">
        <v>1</v>
      </c>
      <c r="N35" s="246">
        <v>1</v>
      </c>
      <c r="O35" s="255"/>
      <c r="P35" s="246">
        <v>1</v>
      </c>
      <c r="Q35" s="246"/>
      <c r="R35" s="246">
        <v>2</v>
      </c>
      <c r="S35" s="246"/>
      <c r="T35" s="246">
        <v>1</v>
      </c>
      <c r="U35" s="246"/>
      <c r="V35" s="246">
        <v>2</v>
      </c>
      <c r="W35" s="246">
        <v>1</v>
      </c>
      <c r="X35" s="246">
        <v>1</v>
      </c>
      <c r="Y35" s="246">
        <v>7</v>
      </c>
      <c r="Z35" s="246">
        <v>2</v>
      </c>
      <c r="AA35" s="246">
        <v>1</v>
      </c>
      <c r="AB35" s="246">
        <v>2</v>
      </c>
      <c r="AC35" s="795">
        <v>8</v>
      </c>
      <c r="AD35" s="835">
        <v>1</v>
      </c>
      <c r="AE35" s="816">
        <v>1</v>
      </c>
      <c r="AF35" s="835">
        <v>1</v>
      </c>
      <c r="AG35" s="835">
        <v>1</v>
      </c>
      <c r="AH35" s="913">
        <v>1</v>
      </c>
      <c r="AI35" s="937">
        <v>1</v>
      </c>
      <c r="AJ35" s="937">
        <v>10</v>
      </c>
      <c r="AK35" s="937">
        <v>10</v>
      </c>
      <c r="AL35" s="937"/>
      <c r="AM35" s="937">
        <v>1</v>
      </c>
      <c r="AN35" s="937"/>
    </row>
    <row r="36" spans="1:40" ht="25.15" customHeight="1" x14ac:dyDescent="0.45">
      <c r="B36" s="1067"/>
      <c r="C36" s="1116"/>
      <c r="D36" s="1079"/>
      <c r="E36" s="1080"/>
      <c r="F36" s="97" t="s">
        <v>389</v>
      </c>
      <c r="G36" s="56" t="s">
        <v>375</v>
      </c>
      <c r="H36" s="56" t="s">
        <v>217</v>
      </c>
      <c r="I36" s="56" t="s">
        <v>390</v>
      </c>
      <c r="J36" s="249"/>
      <c r="K36" s="246">
        <v>8</v>
      </c>
      <c r="L36" s="795"/>
      <c r="M36" s="255">
        <v>8</v>
      </c>
      <c r="N36" s="246">
        <v>8</v>
      </c>
      <c r="O36" s="255"/>
      <c r="P36" s="246">
        <v>8</v>
      </c>
      <c r="Q36" s="246"/>
      <c r="R36" s="246">
        <v>8</v>
      </c>
      <c r="S36" s="246"/>
      <c r="T36" s="246">
        <v>8</v>
      </c>
      <c r="U36" s="246"/>
      <c r="V36" s="246">
        <v>7</v>
      </c>
      <c r="W36" s="246">
        <v>7</v>
      </c>
      <c r="X36" s="246">
        <v>8</v>
      </c>
      <c r="Y36" s="246">
        <v>1</v>
      </c>
      <c r="Z36" s="246">
        <v>8</v>
      </c>
      <c r="AA36" s="246">
        <v>8</v>
      </c>
      <c r="AB36" s="246">
        <v>8</v>
      </c>
      <c r="AC36" s="795">
        <v>1</v>
      </c>
      <c r="AD36" s="835">
        <v>8</v>
      </c>
      <c r="AE36" s="816">
        <v>9</v>
      </c>
      <c r="AF36" s="835">
        <v>8</v>
      </c>
      <c r="AG36" s="835">
        <v>5</v>
      </c>
      <c r="AH36" s="913">
        <v>1</v>
      </c>
      <c r="AI36" s="937">
        <v>7</v>
      </c>
      <c r="AJ36" s="937">
        <v>1</v>
      </c>
      <c r="AK36" s="937">
        <v>2</v>
      </c>
      <c r="AL36" s="937"/>
      <c r="AM36" s="937">
        <v>8</v>
      </c>
      <c r="AN36" s="937"/>
    </row>
    <row r="37" spans="1:40" ht="25.15" customHeight="1" x14ac:dyDescent="0.45">
      <c r="B37" s="1067"/>
      <c r="C37" s="1116"/>
      <c r="D37" s="1079"/>
      <c r="E37" s="1080"/>
      <c r="F37" s="87" t="s">
        <v>391</v>
      </c>
      <c r="G37" s="83" t="s">
        <v>375</v>
      </c>
      <c r="H37" s="83" t="s">
        <v>217</v>
      </c>
      <c r="I37" s="83" t="s">
        <v>390</v>
      </c>
      <c r="J37" s="250"/>
      <c r="K37" s="246">
        <v>3</v>
      </c>
      <c r="L37" s="795"/>
      <c r="M37" s="255">
        <v>3</v>
      </c>
      <c r="N37" s="246">
        <v>3</v>
      </c>
      <c r="O37" s="255"/>
      <c r="P37" s="246">
        <v>3</v>
      </c>
      <c r="Q37" s="246"/>
      <c r="R37" s="246">
        <v>3</v>
      </c>
      <c r="S37" s="246"/>
      <c r="T37" s="246">
        <v>3</v>
      </c>
      <c r="U37" s="246"/>
      <c r="V37" s="246">
        <v>2</v>
      </c>
      <c r="W37" s="246">
        <v>7</v>
      </c>
      <c r="X37" s="246">
        <v>3</v>
      </c>
      <c r="Y37" s="246">
        <v>1</v>
      </c>
      <c r="Z37" s="246">
        <v>2</v>
      </c>
      <c r="AA37" s="246">
        <v>2</v>
      </c>
      <c r="AB37" s="246">
        <v>2</v>
      </c>
      <c r="AC37" s="795">
        <v>1</v>
      </c>
      <c r="AD37" s="835">
        <v>3</v>
      </c>
      <c r="AE37" s="816">
        <v>3</v>
      </c>
      <c r="AF37" s="835">
        <v>3</v>
      </c>
      <c r="AG37" s="835">
        <v>3</v>
      </c>
      <c r="AH37" s="913">
        <v>0</v>
      </c>
      <c r="AI37" s="937">
        <v>3</v>
      </c>
      <c r="AJ37" s="937">
        <v>2</v>
      </c>
      <c r="AK37" s="937">
        <v>1</v>
      </c>
      <c r="AL37" s="937"/>
      <c r="AM37" s="937">
        <v>3</v>
      </c>
      <c r="AN37" s="937"/>
    </row>
    <row r="38" spans="1:40" ht="25.15" customHeight="1" x14ac:dyDescent="0.45">
      <c r="B38" s="1067"/>
      <c r="C38" s="1116"/>
      <c r="D38" s="1079"/>
      <c r="E38" s="1080"/>
      <c r="F38" s="97" t="s">
        <v>392</v>
      </c>
      <c r="G38" s="56" t="s">
        <v>375</v>
      </c>
      <c r="H38" s="56" t="s">
        <v>217</v>
      </c>
      <c r="I38" s="56" t="s">
        <v>393</v>
      </c>
      <c r="J38" s="249"/>
      <c r="K38" s="246">
        <v>10</v>
      </c>
      <c r="L38" s="795"/>
      <c r="M38" s="255">
        <v>10</v>
      </c>
      <c r="N38" s="246">
        <v>10</v>
      </c>
      <c r="O38" s="255"/>
      <c r="P38" s="246">
        <v>10</v>
      </c>
      <c r="Q38" s="246"/>
      <c r="R38" s="246">
        <v>10</v>
      </c>
      <c r="S38" s="246"/>
      <c r="T38" s="246">
        <v>10</v>
      </c>
      <c r="U38" s="246"/>
      <c r="V38" s="246">
        <v>9</v>
      </c>
      <c r="W38" s="246">
        <v>8</v>
      </c>
      <c r="X38" s="246">
        <v>10</v>
      </c>
      <c r="Y38" s="246">
        <v>8</v>
      </c>
      <c r="Z38" s="246">
        <v>10</v>
      </c>
      <c r="AA38" s="246">
        <v>10</v>
      </c>
      <c r="AB38" s="246">
        <v>10</v>
      </c>
      <c r="AC38" s="795">
        <v>8</v>
      </c>
      <c r="AD38" s="835">
        <v>10</v>
      </c>
      <c r="AE38" s="816">
        <v>10</v>
      </c>
      <c r="AF38" s="835">
        <v>10</v>
      </c>
      <c r="AG38" s="835">
        <v>9</v>
      </c>
      <c r="AH38" s="913">
        <v>1</v>
      </c>
      <c r="AI38" s="937">
        <v>9</v>
      </c>
      <c r="AJ38" s="937">
        <v>7</v>
      </c>
      <c r="AK38" s="937">
        <v>8</v>
      </c>
      <c r="AL38" s="937"/>
      <c r="AM38" s="937">
        <v>10</v>
      </c>
      <c r="AN38" s="937"/>
    </row>
    <row r="39" spans="1:40" ht="25.15" customHeight="1" x14ac:dyDescent="0.45">
      <c r="B39" s="1067"/>
      <c r="C39" s="1116"/>
      <c r="D39" s="1079"/>
      <c r="E39" s="1080"/>
      <c r="F39" s="87" t="s">
        <v>394</v>
      </c>
      <c r="G39" s="83" t="s">
        <v>375</v>
      </c>
      <c r="H39" s="83" t="s">
        <v>217</v>
      </c>
      <c r="I39" s="83" t="s">
        <v>393</v>
      </c>
      <c r="J39" s="250"/>
      <c r="K39" s="246">
        <v>4</v>
      </c>
      <c r="L39" s="795"/>
      <c r="M39" s="255">
        <v>4</v>
      </c>
      <c r="N39" s="246">
        <v>4</v>
      </c>
      <c r="O39" s="255"/>
      <c r="P39" s="246">
        <v>4</v>
      </c>
      <c r="Q39" s="246"/>
      <c r="R39" s="246">
        <v>4</v>
      </c>
      <c r="S39" s="246"/>
      <c r="T39" s="246">
        <v>4</v>
      </c>
      <c r="U39" s="246"/>
      <c r="V39" s="246">
        <v>4</v>
      </c>
      <c r="W39" s="246">
        <v>3</v>
      </c>
      <c r="X39" s="246">
        <v>4</v>
      </c>
      <c r="Y39" s="246">
        <v>3</v>
      </c>
      <c r="Z39" s="246">
        <v>4</v>
      </c>
      <c r="AA39" s="246">
        <v>4</v>
      </c>
      <c r="AB39" s="246">
        <v>4</v>
      </c>
      <c r="AC39" s="795">
        <v>2</v>
      </c>
      <c r="AD39" s="835">
        <v>4</v>
      </c>
      <c r="AE39" s="816">
        <v>4</v>
      </c>
      <c r="AF39" s="835">
        <v>4</v>
      </c>
      <c r="AG39" s="835">
        <v>4</v>
      </c>
      <c r="AH39" s="913">
        <v>0</v>
      </c>
      <c r="AI39" s="937">
        <v>4</v>
      </c>
      <c r="AJ39" s="937">
        <v>3</v>
      </c>
      <c r="AK39" s="937">
        <v>3</v>
      </c>
      <c r="AL39" s="937"/>
      <c r="AM39" s="937">
        <v>4</v>
      </c>
      <c r="AN39" s="937"/>
    </row>
    <row r="40" spans="1:40" ht="25.15" customHeight="1" x14ac:dyDescent="0.45">
      <c r="B40" s="1067"/>
      <c r="C40" s="1116"/>
      <c r="D40" s="1079"/>
      <c r="E40" s="1080"/>
      <c r="F40" s="97" t="s">
        <v>395</v>
      </c>
      <c r="G40" s="56" t="s">
        <v>375</v>
      </c>
      <c r="H40" s="56" t="s">
        <v>217</v>
      </c>
      <c r="I40" s="56" t="s">
        <v>393</v>
      </c>
      <c r="J40" s="249"/>
      <c r="K40" s="246">
        <v>10</v>
      </c>
      <c r="L40" s="795"/>
      <c r="M40" s="255">
        <v>9</v>
      </c>
      <c r="N40" s="246">
        <v>9</v>
      </c>
      <c r="O40" s="255"/>
      <c r="P40" s="246">
        <v>10</v>
      </c>
      <c r="Q40" s="246"/>
      <c r="R40" s="246">
        <v>10</v>
      </c>
      <c r="S40" s="246"/>
      <c r="T40" s="246">
        <v>9</v>
      </c>
      <c r="U40" s="246"/>
      <c r="V40" s="246">
        <v>9</v>
      </c>
      <c r="W40" s="246">
        <v>10</v>
      </c>
      <c r="X40" s="246">
        <v>9</v>
      </c>
      <c r="Y40" s="246">
        <v>10</v>
      </c>
      <c r="Z40" s="246">
        <v>9</v>
      </c>
      <c r="AA40" s="246">
        <v>9</v>
      </c>
      <c r="AB40" s="246">
        <v>9</v>
      </c>
      <c r="AC40" s="795">
        <v>10</v>
      </c>
      <c r="AD40" s="835">
        <v>10</v>
      </c>
      <c r="AE40" s="816">
        <v>10</v>
      </c>
      <c r="AF40" s="835">
        <v>9</v>
      </c>
      <c r="AG40" s="835">
        <v>8</v>
      </c>
      <c r="AH40" s="913">
        <v>1</v>
      </c>
      <c r="AI40" s="937">
        <v>7</v>
      </c>
      <c r="AJ40" s="937">
        <v>9</v>
      </c>
      <c r="AK40" s="937">
        <v>11</v>
      </c>
      <c r="AL40" s="937"/>
      <c r="AM40" s="937">
        <v>6</v>
      </c>
      <c r="AN40" s="937"/>
    </row>
    <row r="41" spans="1:40" ht="25.15" customHeight="1" x14ac:dyDescent="0.45">
      <c r="B41" s="1067"/>
      <c r="C41" s="1116"/>
      <c r="D41" s="1079"/>
      <c r="E41" s="1080"/>
      <c r="F41" s="87" t="s">
        <v>396</v>
      </c>
      <c r="G41" s="83" t="s">
        <v>375</v>
      </c>
      <c r="H41" s="83" t="s">
        <v>217</v>
      </c>
      <c r="I41" s="83" t="s">
        <v>393</v>
      </c>
      <c r="J41" s="250"/>
      <c r="K41" s="246">
        <v>3</v>
      </c>
      <c r="L41" s="795"/>
      <c r="M41" s="255">
        <v>3</v>
      </c>
      <c r="N41" s="246">
        <v>3</v>
      </c>
      <c r="O41" s="255"/>
      <c r="P41" s="246">
        <v>3</v>
      </c>
      <c r="Q41" s="246"/>
      <c r="R41" s="246">
        <v>3</v>
      </c>
      <c r="S41" s="246"/>
      <c r="T41" s="246">
        <v>3</v>
      </c>
      <c r="U41" s="246"/>
      <c r="V41" s="246">
        <v>3</v>
      </c>
      <c r="W41" s="246">
        <v>4</v>
      </c>
      <c r="X41" s="246">
        <v>3</v>
      </c>
      <c r="Y41" s="246">
        <v>4</v>
      </c>
      <c r="Z41" s="246">
        <v>3</v>
      </c>
      <c r="AA41" s="246">
        <v>3</v>
      </c>
      <c r="AB41" s="246">
        <v>3</v>
      </c>
      <c r="AC41" s="795">
        <v>4</v>
      </c>
      <c r="AD41" s="835">
        <v>3</v>
      </c>
      <c r="AE41" s="816">
        <v>3</v>
      </c>
      <c r="AF41" s="835">
        <v>3</v>
      </c>
      <c r="AG41" s="835">
        <v>4</v>
      </c>
      <c r="AH41" s="913">
        <v>0</v>
      </c>
      <c r="AI41" s="937">
        <v>4</v>
      </c>
      <c r="AJ41" s="937">
        <v>4</v>
      </c>
      <c r="AK41" s="937">
        <v>4</v>
      </c>
      <c r="AL41" s="937"/>
      <c r="AM41" s="937">
        <v>3</v>
      </c>
      <c r="AN41" s="937"/>
    </row>
    <row r="42" spans="1:40" s="256" customFormat="1" ht="27.4" customHeight="1" x14ac:dyDescent="0.5">
      <c r="A42" s="254"/>
      <c r="B42" s="1067"/>
      <c r="C42" s="1116"/>
      <c r="D42" s="1081"/>
      <c r="E42" s="1082"/>
      <c r="F42" s="101" t="s">
        <v>397</v>
      </c>
      <c r="G42" s="62" t="s">
        <v>398</v>
      </c>
      <c r="H42" s="62" t="s">
        <v>217</v>
      </c>
      <c r="I42" s="62"/>
      <c r="J42" s="102"/>
      <c r="K42" s="261">
        <v>449.7</v>
      </c>
      <c r="L42" s="796"/>
      <c r="M42" s="308">
        <v>450.3</v>
      </c>
      <c r="N42" s="261">
        <v>449.6</v>
      </c>
      <c r="O42" s="308"/>
      <c r="P42" s="261">
        <v>450.2</v>
      </c>
      <c r="Q42" s="261"/>
      <c r="R42" s="261">
        <v>449.6</v>
      </c>
      <c r="S42" s="261"/>
      <c r="T42" s="261">
        <v>450</v>
      </c>
      <c r="U42" s="261"/>
      <c r="V42" s="261">
        <v>449.9</v>
      </c>
      <c r="W42" s="261">
        <v>450.1</v>
      </c>
      <c r="X42" s="261">
        <v>449.8</v>
      </c>
      <c r="Y42" s="261">
        <v>450.1</v>
      </c>
      <c r="Z42" s="261">
        <v>450.1</v>
      </c>
      <c r="AA42" s="261">
        <v>449.5</v>
      </c>
      <c r="AB42" s="261">
        <v>450.1</v>
      </c>
      <c r="AC42" s="796">
        <v>450.3</v>
      </c>
      <c r="AD42" s="837">
        <v>449.7</v>
      </c>
      <c r="AE42" s="817">
        <v>450.1</v>
      </c>
      <c r="AF42" s="837">
        <v>450.3</v>
      </c>
      <c r="AG42" s="837">
        <v>450.1</v>
      </c>
      <c r="AH42" s="914">
        <v>0</v>
      </c>
      <c r="AI42" s="938">
        <v>449.8</v>
      </c>
      <c r="AJ42" s="938">
        <v>449.7</v>
      </c>
      <c r="AK42" s="938">
        <v>449.9</v>
      </c>
      <c r="AL42" s="938"/>
      <c r="AM42" s="938">
        <v>450.1</v>
      </c>
      <c r="AN42" s="938"/>
    </row>
    <row r="43" spans="1:40" s="256" customFormat="1" ht="27.4" customHeight="1" x14ac:dyDescent="0.5">
      <c r="A43" s="254"/>
      <c r="B43" s="1067"/>
      <c r="C43" s="1116"/>
      <c r="D43" s="1112" t="s">
        <v>399</v>
      </c>
      <c r="E43" s="1113"/>
      <c r="F43" s="343" t="s">
        <v>400</v>
      </c>
      <c r="G43" s="344" t="s">
        <v>72</v>
      </c>
      <c r="H43" s="344" t="s">
        <v>350</v>
      </c>
      <c r="I43" s="344"/>
      <c r="J43" s="345"/>
      <c r="K43" s="347">
        <v>110</v>
      </c>
      <c r="L43" s="799"/>
      <c r="M43" s="357">
        <v>120</v>
      </c>
      <c r="N43" s="347">
        <v>110</v>
      </c>
      <c r="O43" s="357"/>
      <c r="P43" s="357">
        <v>110</v>
      </c>
      <c r="Q43" s="357"/>
      <c r="R43" s="357">
        <v>110</v>
      </c>
      <c r="S43" s="357"/>
      <c r="T43" s="357">
        <v>110</v>
      </c>
      <c r="U43" s="357"/>
      <c r="V43" s="357">
        <v>110</v>
      </c>
      <c r="W43" s="357">
        <v>115</v>
      </c>
      <c r="X43" s="357">
        <v>115</v>
      </c>
      <c r="Y43" s="357">
        <v>115</v>
      </c>
      <c r="Z43" s="357">
        <v>115</v>
      </c>
      <c r="AA43" s="357">
        <v>115</v>
      </c>
      <c r="AB43" s="357">
        <v>115</v>
      </c>
      <c r="AC43" s="799">
        <v>110</v>
      </c>
      <c r="AD43" s="838">
        <v>110</v>
      </c>
      <c r="AE43" s="820">
        <v>115</v>
      </c>
      <c r="AF43" s="838">
        <v>120</v>
      </c>
      <c r="AG43" s="838">
        <v>115</v>
      </c>
      <c r="AH43" s="918">
        <v>105</v>
      </c>
      <c r="AI43" s="942">
        <v>110</v>
      </c>
      <c r="AJ43" s="942">
        <v>110</v>
      </c>
      <c r="AK43" s="942">
        <v>110</v>
      </c>
      <c r="AL43" s="942"/>
      <c r="AM43" s="942">
        <v>120</v>
      </c>
      <c r="AN43" s="942"/>
    </row>
    <row r="44" spans="1:40" s="256" customFormat="1" ht="27.4" customHeight="1" x14ac:dyDescent="0.5">
      <c r="A44" s="254"/>
      <c r="B44" s="1067"/>
      <c r="C44" s="1116"/>
      <c r="D44" s="1075"/>
      <c r="E44" s="1076"/>
      <c r="F44" s="348" t="s">
        <v>401</v>
      </c>
      <c r="G44" s="349" t="s">
        <v>77</v>
      </c>
      <c r="H44" s="349" t="s">
        <v>217</v>
      </c>
      <c r="I44" s="349"/>
      <c r="J44" s="350"/>
      <c r="K44" s="352">
        <v>0</v>
      </c>
      <c r="L44" s="800"/>
      <c r="M44" s="362">
        <v>0</v>
      </c>
      <c r="N44" s="352">
        <v>0</v>
      </c>
      <c r="O44" s="362"/>
      <c r="P44" s="362">
        <v>0</v>
      </c>
      <c r="Q44" s="362"/>
      <c r="R44" s="362">
        <v>0</v>
      </c>
      <c r="S44" s="362"/>
      <c r="T44" s="362">
        <v>0</v>
      </c>
      <c r="U44" s="362"/>
      <c r="V44" s="362">
        <v>0</v>
      </c>
      <c r="W44" s="362">
        <v>0</v>
      </c>
      <c r="X44" s="362">
        <v>0</v>
      </c>
      <c r="Y44" s="362">
        <v>0</v>
      </c>
      <c r="Z44" s="362">
        <v>0</v>
      </c>
      <c r="AA44" s="362">
        <v>0</v>
      </c>
      <c r="AB44" s="362">
        <v>0</v>
      </c>
      <c r="AC44" s="800">
        <v>0</v>
      </c>
      <c r="AD44" s="839">
        <v>0</v>
      </c>
      <c r="AE44" s="822">
        <v>0</v>
      </c>
      <c r="AF44" s="839">
        <v>0</v>
      </c>
      <c r="AG44" s="839">
        <v>0</v>
      </c>
      <c r="AH44" s="919">
        <v>0</v>
      </c>
      <c r="AI44" s="943">
        <v>0</v>
      </c>
      <c r="AJ44" s="943">
        <v>0</v>
      </c>
      <c r="AK44" s="943">
        <v>0</v>
      </c>
      <c r="AL44" s="943"/>
      <c r="AM44" s="943">
        <v>0</v>
      </c>
      <c r="AN44" s="943"/>
    </row>
    <row r="45" spans="1:40" s="256" customFormat="1" ht="27.4" customHeight="1" x14ac:dyDescent="0.5">
      <c r="A45" s="254"/>
      <c r="B45" s="1067"/>
      <c r="C45" s="1116"/>
      <c r="D45" s="1077" t="s">
        <v>402</v>
      </c>
      <c r="E45" s="1078"/>
      <c r="F45" s="343" t="s">
        <v>403</v>
      </c>
      <c r="G45" s="344" t="s">
        <v>39</v>
      </c>
      <c r="H45" s="344" t="s">
        <v>350</v>
      </c>
      <c r="I45" s="344"/>
      <c r="J45" s="345"/>
      <c r="K45" s="347">
        <v>30</v>
      </c>
      <c r="L45" s="799"/>
      <c r="M45" s="346">
        <v>30</v>
      </c>
      <c r="N45" s="347">
        <v>40</v>
      </c>
      <c r="O45" s="346"/>
      <c r="P45" s="346">
        <v>30</v>
      </c>
      <c r="Q45" s="346"/>
      <c r="R45" s="346">
        <v>30</v>
      </c>
      <c r="S45" s="346"/>
      <c r="T45" s="346">
        <v>30</v>
      </c>
      <c r="U45" s="346"/>
      <c r="V45" s="346">
        <v>31</v>
      </c>
      <c r="W45" s="346"/>
      <c r="X45" s="346">
        <v>30</v>
      </c>
      <c r="Y45" s="346">
        <v>32</v>
      </c>
      <c r="Z45" s="346">
        <v>30</v>
      </c>
      <c r="AA45" s="346"/>
      <c r="AB45" s="346">
        <v>30</v>
      </c>
      <c r="AC45" s="801"/>
      <c r="AD45" s="840">
        <v>30</v>
      </c>
      <c r="AE45" s="830">
        <v>0</v>
      </c>
      <c r="AF45" s="840">
        <v>30</v>
      </c>
      <c r="AG45" s="840">
        <v>36</v>
      </c>
      <c r="AH45" s="920">
        <v>26</v>
      </c>
      <c r="AI45" s="944">
        <v>30</v>
      </c>
      <c r="AJ45" s="944">
        <v>32</v>
      </c>
      <c r="AK45" s="944">
        <v>32</v>
      </c>
      <c r="AL45" s="944"/>
      <c r="AM45" s="944">
        <v>28</v>
      </c>
      <c r="AN45" s="944"/>
    </row>
    <row r="46" spans="1:40" ht="27.4" customHeight="1" x14ac:dyDescent="0.45">
      <c r="B46" s="1067"/>
      <c r="C46" s="1116"/>
      <c r="D46" s="1079"/>
      <c r="E46" s="1080"/>
      <c r="F46" s="97" t="s">
        <v>404</v>
      </c>
      <c r="G46" s="56" t="s">
        <v>39</v>
      </c>
      <c r="H46" s="56" t="s">
        <v>350</v>
      </c>
      <c r="I46" s="56"/>
      <c r="J46" s="98"/>
      <c r="K46" s="246">
        <v>33</v>
      </c>
      <c r="L46" s="798"/>
      <c r="M46" s="335">
        <v>33</v>
      </c>
      <c r="N46" s="246">
        <v>43</v>
      </c>
      <c r="O46" s="335"/>
      <c r="P46" s="335">
        <v>33</v>
      </c>
      <c r="Q46" s="335"/>
      <c r="R46" s="335">
        <v>36</v>
      </c>
      <c r="S46" s="335"/>
      <c r="T46" s="335">
        <v>36</v>
      </c>
      <c r="U46" s="335"/>
      <c r="V46" s="335">
        <v>36</v>
      </c>
      <c r="W46" s="335"/>
      <c r="X46" s="335">
        <v>35</v>
      </c>
      <c r="Y46" s="335">
        <v>36</v>
      </c>
      <c r="Z46" s="335">
        <v>35</v>
      </c>
      <c r="AA46" s="335"/>
      <c r="AB46" s="335">
        <v>35</v>
      </c>
      <c r="AC46" s="802"/>
      <c r="AD46" s="841">
        <v>33</v>
      </c>
      <c r="AE46" s="831">
        <v>36</v>
      </c>
      <c r="AF46" s="841">
        <v>33</v>
      </c>
      <c r="AG46" s="841">
        <v>42</v>
      </c>
      <c r="AH46" s="921">
        <v>26</v>
      </c>
      <c r="AI46" s="945">
        <v>40</v>
      </c>
      <c r="AJ46" s="945">
        <v>36</v>
      </c>
      <c r="AK46" s="945">
        <v>38</v>
      </c>
      <c r="AL46" s="945"/>
      <c r="AM46" s="945">
        <v>32</v>
      </c>
      <c r="AN46" s="945"/>
    </row>
    <row r="47" spans="1:40" ht="27.4" customHeight="1" x14ac:dyDescent="0.45">
      <c r="B47" s="1067"/>
      <c r="C47" s="1116"/>
      <c r="D47" s="1079"/>
      <c r="E47" s="1080"/>
      <c r="F47" s="87" t="s">
        <v>405</v>
      </c>
      <c r="G47" s="83" t="s">
        <v>39</v>
      </c>
      <c r="H47" s="83" t="s">
        <v>350</v>
      </c>
      <c r="I47" s="83"/>
      <c r="J47" s="88"/>
      <c r="K47" s="246">
        <v>33</v>
      </c>
      <c r="L47" s="798"/>
      <c r="M47" s="335">
        <v>34</v>
      </c>
      <c r="N47" s="246">
        <v>43</v>
      </c>
      <c r="O47" s="335"/>
      <c r="P47" s="335">
        <v>34</v>
      </c>
      <c r="Q47" s="335"/>
      <c r="R47" s="335">
        <v>38</v>
      </c>
      <c r="S47" s="335"/>
      <c r="T47" s="335">
        <v>36</v>
      </c>
      <c r="U47" s="335"/>
      <c r="V47" s="335">
        <v>36</v>
      </c>
      <c r="W47" s="335"/>
      <c r="X47" s="335">
        <v>36</v>
      </c>
      <c r="Y47" s="335">
        <v>36</v>
      </c>
      <c r="Z47" s="335">
        <v>36</v>
      </c>
      <c r="AA47" s="335"/>
      <c r="AB47" s="335">
        <v>36</v>
      </c>
      <c r="AC47" s="802"/>
      <c r="AD47" s="841">
        <v>33</v>
      </c>
      <c r="AE47" s="831">
        <v>36</v>
      </c>
      <c r="AF47" s="841">
        <v>34</v>
      </c>
      <c r="AG47" s="841">
        <v>44</v>
      </c>
      <c r="AH47" s="921">
        <v>28</v>
      </c>
      <c r="AI47" s="945">
        <v>40</v>
      </c>
      <c r="AJ47" s="945">
        <v>36</v>
      </c>
      <c r="AK47" s="945">
        <v>40</v>
      </c>
      <c r="AL47" s="945"/>
      <c r="AM47" s="945">
        <v>34</v>
      </c>
      <c r="AN47" s="945"/>
    </row>
    <row r="48" spans="1:40" ht="27.4" customHeight="1" x14ac:dyDescent="0.45">
      <c r="B48" s="1067"/>
      <c r="C48" s="1116"/>
      <c r="D48" s="1079"/>
      <c r="E48" s="1080"/>
      <c r="F48" s="97" t="s">
        <v>406</v>
      </c>
      <c r="G48" s="56" t="s">
        <v>39</v>
      </c>
      <c r="H48" s="56" t="s">
        <v>350</v>
      </c>
      <c r="I48" s="56"/>
      <c r="J48" s="98"/>
      <c r="K48" s="246">
        <v>40</v>
      </c>
      <c r="L48" s="798"/>
      <c r="M48" s="335">
        <v>40</v>
      </c>
      <c r="N48" s="246">
        <v>40</v>
      </c>
      <c r="O48" s="335"/>
      <c r="P48" s="335">
        <v>40</v>
      </c>
      <c r="Q48" s="335"/>
      <c r="R48" s="335">
        <v>40</v>
      </c>
      <c r="S48" s="335"/>
      <c r="T48" s="335">
        <v>38</v>
      </c>
      <c r="U48" s="335"/>
      <c r="V48" s="335">
        <v>37</v>
      </c>
      <c r="W48" s="335"/>
      <c r="X48" s="335">
        <v>38</v>
      </c>
      <c r="Y48" s="335">
        <v>38</v>
      </c>
      <c r="Z48" s="335">
        <v>38</v>
      </c>
      <c r="AA48" s="335"/>
      <c r="AB48" s="335">
        <v>38</v>
      </c>
      <c r="AC48" s="802"/>
      <c r="AD48" s="841">
        <v>40</v>
      </c>
      <c r="AE48" s="831">
        <v>38</v>
      </c>
      <c r="AF48" s="841">
        <v>40</v>
      </c>
      <c r="AG48" s="841">
        <v>55</v>
      </c>
      <c r="AH48" s="921">
        <v>32</v>
      </c>
      <c r="AI48" s="945">
        <v>50</v>
      </c>
      <c r="AJ48" s="945">
        <v>38</v>
      </c>
      <c r="AK48" s="945">
        <v>40</v>
      </c>
      <c r="AL48" s="945"/>
      <c r="AM48" s="945">
        <v>35</v>
      </c>
      <c r="AN48" s="945"/>
    </row>
    <row r="49" spans="2:40" ht="27.4" customHeight="1" x14ac:dyDescent="0.45">
      <c r="B49" s="1067"/>
      <c r="C49" s="1116"/>
      <c r="D49" s="1079"/>
      <c r="E49" s="1080"/>
      <c r="F49" s="87" t="s">
        <v>407</v>
      </c>
      <c r="G49" s="83" t="s">
        <v>39</v>
      </c>
      <c r="H49" s="83" t="s">
        <v>350</v>
      </c>
      <c r="I49" s="83"/>
      <c r="J49" s="88"/>
      <c r="K49" s="246">
        <v>45</v>
      </c>
      <c r="L49" s="798"/>
      <c r="M49" s="335">
        <v>45</v>
      </c>
      <c r="N49" s="246">
        <v>45</v>
      </c>
      <c r="O49" s="335"/>
      <c r="P49" s="335">
        <v>45</v>
      </c>
      <c r="Q49" s="335"/>
      <c r="R49" s="335">
        <v>42</v>
      </c>
      <c r="S49" s="335"/>
      <c r="T49" s="335">
        <v>42</v>
      </c>
      <c r="U49" s="335"/>
      <c r="V49" s="335">
        <v>41</v>
      </c>
      <c r="W49" s="335"/>
      <c r="X49" s="335">
        <v>42</v>
      </c>
      <c r="Y49" s="335">
        <v>34</v>
      </c>
      <c r="Z49" s="335">
        <v>42</v>
      </c>
      <c r="AA49" s="335"/>
      <c r="AB49" s="335">
        <v>42</v>
      </c>
      <c r="AC49" s="802"/>
      <c r="AD49" s="841">
        <v>45</v>
      </c>
      <c r="AE49" s="831">
        <v>44</v>
      </c>
      <c r="AF49" s="841">
        <v>45</v>
      </c>
      <c r="AG49" s="841">
        <v>62</v>
      </c>
      <c r="AH49" s="921">
        <v>36</v>
      </c>
      <c r="AI49" s="945">
        <v>60</v>
      </c>
      <c r="AJ49" s="945">
        <v>34</v>
      </c>
      <c r="AK49" s="945">
        <v>46</v>
      </c>
      <c r="AL49" s="945"/>
      <c r="AM49" s="945">
        <v>41</v>
      </c>
      <c r="AN49" s="945"/>
    </row>
    <row r="50" spans="2:40" ht="27.4" customHeight="1" x14ac:dyDescent="0.45">
      <c r="B50" s="1067"/>
      <c r="C50" s="1116"/>
      <c r="D50" s="1079"/>
      <c r="E50" s="1080"/>
      <c r="F50" s="97" t="s">
        <v>408</v>
      </c>
      <c r="G50" s="56" t="s">
        <v>39</v>
      </c>
      <c r="H50" s="56" t="s">
        <v>350</v>
      </c>
      <c r="I50" s="56"/>
      <c r="J50" s="98"/>
      <c r="K50" s="246">
        <v>48</v>
      </c>
      <c r="L50" s="798"/>
      <c r="M50" s="335">
        <v>48</v>
      </c>
      <c r="N50" s="246">
        <v>45</v>
      </c>
      <c r="O50" s="335"/>
      <c r="P50" s="335">
        <v>48</v>
      </c>
      <c r="Q50" s="335"/>
      <c r="R50" s="335">
        <v>46</v>
      </c>
      <c r="S50" s="335"/>
      <c r="T50" s="335">
        <v>44</v>
      </c>
      <c r="U50" s="335"/>
      <c r="V50" s="335">
        <v>42</v>
      </c>
      <c r="W50" s="335"/>
      <c r="X50" s="335">
        <v>43</v>
      </c>
      <c r="Y50" s="335">
        <v>36</v>
      </c>
      <c r="Z50" s="335">
        <v>43</v>
      </c>
      <c r="AA50" s="335"/>
      <c r="AB50" s="335">
        <v>43</v>
      </c>
      <c r="AC50" s="802"/>
      <c r="AD50" s="841">
        <v>48</v>
      </c>
      <c r="AE50" s="831">
        <v>45</v>
      </c>
      <c r="AF50" s="841">
        <v>48</v>
      </c>
      <c r="AG50" s="841">
        <v>64</v>
      </c>
      <c r="AH50" s="921">
        <v>36</v>
      </c>
      <c r="AI50" s="945">
        <v>62</v>
      </c>
      <c r="AJ50" s="945">
        <v>36</v>
      </c>
      <c r="AK50" s="945">
        <v>46</v>
      </c>
      <c r="AL50" s="945"/>
      <c r="AM50" s="945">
        <v>41</v>
      </c>
      <c r="AN50" s="945"/>
    </row>
    <row r="51" spans="2:40" ht="38.25" customHeight="1" x14ac:dyDescent="0.45">
      <c r="B51" s="1067"/>
      <c r="C51" s="1116"/>
      <c r="D51" s="1079"/>
      <c r="E51" s="1080"/>
      <c r="F51" s="87" t="s">
        <v>409</v>
      </c>
      <c r="G51" s="83" t="s">
        <v>410</v>
      </c>
      <c r="H51" s="83"/>
      <c r="I51" s="83" t="s">
        <v>411</v>
      </c>
      <c r="J51" s="88" t="s">
        <v>412</v>
      </c>
      <c r="K51" s="246">
        <v>1</v>
      </c>
      <c r="L51" s="798"/>
      <c r="M51" s="335">
        <v>1</v>
      </c>
      <c r="N51" s="246">
        <v>1</v>
      </c>
      <c r="O51" s="335"/>
      <c r="P51" s="335">
        <v>1</v>
      </c>
      <c r="Q51" s="335"/>
      <c r="R51" s="335">
        <v>1</v>
      </c>
      <c r="S51" s="335"/>
      <c r="T51" s="335">
        <v>1</v>
      </c>
      <c r="U51" s="335"/>
      <c r="V51" s="335">
        <v>1</v>
      </c>
      <c r="W51" s="335"/>
      <c r="X51" s="335">
        <v>1</v>
      </c>
      <c r="Y51" s="335">
        <v>1</v>
      </c>
      <c r="Z51" s="335">
        <v>1</v>
      </c>
      <c r="AA51" s="335"/>
      <c r="AB51" s="335">
        <v>1</v>
      </c>
      <c r="AC51" s="802"/>
      <c r="AD51" s="841">
        <v>1</v>
      </c>
      <c r="AE51" s="831">
        <v>1</v>
      </c>
      <c r="AF51" s="841">
        <v>1</v>
      </c>
      <c r="AG51" s="841">
        <v>1</v>
      </c>
      <c r="AH51" s="921">
        <v>1</v>
      </c>
      <c r="AI51" s="945">
        <v>1</v>
      </c>
      <c r="AJ51" s="945">
        <v>1</v>
      </c>
      <c r="AK51" s="945">
        <v>1</v>
      </c>
      <c r="AL51" s="945"/>
      <c r="AM51" s="945">
        <v>1</v>
      </c>
      <c r="AN51" s="945"/>
    </row>
    <row r="52" spans="2:40" ht="25.5" customHeight="1" x14ac:dyDescent="0.45">
      <c r="B52" s="1067"/>
      <c r="C52" s="1116"/>
      <c r="D52" s="1081"/>
      <c r="E52" s="1082"/>
      <c r="F52" s="348" t="s">
        <v>413</v>
      </c>
      <c r="G52" s="349" t="s">
        <v>410</v>
      </c>
      <c r="H52" s="349" t="s">
        <v>350</v>
      </c>
      <c r="I52" s="349" t="s">
        <v>414</v>
      </c>
      <c r="J52" s="350" t="s">
        <v>415</v>
      </c>
      <c r="K52" s="352">
        <v>0.42</v>
      </c>
      <c r="L52" s="1000"/>
      <c r="M52" s="351">
        <v>0.42</v>
      </c>
      <c r="N52" s="352">
        <v>0.42</v>
      </c>
      <c r="O52" s="351"/>
      <c r="P52" s="351">
        <v>0.42</v>
      </c>
      <c r="Q52" s="351"/>
      <c r="R52" s="351">
        <v>0.42</v>
      </c>
      <c r="S52" s="351"/>
      <c r="T52" s="351">
        <v>0.41</v>
      </c>
      <c r="U52" s="351"/>
      <c r="V52" s="351">
        <v>0.41</v>
      </c>
      <c r="W52" s="351"/>
      <c r="X52" s="351">
        <v>0.41</v>
      </c>
      <c r="Y52" s="351">
        <v>0.4</v>
      </c>
      <c r="Z52" s="351">
        <v>0.41</v>
      </c>
      <c r="AA52" s="351"/>
      <c r="AB52" s="351">
        <v>0.41</v>
      </c>
      <c r="AC52" s="803"/>
      <c r="AD52" s="842">
        <v>0.42</v>
      </c>
      <c r="AE52" s="832">
        <v>0.42</v>
      </c>
      <c r="AF52" s="842">
        <v>0.42</v>
      </c>
      <c r="AG52" s="842">
        <v>0.49</v>
      </c>
      <c r="AH52" s="922">
        <v>0.42</v>
      </c>
      <c r="AI52" s="946">
        <v>0.44</v>
      </c>
      <c r="AJ52" s="946">
        <v>0.4</v>
      </c>
      <c r="AK52" s="946">
        <v>0.45</v>
      </c>
      <c r="AL52" s="946"/>
      <c r="AM52" s="946">
        <v>0.41</v>
      </c>
      <c r="AN52" s="946"/>
    </row>
    <row r="53" spans="2:40" ht="27.4" customHeight="1" x14ac:dyDescent="0.45">
      <c r="B53" s="1067"/>
      <c r="C53" s="1116"/>
      <c r="D53" s="1077" t="s">
        <v>416</v>
      </c>
      <c r="E53" s="1078"/>
      <c r="F53" s="103" t="s">
        <v>417</v>
      </c>
      <c r="G53" s="61" t="s">
        <v>410</v>
      </c>
      <c r="H53" s="61"/>
      <c r="I53" s="61"/>
      <c r="J53" s="104" t="s">
        <v>276</v>
      </c>
      <c r="K53" s="260" t="s">
        <v>370</v>
      </c>
      <c r="L53" s="798"/>
      <c r="M53" s="335" t="s">
        <v>200</v>
      </c>
      <c r="N53" s="260" t="s">
        <v>200</v>
      </c>
      <c r="O53" s="335"/>
      <c r="P53" s="335" t="s">
        <v>200</v>
      </c>
      <c r="Q53" s="335"/>
      <c r="R53" s="335" t="s">
        <v>200</v>
      </c>
      <c r="S53" s="335"/>
      <c r="T53" s="335" t="s">
        <v>200</v>
      </c>
      <c r="U53" s="335"/>
      <c r="V53" s="335" t="s">
        <v>200</v>
      </c>
      <c r="W53" s="335"/>
      <c r="X53" s="335" t="s">
        <v>200</v>
      </c>
      <c r="Y53" s="335" t="s">
        <v>200</v>
      </c>
      <c r="Z53" s="335" t="s">
        <v>200</v>
      </c>
      <c r="AA53" s="335"/>
      <c r="AB53" s="335" t="s">
        <v>200</v>
      </c>
      <c r="AC53" s="802"/>
      <c r="AD53" s="841" t="s">
        <v>200</v>
      </c>
      <c r="AE53" s="831" t="s">
        <v>200</v>
      </c>
      <c r="AF53" s="841" t="s">
        <v>200</v>
      </c>
      <c r="AG53" s="841" t="s">
        <v>200</v>
      </c>
      <c r="AH53" s="921" t="s">
        <v>200</v>
      </c>
      <c r="AI53" s="945" t="s">
        <v>200</v>
      </c>
      <c r="AJ53" s="945" t="s">
        <v>200</v>
      </c>
      <c r="AK53" s="945" t="s">
        <v>200</v>
      </c>
      <c r="AL53" s="945"/>
      <c r="AM53" s="945" t="s">
        <v>200</v>
      </c>
      <c r="AN53" s="945"/>
    </row>
    <row r="54" spans="2:40" ht="25.15" customHeight="1" x14ac:dyDescent="0.45">
      <c r="B54" s="1067"/>
      <c r="C54" s="1116"/>
      <c r="D54" s="1079"/>
      <c r="E54" s="1080"/>
      <c r="F54" s="97" t="s">
        <v>418</v>
      </c>
      <c r="G54" s="56"/>
      <c r="H54" s="56"/>
      <c r="I54" s="56"/>
      <c r="J54" s="98" t="s">
        <v>181</v>
      </c>
      <c r="K54" s="246" t="s">
        <v>419</v>
      </c>
      <c r="L54" s="798"/>
      <c r="M54" s="335" t="s">
        <v>356</v>
      </c>
      <c r="N54" s="246" t="s">
        <v>419</v>
      </c>
      <c r="O54" s="335"/>
      <c r="P54" s="335" t="s">
        <v>356</v>
      </c>
      <c r="Q54" s="335"/>
      <c r="R54" s="335" t="s">
        <v>356</v>
      </c>
      <c r="S54" s="335"/>
      <c r="T54" s="335" t="s">
        <v>356</v>
      </c>
      <c r="U54" s="335"/>
      <c r="V54" s="335" t="s">
        <v>356</v>
      </c>
      <c r="W54" s="335"/>
      <c r="X54" s="335" t="s">
        <v>356</v>
      </c>
      <c r="Y54" s="335" t="s">
        <v>356</v>
      </c>
      <c r="Z54" s="335" t="s">
        <v>356</v>
      </c>
      <c r="AA54" s="335"/>
      <c r="AB54" s="335" t="s">
        <v>356</v>
      </c>
      <c r="AC54" s="802"/>
      <c r="AD54" s="841" t="s">
        <v>356</v>
      </c>
      <c r="AE54" s="831" t="s">
        <v>356</v>
      </c>
      <c r="AF54" s="841" t="s">
        <v>356</v>
      </c>
      <c r="AG54" s="841" t="s">
        <v>356</v>
      </c>
      <c r="AH54" s="921" t="s">
        <v>356</v>
      </c>
      <c r="AI54" s="945" t="s">
        <v>356</v>
      </c>
      <c r="AJ54" s="945" t="s">
        <v>356</v>
      </c>
      <c r="AK54" s="945" t="s">
        <v>356</v>
      </c>
      <c r="AL54" s="945"/>
      <c r="AM54" s="945" t="s">
        <v>356</v>
      </c>
      <c r="AN54" s="945"/>
    </row>
    <row r="55" spans="2:40" ht="27.4" customHeight="1" x14ac:dyDescent="0.45">
      <c r="B55" s="1067"/>
      <c r="C55" s="1116"/>
      <c r="D55" s="1079"/>
      <c r="E55" s="1080"/>
      <c r="F55" s="87" t="s">
        <v>420</v>
      </c>
      <c r="G55" s="83" t="s">
        <v>410</v>
      </c>
      <c r="H55" s="83"/>
      <c r="I55" s="83"/>
      <c r="J55" s="88"/>
      <c r="K55" s="766">
        <v>3</v>
      </c>
      <c r="L55" s="766"/>
      <c r="M55" s="766">
        <v>3</v>
      </c>
      <c r="N55" s="335">
        <v>1</v>
      </c>
      <c r="O55" s="336"/>
      <c r="P55" s="766">
        <v>3</v>
      </c>
      <c r="Q55" s="766"/>
      <c r="R55" s="766" t="s">
        <v>421</v>
      </c>
      <c r="S55" s="766"/>
      <c r="T55" s="766">
        <v>1</v>
      </c>
      <c r="U55" s="766"/>
      <c r="V55" s="766">
        <v>1</v>
      </c>
      <c r="W55" s="766"/>
      <c r="X55" s="766" t="s">
        <v>421</v>
      </c>
      <c r="Y55" s="766">
        <v>1</v>
      </c>
      <c r="Z55" s="766" t="s">
        <v>421</v>
      </c>
      <c r="AA55" s="766"/>
      <c r="AB55" s="766" t="s">
        <v>421</v>
      </c>
      <c r="AC55" s="804"/>
      <c r="AD55" s="843">
        <v>3</v>
      </c>
      <c r="AE55" s="819" t="s">
        <v>422</v>
      </c>
      <c r="AF55" s="843">
        <v>3</v>
      </c>
      <c r="AG55" s="843" t="s">
        <v>423</v>
      </c>
      <c r="AH55" s="923" t="s">
        <v>422</v>
      </c>
      <c r="AI55" s="947" t="s">
        <v>423</v>
      </c>
      <c r="AJ55" s="947" t="s">
        <v>423</v>
      </c>
      <c r="AK55" s="945">
        <v>3</v>
      </c>
      <c r="AL55" s="947"/>
      <c r="AM55" s="947" t="s">
        <v>424</v>
      </c>
      <c r="AN55" s="947"/>
    </row>
    <row r="56" spans="2:40" ht="25.15" customHeight="1" x14ac:dyDescent="0.45">
      <c r="B56" s="1067"/>
      <c r="C56" s="1116"/>
      <c r="D56" s="1079"/>
      <c r="E56" s="1080"/>
      <c r="F56" s="97" t="s">
        <v>425</v>
      </c>
      <c r="G56" s="56" t="s">
        <v>137</v>
      </c>
      <c r="H56" s="56" t="s">
        <v>426</v>
      </c>
      <c r="I56" s="56"/>
      <c r="J56" s="98"/>
      <c r="K56" s="335">
        <v>6.0999999999999999E-2</v>
      </c>
      <c r="L56" s="335"/>
      <c r="M56" s="335">
        <v>0.06</v>
      </c>
      <c r="N56" s="335">
        <v>0.06</v>
      </c>
      <c r="O56" s="335"/>
      <c r="P56" s="335">
        <v>0.06</v>
      </c>
      <c r="Q56" s="335"/>
      <c r="R56" s="335">
        <v>0.06</v>
      </c>
      <c r="S56" s="335"/>
      <c r="T56" s="335">
        <v>0.06</v>
      </c>
      <c r="U56" s="335"/>
      <c r="V56" s="335">
        <v>0.06</v>
      </c>
      <c r="W56" s="335"/>
      <c r="X56" s="335">
        <v>0.06</v>
      </c>
      <c r="Y56" s="335">
        <v>0.05</v>
      </c>
      <c r="Z56" s="335">
        <v>0.06</v>
      </c>
      <c r="AA56" s="335"/>
      <c r="AB56" s="335">
        <v>0.06</v>
      </c>
      <c r="AC56" s="802"/>
      <c r="AD56" s="841">
        <v>6.0999999999999999E-2</v>
      </c>
      <c r="AE56" s="831">
        <v>0.05</v>
      </c>
      <c r="AF56" s="841">
        <v>0.06</v>
      </c>
      <c r="AG56" s="841">
        <v>0.06</v>
      </c>
      <c r="AH56" s="921">
        <v>0.05</v>
      </c>
      <c r="AI56" s="945">
        <v>0.11</v>
      </c>
      <c r="AJ56" s="945">
        <v>0.11</v>
      </c>
      <c r="AK56" s="945">
        <v>2.5000000000000001E-2</v>
      </c>
      <c r="AL56" s="945"/>
      <c r="AM56" s="945">
        <v>0.14000000000000001</v>
      </c>
      <c r="AN56" s="945"/>
    </row>
    <row r="57" spans="2:40" ht="25.15" customHeight="1" x14ac:dyDescent="0.45">
      <c r="B57" s="1067"/>
      <c r="C57" s="1116"/>
      <c r="D57" s="1079"/>
      <c r="E57" s="1080"/>
      <c r="F57" s="87" t="s">
        <v>425</v>
      </c>
      <c r="G57" s="83" t="s">
        <v>137</v>
      </c>
      <c r="H57" s="83" t="s">
        <v>427</v>
      </c>
      <c r="I57" s="83"/>
      <c r="J57" s="88"/>
      <c r="K57" s="335">
        <v>0.05</v>
      </c>
      <c r="L57" s="335"/>
      <c r="M57" s="335"/>
      <c r="N57" s="335">
        <v>3.7999999999999999E-2</v>
      </c>
      <c r="O57" s="335"/>
      <c r="P57" s="335"/>
      <c r="Q57" s="335"/>
      <c r="R57" s="335">
        <v>3.5999999999999997E-2</v>
      </c>
      <c r="S57" s="335"/>
      <c r="T57" s="335">
        <v>3.7999999999999999E-2</v>
      </c>
      <c r="U57" s="335"/>
      <c r="V57" s="335">
        <v>3.5999999999999997E-2</v>
      </c>
      <c r="W57" s="335"/>
      <c r="X57" s="335">
        <v>3.5999999999999997E-2</v>
      </c>
      <c r="Y57" s="335">
        <v>3.5999999999999997E-2</v>
      </c>
      <c r="Z57" s="335">
        <v>3.5999999999999997E-2</v>
      </c>
      <c r="AA57" s="335"/>
      <c r="AB57" s="335">
        <v>3.5999999999999997E-2</v>
      </c>
      <c r="AC57" s="802"/>
      <c r="AD57" s="841">
        <v>0.05</v>
      </c>
      <c r="AE57" s="831">
        <v>3.7999999999999999E-2</v>
      </c>
      <c r="AF57" s="841">
        <v>3.5999999999999997E-2</v>
      </c>
      <c r="AG57" s="841">
        <v>0.05</v>
      </c>
      <c r="AH57" s="921">
        <v>3.7999999999999999E-2</v>
      </c>
      <c r="AI57" s="945">
        <v>5.1999999999999998E-2</v>
      </c>
      <c r="AJ57" s="945">
        <v>5.1999999999999998E-2</v>
      </c>
      <c r="AK57" s="945">
        <v>3.7999999999999999E-2</v>
      </c>
      <c r="AL57" s="945"/>
      <c r="AM57" s="945">
        <v>8.4000000000000005E-2</v>
      </c>
      <c r="AN57" s="945"/>
    </row>
    <row r="58" spans="2:40" ht="25.15" customHeight="1" x14ac:dyDescent="0.45">
      <c r="B58" s="1067"/>
      <c r="C58" s="1116"/>
      <c r="D58" s="1079"/>
      <c r="E58" s="1080"/>
      <c r="F58" s="97" t="s">
        <v>428</v>
      </c>
      <c r="G58" s="56" t="s">
        <v>39</v>
      </c>
      <c r="H58" s="56" t="s">
        <v>217</v>
      </c>
      <c r="I58" s="56"/>
      <c r="J58" s="98"/>
      <c r="K58" s="246">
        <v>32.799999999999997</v>
      </c>
      <c r="L58" s="798"/>
      <c r="M58" s="335">
        <v>32.5</v>
      </c>
      <c r="N58" s="335">
        <v>31.9</v>
      </c>
      <c r="O58" s="335"/>
      <c r="P58" s="335">
        <v>32.5</v>
      </c>
      <c r="Q58" s="335"/>
      <c r="R58" s="335">
        <v>31.6</v>
      </c>
      <c r="S58" s="335"/>
      <c r="T58" s="335">
        <v>31.4</v>
      </c>
      <c r="U58" s="335"/>
      <c r="V58" s="335">
        <v>31.2</v>
      </c>
      <c r="W58" s="335"/>
      <c r="X58" s="335">
        <v>31.2</v>
      </c>
      <c r="Y58" s="335">
        <v>32.1</v>
      </c>
      <c r="Z58" s="335">
        <v>31.2</v>
      </c>
      <c r="AA58" s="335"/>
      <c r="AB58" s="335">
        <v>31.2</v>
      </c>
      <c r="AC58" s="802"/>
      <c r="AD58" s="841">
        <v>32.799999999999997</v>
      </c>
      <c r="AE58" s="831">
        <v>31.8</v>
      </c>
      <c r="AF58" s="841">
        <v>32.5</v>
      </c>
      <c r="AG58" s="841">
        <v>37.6</v>
      </c>
      <c r="AH58" s="921">
        <v>28.2</v>
      </c>
      <c r="AI58" s="945">
        <v>35</v>
      </c>
      <c r="AJ58" s="945">
        <v>35</v>
      </c>
      <c r="AK58" s="945">
        <v>33.6</v>
      </c>
      <c r="AL58" s="945"/>
      <c r="AM58" s="945">
        <v>35.799999999999997</v>
      </c>
      <c r="AN58" s="945"/>
    </row>
    <row r="59" spans="2:40" ht="25.15" customHeight="1" x14ac:dyDescent="0.45">
      <c r="B59" s="1067"/>
      <c r="C59" s="1116"/>
      <c r="D59" s="1079"/>
      <c r="E59" s="1080"/>
      <c r="F59" s="87" t="s">
        <v>429</v>
      </c>
      <c r="G59" s="83" t="s">
        <v>430</v>
      </c>
      <c r="H59" s="83" t="s">
        <v>217</v>
      </c>
      <c r="I59" s="83"/>
      <c r="J59" s="88"/>
      <c r="K59" s="246">
        <v>70.5</v>
      </c>
      <c r="L59" s="798"/>
      <c r="M59" s="335">
        <v>70.5</v>
      </c>
      <c r="N59" s="246">
        <v>69.5</v>
      </c>
      <c r="O59" s="335"/>
      <c r="P59" s="335">
        <v>70.5</v>
      </c>
      <c r="Q59" s="335"/>
      <c r="R59" s="335">
        <v>69.5</v>
      </c>
      <c r="S59" s="335"/>
      <c r="T59" s="335">
        <v>69.5</v>
      </c>
      <c r="U59" s="335"/>
      <c r="V59" s="335">
        <v>69</v>
      </c>
      <c r="W59" s="335"/>
      <c r="X59" s="335">
        <v>69.5</v>
      </c>
      <c r="Y59" s="335">
        <v>69.5</v>
      </c>
      <c r="Z59" s="335">
        <v>69.5</v>
      </c>
      <c r="AA59" s="335"/>
      <c r="AB59" s="335">
        <v>69.5</v>
      </c>
      <c r="AC59" s="802"/>
      <c r="AD59" s="841">
        <v>70.5</v>
      </c>
      <c r="AE59" s="831">
        <v>69.5</v>
      </c>
      <c r="AF59" s="841">
        <v>70.5</v>
      </c>
      <c r="AG59" s="841">
        <v>68.5</v>
      </c>
      <c r="AH59" s="921">
        <v>69.5</v>
      </c>
      <c r="AI59" s="945">
        <v>69</v>
      </c>
      <c r="AJ59" s="945">
        <v>69</v>
      </c>
      <c r="AK59" s="945">
        <v>70</v>
      </c>
      <c r="AL59" s="945"/>
      <c r="AM59" s="945">
        <v>68.5</v>
      </c>
      <c r="AN59" s="945"/>
    </row>
    <row r="60" spans="2:40" ht="25.5" x14ac:dyDescent="0.45">
      <c r="B60" s="1067"/>
      <c r="C60" s="1116"/>
      <c r="D60" s="1079"/>
      <c r="E60" s="1080"/>
      <c r="F60" s="97" t="s">
        <v>431</v>
      </c>
      <c r="G60" s="56" t="s">
        <v>137</v>
      </c>
      <c r="H60" s="56" t="s">
        <v>427</v>
      </c>
      <c r="I60" s="56"/>
      <c r="J60" s="98"/>
      <c r="K60" s="246">
        <v>0.17</v>
      </c>
      <c r="L60" s="798"/>
      <c r="M60" s="335">
        <v>0.22</v>
      </c>
      <c r="N60" s="246">
        <v>0.184</v>
      </c>
      <c r="O60" s="335"/>
      <c r="P60" s="335">
        <v>0.22</v>
      </c>
      <c r="Q60" s="335"/>
      <c r="R60" s="335">
        <v>0.186</v>
      </c>
      <c r="S60" s="335"/>
      <c r="T60" s="335">
        <v>0.19800000000000001</v>
      </c>
      <c r="U60" s="335"/>
      <c r="V60" s="335">
        <v>0.192</v>
      </c>
      <c r="W60" s="335"/>
      <c r="X60" s="335">
        <v>0.19500000000000001</v>
      </c>
      <c r="Y60" s="335">
        <v>0.186</v>
      </c>
      <c r="Z60" s="335">
        <v>0.19500000000000001</v>
      </c>
      <c r="AA60" s="335"/>
      <c r="AB60" s="335">
        <v>0.19500000000000001</v>
      </c>
      <c r="AC60" s="802"/>
      <c r="AD60" s="841">
        <v>0.17</v>
      </c>
      <c r="AE60" s="831">
        <v>0.19</v>
      </c>
      <c r="AF60" s="841">
        <v>0.22</v>
      </c>
      <c r="AG60" s="841">
        <v>0.13200000000000001</v>
      </c>
      <c r="AH60" s="921">
        <v>0.19</v>
      </c>
      <c r="AI60" s="945">
        <v>0.13300000000000001</v>
      </c>
      <c r="AJ60" s="945">
        <v>0.13300000000000001</v>
      </c>
      <c r="AK60" s="945">
        <v>0.23</v>
      </c>
      <c r="AL60" s="945"/>
      <c r="AM60" s="945">
        <v>3.5999999999999997E-2</v>
      </c>
      <c r="AN60" s="945"/>
    </row>
    <row r="61" spans="2:40" ht="25.5" x14ac:dyDescent="0.45">
      <c r="B61" s="1067"/>
      <c r="C61" s="1116"/>
      <c r="D61" s="1079"/>
      <c r="E61" s="1080"/>
      <c r="F61" s="87" t="s">
        <v>432</v>
      </c>
      <c r="G61" s="83" t="s">
        <v>21</v>
      </c>
      <c r="H61" s="83" t="s">
        <v>217</v>
      </c>
      <c r="I61" s="83"/>
      <c r="J61" s="88"/>
      <c r="K61" s="246"/>
      <c r="L61" s="798"/>
      <c r="M61" s="335">
        <v>0.19</v>
      </c>
      <c r="N61" s="246"/>
      <c r="O61" s="335"/>
      <c r="P61" s="335">
        <v>0.19</v>
      </c>
      <c r="Q61" s="335"/>
      <c r="R61" s="335"/>
      <c r="S61" s="335"/>
      <c r="T61" s="335" t="s">
        <v>21</v>
      </c>
      <c r="U61" s="335"/>
      <c r="V61" s="335" t="s">
        <v>21</v>
      </c>
      <c r="W61" s="335"/>
      <c r="X61" s="335"/>
      <c r="Y61" s="335" t="s">
        <v>21</v>
      </c>
      <c r="Z61" s="335"/>
      <c r="AA61" s="335"/>
      <c r="AB61" s="335"/>
      <c r="AC61" s="802"/>
      <c r="AD61" s="841"/>
      <c r="AE61" s="831" t="s">
        <v>21</v>
      </c>
      <c r="AF61" s="841"/>
      <c r="AG61" s="841" t="s">
        <v>21</v>
      </c>
      <c r="AH61" s="921" t="s">
        <v>21</v>
      </c>
      <c r="AI61" s="945" t="s">
        <v>21</v>
      </c>
      <c r="AJ61" s="945" t="s">
        <v>21</v>
      </c>
      <c r="AK61" s="945" t="s">
        <v>21</v>
      </c>
      <c r="AL61" s="945"/>
      <c r="AM61" s="945">
        <v>9</v>
      </c>
      <c r="AN61" s="945"/>
    </row>
    <row r="62" spans="2:40" ht="25.15" customHeight="1" x14ac:dyDescent="0.45">
      <c r="B62" s="1069"/>
      <c r="C62" s="1117"/>
      <c r="D62" s="1119"/>
      <c r="E62" s="1120"/>
      <c r="F62" s="97" t="s">
        <v>433</v>
      </c>
      <c r="G62" s="56" t="s">
        <v>434</v>
      </c>
      <c r="H62" s="56" t="s">
        <v>350</v>
      </c>
      <c r="I62" s="56"/>
      <c r="J62" s="98"/>
      <c r="K62" s="246">
        <v>50</v>
      </c>
      <c r="L62" s="798"/>
      <c r="M62" s="335">
        <v>50</v>
      </c>
      <c r="N62" s="246">
        <v>50</v>
      </c>
      <c r="O62" s="335"/>
      <c r="P62" s="335">
        <v>50</v>
      </c>
      <c r="Q62" s="335"/>
      <c r="R62" s="335">
        <v>50</v>
      </c>
      <c r="S62" s="335"/>
      <c r="T62" s="335">
        <v>48</v>
      </c>
      <c r="U62" s="335"/>
      <c r="V62" s="335">
        <v>48</v>
      </c>
      <c r="W62" s="335"/>
      <c r="X62" s="335">
        <v>48</v>
      </c>
      <c r="Y62" s="335">
        <v>52</v>
      </c>
      <c r="Z62" s="335">
        <v>48</v>
      </c>
      <c r="AA62" s="335"/>
      <c r="AB62" s="335">
        <v>48</v>
      </c>
      <c r="AC62" s="802"/>
      <c r="AD62" s="841">
        <v>50</v>
      </c>
      <c r="AE62" s="831">
        <v>50</v>
      </c>
      <c r="AF62" s="841">
        <v>50</v>
      </c>
      <c r="AG62" s="841">
        <v>50</v>
      </c>
      <c r="AH62" s="921">
        <v>50</v>
      </c>
      <c r="AI62" s="945">
        <v>48</v>
      </c>
      <c r="AJ62" s="945">
        <v>48</v>
      </c>
      <c r="AK62" s="945">
        <v>48</v>
      </c>
      <c r="AL62" s="945"/>
      <c r="AM62" s="945">
        <v>50</v>
      </c>
      <c r="AN62" s="945"/>
    </row>
    <row r="63" spans="2:40" ht="27.4" customHeight="1" x14ac:dyDescent="0.45">
      <c r="B63" s="1088" t="s">
        <v>435</v>
      </c>
      <c r="C63" s="1089"/>
      <c r="D63" s="1110" t="s">
        <v>436</v>
      </c>
      <c r="E63" s="1110"/>
      <c r="F63" s="378" t="s">
        <v>437</v>
      </c>
      <c r="G63" s="379"/>
      <c r="H63" s="379"/>
      <c r="I63" s="379"/>
      <c r="J63" s="380" t="s">
        <v>438</v>
      </c>
      <c r="K63" s="372" t="s">
        <v>48</v>
      </c>
      <c r="L63" s="811"/>
      <c r="M63" s="371" t="s">
        <v>48</v>
      </c>
      <c r="N63" s="371" t="s">
        <v>48</v>
      </c>
      <c r="O63" s="371"/>
      <c r="P63" s="371" t="s">
        <v>48</v>
      </c>
      <c r="Q63" s="371"/>
      <c r="R63" s="371" t="s">
        <v>48</v>
      </c>
      <c r="S63" s="371"/>
      <c r="T63" s="980" t="s">
        <v>439</v>
      </c>
      <c r="U63" s="371"/>
      <c r="V63" s="980" t="s">
        <v>439</v>
      </c>
      <c r="W63" s="371" t="s">
        <v>48</v>
      </c>
      <c r="X63" s="371" t="s">
        <v>48</v>
      </c>
      <c r="Y63" s="371" t="s">
        <v>48</v>
      </c>
      <c r="Z63" s="371" t="s">
        <v>48</v>
      </c>
      <c r="AA63" s="371" t="s">
        <v>48</v>
      </c>
      <c r="AB63" s="371" t="s">
        <v>48</v>
      </c>
      <c r="AC63" s="981" t="s">
        <v>439</v>
      </c>
      <c r="AD63" s="844" t="s">
        <v>48</v>
      </c>
      <c r="AE63" s="833" t="s">
        <v>48</v>
      </c>
      <c r="AF63" s="844" t="s">
        <v>48</v>
      </c>
      <c r="AG63" s="844" t="s">
        <v>48</v>
      </c>
      <c r="AH63" s="924" t="s">
        <v>365</v>
      </c>
      <c r="AI63" s="948" t="s">
        <v>48</v>
      </c>
      <c r="AJ63" s="948" t="s">
        <v>48</v>
      </c>
      <c r="AK63" s="948" t="s">
        <v>48</v>
      </c>
      <c r="AL63" s="948"/>
      <c r="AM63" s="948" t="s">
        <v>48</v>
      </c>
      <c r="AN63" s="948"/>
    </row>
    <row r="64" spans="2:40" ht="27.4" customHeight="1" x14ac:dyDescent="0.45">
      <c r="B64" s="1090"/>
      <c r="C64" s="1091"/>
      <c r="D64" s="1105"/>
      <c r="E64" s="1105"/>
      <c r="F64" s="87" t="s">
        <v>440</v>
      </c>
      <c r="G64" s="83" t="s">
        <v>137</v>
      </c>
      <c r="H64" s="83"/>
      <c r="I64" s="83"/>
      <c r="J64" s="88"/>
      <c r="K64" s="246">
        <v>0.7</v>
      </c>
      <c r="L64" s="798"/>
      <c r="M64" s="335">
        <v>0.7</v>
      </c>
      <c r="N64" s="335">
        <v>0.7</v>
      </c>
      <c r="O64" s="335"/>
      <c r="P64" s="335">
        <v>0.7</v>
      </c>
      <c r="Q64" s="335"/>
      <c r="R64" s="335">
        <v>0.78</v>
      </c>
      <c r="S64" s="335"/>
      <c r="T64" s="335">
        <v>0.78</v>
      </c>
      <c r="U64" s="335"/>
      <c r="V64" s="335">
        <v>0.77</v>
      </c>
      <c r="W64" s="335">
        <v>0.72</v>
      </c>
      <c r="X64" s="335">
        <v>0.75</v>
      </c>
      <c r="Y64" s="335">
        <v>0.72</v>
      </c>
      <c r="Z64" s="335">
        <v>0.72</v>
      </c>
      <c r="AA64" s="335">
        <v>0.7</v>
      </c>
      <c r="AB64" s="335">
        <v>0.72</v>
      </c>
      <c r="AC64" s="802">
        <v>0.71</v>
      </c>
      <c r="AD64" s="841">
        <v>0.7</v>
      </c>
      <c r="AE64" s="831">
        <v>0.68</v>
      </c>
      <c r="AF64" s="841">
        <v>0.7</v>
      </c>
      <c r="AG64" s="841">
        <v>0.75</v>
      </c>
      <c r="AH64" s="921">
        <v>0.72</v>
      </c>
      <c r="AI64" s="945">
        <v>0.7</v>
      </c>
      <c r="AJ64" s="945">
        <v>0.72</v>
      </c>
      <c r="AK64" s="945">
        <v>0.78</v>
      </c>
      <c r="AL64" s="945"/>
      <c r="AM64" s="945">
        <v>0.78</v>
      </c>
      <c r="AN64" s="945"/>
    </row>
    <row r="65" spans="2:40" ht="27.4" customHeight="1" x14ac:dyDescent="0.45">
      <c r="B65" s="1090"/>
      <c r="C65" s="1091"/>
      <c r="D65" s="1105"/>
      <c r="E65" s="1105"/>
      <c r="F65" s="97" t="s">
        <v>441</v>
      </c>
      <c r="G65" s="56" t="s">
        <v>137</v>
      </c>
      <c r="H65" s="56"/>
      <c r="I65" s="56"/>
      <c r="J65" s="98"/>
      <c r="K65" s="246"/>
      <c r="L65" s="798"/>
      <c r="M65" s="335">
        <v>0</v>
      </c>
      <c r="N65" s="335">
        <v>0</v>
      </c>
      <c r="O65" s="335"/>
      <c r="P65" s="335">
        <v>0</v>
      </c>
      <c r="Q65" s="335"/>
      <c r="R65" s="335">
        <v>0</v>
      </c>
      <c r="S65" s="335"/>
      <c r="T65" s="335">
        <v>0</v>
      </c>
      <c r="U65" s="335"/>
      <c r="V65" s="335">
        <v>0</v>
      </c>
      <c r="W65" s="335">
        <v>0</v>
      </c>
      <c r="X65" s="335">
        <v>0</v>
      </c>
      <c r="Y65" s="335">
        <v>0</v>
      </c>
      <c r="Z65" s="335">
        <v>0</v>
      </c>
      <c r="AA65" s="335">
        <v>0</v>
      </c>
      <c r="AB65" s="335">
        <v>0</v>
      </c>
      <c r="AC65" s="802">
        <v>0</v>
      </c>
      <c r="AD65" s="841">
        <v>0</v>
      </c>
      <c r="AE65" s="831">
        <v>0</v>
      </c>
      <c r="AF65" s="841">
        <v>0</v>
      </c>
      <c r="AG65" s="841">
        <v>0</v>
      </c>
      <c r="AH65" s="921">
        <v>0.72</v>
      </c>
      <c r="AI65" s="945">
        <v>0</v>
      </c>
      <c r="AJ65" s="945">
        <v>0</v>
      </c>
      <c r="AK65" s="945">
        <v>0</v>
      </c>
      <c r="AL65" s="945"/>
      <c r="AM65" s="945">
        <v>0</v>
      </c>
      <c r="AN65" s="945"/>
    </row>
    <row r="66" spans="2:40" ht="27.4" customHeight="1" x14ac:dyDescent="0.45">
      <c r="B66" s="1090"/>
      <c r="C66" s="1091"/>
      <c r="D66" s="1111"/>
      <c r="E66" s="1111"/>
      <c r="F66" s="359" t="s">
        <v>442</v>
      </c>
      <c r="G66" s="360" t="s">
        <v>137</v>
      </c>
      <c r="H66" s="360"/>
      <c r="I66" s="360"/>
      <c r="J66" s="361"/>
      <c r="K66" s="352"/>
      <c r="L66" s="1000"/>
      <c r="M66" s="351">
        <v>0</v>
      </c>
      <c r="N66" s="351">
        <v>0</v>
      </c>
      <c r="O66" s="351"/>
      <c r="P66" s="351">
        <v>0</v>
      </c>
      <c r="Q66" s="351"/>
      <c r="R66" s="351">
        <v>0</v>
      </c>
      <c r="S66" s="351"/>
      <c r="T66" s="351">
        <v>0</v>
      </c>
      <c r="U66" s="351"/>
      <c r="V66" s="351">
        <v>0</v>
      </c>
      <c r="W66" s="351">
        <v>0</v>
      </c>
      <c r="X66" s="351">
        <v>0</v>
      </c>
      <c r="Y66" s="351">
        <v>0</v>
      </c>
      <c r="Z66" s="351">
        <v>0</v>
      </c>
      <c r="AA66" s="351">
        <v>0</v>
      </c>
      <c r="AB66" s="351">
        <v>0</v>
      </c>
      <c r="AC66" s="803">
        <v>0</v>
      </c>
      <c r="AD66" s="842">
        <v>0</v>
      </c>
      <c r="AE66" s="832">
        <v>0</v>
      </c>
      <c r="AF66" s="842">
        <v>0</v>
      </c>
      <c r="AG66" s="842">
        <v>0</v>
      </c>
      <c r="AH66" s="922">
        <v>0</v>
      </c>
      <c r="AI66" s="946">
        <v>0</v>
      </c>
      <c r="AJ66" s="946">
        <v>0</v>
      </c>
      <c r="AK66" s="946">
        <v>0</v>
      </c>
      <c r="AL66" s="946"/>
      <c r="AM66" s="946">
        <v>0</v>
      </c>
      <c r="AN66" s="946"/>
    </row>
    <row r="67" spans="2:40" ht="27.4" customHeight="1" x14ac:dyDescent="0.45">
      <c r="B67" s="1090"/>
      <c r="C67" s="1091"/>
      <c r="D67" s="1083" t="s">
        <v>443</v>
      </c>
      <c r="E67" s="1084"/>
      <c r="F67" s="103" t="s">
        <v>444</v>
      </c>
      <c r="G67" s="61" t="s">
        <v>39</v>
      </c>
      <c r="H67" s="61" t="s">
        <v>217</v>
      </c>
      <c r="I67" s="61" t="s">
        <v>445</v>
      </c>
      <c r="J67" s="104"/>
      <c r="K67" s="347">
        <v>35.700000000000003</v>
      </c>
      <c r="L67" s="799"/>
      <c r="M67" s="410">
        <v>35.1</v>
      </c>
      <c r="N67" s="347">
        <v>35.299999999999997</v>
      </c>
      <c r="O67" s="346"/>
      <c r="P67" s="347">
        <v>34.700000000000003</v>
      </c>
      <c r="Q67" s="347"/>
      <c r="R67" s="347">
        <v>34.700000000000003</v>
      </c>
      <c r="S67" s="347"/>
      <c r="T67" s="347">
        <v>34.6</v>
      </c>
      <c r="U67" s="347"/>
      <c r="V67" s="347">
        <v>34.4</v>
      </c>
      <c r="W67" s="347">
        <v>35.6</v>
      </c>
      <c r="X67" s="347">
        <v>35.200000000000003</v>
      </c>
      <c r="Y67" s="347">
        <v>34.9</v>
      </c>
      <c r="Z67" s="347">
        <v>35.299999999999997</v>
      </c>
      <c r="AA67" s="347">
        <v>35.9</v>
      </c>
      <c r="AB67" s="347">
        <v>35.299999999999997</v>
      </c>
      <c r="AC67" s="799">
        <v>34.5</v>
      </c>
      <c r="AD67" s="838">
        <v>35.700000000000003</v>
      </c>
      <c r="AE67" s="820">
        <v>34.700000000000003</v>
      </c>
      <c r="AF67" s="838">
        <v>35.1</v>
      </c>
      <c r="AG67" s="838">
        <v>35.6</v>
      </c>
      <c r="AH67" s="918">
        <v>33.299999999999997</v>
      </c>
      <c r="AI67" s="942">
        <v>34.6</v>
      </c>
      <c r="AJ67" s="942">
        <v>35.299999999999997</v>
      </c>
      <c r="AK67" s="942">
        <v>35.1</v>
      </c>
      <c r="AL67" s="942"/>
      <c r="AM67" s="942">
        <v>35.1</v>
      </c>
      <c r="AN67" s="942"/>
    </row>
    <row r="68" spans="2:40" ht="27.4" customHeight="1" x14ac:dyDescent="0.45">
      <c r="B68" s="1090"/>
      <c r="C68" s="1091"/>
      <c r="D68" s="1096"/>
      <c r="E68" s="1097"/>
      <c r="F68" s="97" t="s">
        <v>446</v>
      </c>
      <c r="G68" s="56" t="s">
        <v>39</v>
      </c>
      <c r="H68" s="56" t="s">
        <v>217</v>
      </c>
      <c r="I68" s="56"/>
      <c r="J68" s="98"/>
      <c r="K68" s="246">
        <v>35.9</v>
      </c>
      <c r="L68" s="798"/>
      <c r="M68" s="411">
        <v>35.5</v>
      </c>
      <c r="N68" s="246">
        <v>35.6</v>
      </c>
      <c r="O68" s="335"/>
      <c r="P68" s="246">
        <v>35.200000000000003</v>
      </c>
      <c r="Q68" s="246"/>
      <c r="R68" s="246">
        <v>35.200000000000003</v>
      </c>
      <c r="S68" s="246"/>
      <c r="T68" s="246">
        <v>35.1</v>
      </c>
      <c r="U68" s="246"/>
      <c r="V68" s="246">
        <v>34.799999999999997</v>
      </c>
      <c r="W68" s="246">
        <v>35.799999999999997</v>
      </c>
      <c r="X68" s="246">
        <v>35.200000000000003</v>
      </c>
      <c r="Y68" s="246">
        <v>35.4</v>
      </c>
      <c r="Z68" s="246">
        <v>35.5</v>
      </c>
      <c r="AA68" s="246">
        <v>35.5</v>
      </c>
      <c r="AB68" s="246">
        <v>35.5</v>
      </c>
      <c r="AC68" s="795">
        <v>35</v>
      </c>
      <c r="AD68" s="835">
        <v>35.9</v>
      </c>
      <c r="AE68" s="816">
        <v>35.1</v>
      </c>
      <c r="AF68" s="835">
        <v>35.5</v>
      </c>
      <c r="AG68" s="835">
        <v>35.799999999999997</v>
      </c>
      <c r="AH68" s="913">
        <v>33.700000000000003</v>
      </c>
      <c r="AI68" s="937">
        <v>35.1</v>
      </c>
      <c r="AJ68" s="937">
        <v>35.700000000000003</v>
      </c>
      <c r="AK68" s="937">
        <v>35.200000000000003</v>
      </c>
      <c r="AL68" s="937"/>
      <c r="AM68" s="937">
        <v>35.200000000000003</v>
      </c>
      <c r="AN68" s="937"/>
    </row>
    <row r="69" spans="2:40" ht="27.4" customHeight="1" x14ac:dyDescent="0.45">
      <c r="B69" s="1090"/>
      <c r="C69" s="1091"/>
      <c r="D69" s="1096"/>
      <c r="E69" s="1097"/>
      <c r="F69" s="87" t="s">
        <v>447</v>
      </c>
      <c r="G69" s="83" t="s">
        <v>39</v>
      </c>
      <c r="H69" s="83" t="s">
        <v>217</v>
      </c>
      <c r="I69" s="83"/>
      <c r="J69" s="88"/>
      <c r="K69" s="246">
        <v>35.5</v>
      </c>
      <c r="L69" s="798"/>
      <c r="M69" s="411">
        <v>35</v>
      </c>
      <c r="N69" s="246">
        <v>35.1</v>
      </c>
      <c r="O69" s="335"/>
      <c r="P69" s="246">
        <v>34.6</v>
      </c>
      <c r="Q69" s="246"/>
      <c r="R69" s="246">
        <v>34.5</v>
      </c>
      <c r="S69" s="246"/>
      <c r="T69" s="246">
        <v>34.5</v>
      </c>
      <c r="U69" s="246"/>
      <c r="V69" s="246">
        <v>34.9</v>
      </c>
      <c r="W69" s="246">
        <v>35.4</v>
      </c>
      <c r="X69" s="246">
        <v>34.799999999999997</v>
      </c>
      <c r="Y69" s="246">
        <v>34.799999999999997</v>
      </c>
      <c r="Z69" s="246">
        <v>35.200000000000003</v>
      </c>
      <c r="AA69" s="246">
        <v>35.200000000000003</v>
      </c>
      <c r="AB69" s="246">
        <v>35.200000000000003</v>
      </c>
      <c r="AC69" s="795">
        <v>34.4</v>
      </c>
      <c r="AD69" s="835">
        <v>35.5</v>
      </c>
      <c r="AE69" s="816">
        <v>34.5</v>
      </c>
      <c r="AF69" s="835">
        <v>35</v>
      </c>
      <c r="AG69" s="835">
        <v>35.4</v>
      </c>
      <c r="AH69" s="913">
        <v>33.4</v>
      </c>
      <c r="AI69" s="937">
        <v>34.5</v>
      </c>
      <c r="AJ69" s="937">
        <v>35.1</v>
      </c>
      <c r="AK69" s="937">
        <v>35</v>
      </c>
      <c r="AL69" s="937"/>
      <c r="AM69" s="937">
        <v>35</v>
      </c>
      <c r="AN69" s="937"/>
    </row>
    <row r="70" spans="2:40" ht="25.5" x14ac:dyDescent="0.45">
      <c r="B70" s="1090"/>
      <c r="C70" s="1091"/>
      <c r="D70" s="1086"/>
      <c r="E70" s="1087"/>
      <c r="F70" s="101" t="s">
        <v>448</v>
      </c>
      <c r="G70" s="62" t="s">
        <v>39</v>
      </c>
      <c r="H70" s="62" t="s">
        <v>217</v>
      </c>
      <c r="I70" s="62"/>
      <c r="J70" s="102"/>
      <c r="K70" s="261">
        <v>16.600000000000001</v>
      </c>
      <c r="L70" s="239"/>
      <c r="M70" s="412">
        <v>15.8</v>
      </c>
      <c r="N70" s="261">
        <v>15.9</v>
      </c>
      <c r="O70" s="768"/>
      <c r="P70" s="261">
        <v>15.1</v>
      </c>
      <c r="Q70" s="261"/>
      <c r="R70" s="261">
        <v>15</v>
      </c>
      <c r="S70" s="261"/>
      <c r="T70" s="261">
        <v>15</v>
      </c>
      <c r="U70" s="261"/>
      <c r="V70" s="261">
        <v>14</v>
      </c>
      <c r="W70" s="261">
        <v>16.399999999999999</v>
      </c>
      <c r="X70" s="261">
        <v>15.2</v>
      </c>
      <c r="Y70" s="261">
        <v>15.3</v>
      </c>
      <c r="Z70" s="261">
        <v>15.9</v>
      </c>
      <c r="AA70" s="261">
        <v>16.100000000000001</v>
      </c>
      <c r="AB70" s="261">
        <v>15.9</v>
      </c>
      <c r="AC70" s="796">
        <v>14.7</v>
      </c>
      <c r="AD70" s="837">
        <v>16.600000000000001</v>
      </c>
      <c r="AE70" s="817">
        <v>15</v>
      </c>
      <c r="AF70" s="837">
        <v>15.8</v>
      </c>
      <c r="AG70" s="837">
        <v>16.399999999999999</v>
      </c>
      <c r="AH70" s="914">
        <v>24.7</v>
      </c>
      <c r="AI70" s="938">
        <v>15</v>
      </c>
      <c r="AJ70" s="938">
        <v>15.9</v>
      </c>
      <c r="AK70" s="938">
        <v>15.6</v>
      </c>
      <c r="AL70" s="938"/>
      <c r="AM70" s="938">
        <v>15.6</v>
      </c>
      <c r="AN70" s="938"/>
    </row>
    <row r="71" spans="2:40" ht="27.4" customHeight="1" x14ac:dyDescent="0.45">
      <c r="B71" s="1090"/>
      <c r="C71" s="1091"/>
      <c r="D71" s="1118" t="s">
        <v>449</v>
      </c>
      <c r="E71" s="1095"/>
      <c r="F71" s="343" t="s">
        <v>450</v>
      </c>
      <c r="G71" s="344" t="s">
        <v>21</v>
      </c>
      <c r="H71" s="344"/>
      <c r="I71" s="344"/>
      <c r="J71" s="345" t="s">
        <v>451</v>
      </c>
      <c r="K71" s="347">
        <v>2</v>
      </c>
      <c r="L71" s="799"/>
      <c r="M71" s="410">
        <v>2</v>
      </c>
      <c r="N71" s="780" t="s">
        <v>452</v>
      </c>
      <c r="O71" s="776"/>
      <c r="P71" s="780">
        <v>1.2</v>
      </c>
      <c r="Q71" s="780"/>
      <c r="R71" s="780" t="s">
        <v>453</v>
      </c>
      <c r="S71" s="780"/>
      <c r="T71" s="780" t="s">
        <v>452</v>
      </c>
      <c r="U71" s="780"/>
      <c r="V71" s="780" t="s">
        <v>453</v>
      </c>
      <c r="W71" s="780" t="s">
        <v>453</v>
      </c>
      <c r="X71" s="780" t="s">
        <v>453</v>
      </c>
      <c r="Y71" s="780" t="s">
        <v>453</v>
      </c>
      <c r="Z71" s="780" t="s">
        <v>453</v>
      </c>
      <c r="AA71" s="780" t="s">
        <v>454</v>
      </c>
      <c r="AB71" s="780" t="s">
        <v>453</v>
      </c>
      <c r="AC71" s="805" t="s">
        <v>21</v>
      </c>
      <c r="AD71" s="845">
        <v>2</v>
      </c>
      <c r="AE71" s="821" t="s">
        <v>455</v>
      </c>
      <c r="AF71" s="845">
        <v>2</v>
      </c>
      <c r="AG71" s="845" t="s">
        <v>456</v>
      </c>
      <c r="AH71" s="925" t="s">
        <v>21</v>
      </c>
      <c r="AI71" s="949" t="s">
        <v>452</v>
      </c>
      <c r="AJ71" s="949" t="s">
        <v>452</v>
      </c>
      <c r="AK71" s="949" t="s">
        <v>452</v>
      </c>
      <c r="AL71" s="949"/>
      <c r="AM71" s="949" t="s">
        <v>452</v>
      </c>
      <c r="AN71" s="949"/>
    </row>
    <row r="72" spans="2:40" ht="17.25" x14ac:dyDescent="0.45">
      <c r="B72" s="1090"/>
      <c r="C72" s="1091"/>
      <c r="D72" s="1085"/>
      <c r="E72" s="1084"/>
      <c r="F72" s="97" t="s">
        <v>457</v>
      </c>
      <c r="G72" s="56" t="s">
        <v>39</v>
      </c>
      <c r="H72" s="56"/>
      <c r="I72" s="56"/>
      <c r="J72" s="98"/>
      <c r="K72" s="246">
        <v>41.4</v>
      </c>
      <c r="L72" s="798"/>
      <c r="M72" s="411">
        <v>41.2</v>
      </c>
      <c r="N72" s="246">
        <v>41.2</v>
      </c>
      <c r="O72" s="335"/>
      <c r="P72" s="246">
        <v>40.9</v>
      </c>
      <c r="Q72" s="246"/>
      <c r="R72" s="246">
        <v>40.799999999999997</v>
      </c>
      <c r="S72" s="246"/>
      <c r="T72" s="246">
        <v>40.799999999999997</v>
      </c>
      <c r="U72" s="246"/>
      <c r="V72" s="246">
        <v>40.200000000000003</v>
      </c>
      <c r="W72" s="246">
        <v>41.3</v>
      </c>
      <c r="X72" s="246">
        <v>41.1</v>
      </c>
      <c r="Y72" s="246">
        <v>41</v>
      </c>
      <c r="Z72" s="246">
        <v>41.2</v>
      </c>
      <c r="AA72" s="246">
        <v>41.2</v>
      </c>
      <c r="AB72" s="246">
        <v>41.2</v>
      </c>
      <c r="AC72" s="795">
        <v>40.700000000000003</v>
      </c>
      <c r="AD72" s="835">
        <v>41.4</v>
      </c>
      <c r="AE72" s="816">
        <v>40.799999999999997</v>
      </c>
      <c r="AF72" s="835">
        <v>41.2</v>
      </c>
      <c r="AG72" s="835">
        <v>42.1</v>
      </c>
      <c r="AH72" s="913">
        <v>31.4</v>
      </c>
      <c r="AI72" s="937">
        <v>41.2</v>
      </c>
      <c r="AJ72" s="937">
        <v>41.8</v>
      </c>
      <c r="AK72" s="937">
        <v>41.7</v>
      </c>
      <c r="AL72" s="937"/>
      <c r="AM72" s="937">
        <v>41.7</v>
      </c>
      <c r="AN72" s="937"/>
    </row>
    <row r="73" spans="2:40" ht="17.25" x14ac:dyDescent="0.45">
      <c r="B73" s="1090"/>
      <c r="C73" s="1091"/>
      <c r="D73" s="1085"/>
      <c r="E73" s="1084"/>
      <c r="F73" s="87" t="s">
        <v>458</v>
      </c>
      <c r="G73" s="83" t="s">
        <v>39</v>
      </c>
      <c r="H73" s="83"/>
      <c r="I73" s="83"/>
      <c r="J73" s="88"/>
      <c r="K73" s="246">
        <v>43.4</v>
      </c>
      <c r="L73" s="798"/>
      <c r="M73" s="411">
        <v>43</v>
      </c>
      <c r="N73" s="246">
        <v>43.1</v>
      </c>
      <c r="O73" s="335"/>
      <c r="P73" s="246">
        <v>42.8</v>
      </c>
      <c r="Q73" s="246"/>
      <c r="R73" s="246">
        <v>42.8</v>
      </c>
      <c r="S73" s="246"/>
      <c r="T73" s="246">
        <v>42.8</v>
      </c>
      <c r="U73" s="246"/>
      <c r="V73" s="246">
        <v>41.8</v>
      </c>
      <c r="W73" s="246">
        <v>43.4</v>
      </c>
      <c r="X73" s="246">
        <v>42.5</v>
      </c>
      <c r="Y73" s="246">
        <v>42.9</v>
      </c>
      <c r="Z73" s="246">
        <v>43.2</v>
      </c>
      <c r="AA73" s="246">
        <v>43.2</v>
      </c>
      <c r="AB73" s="246">
        <v>43.2</v>
      </c>
      <c r="AC73" s="795">
        <v>42.7</v>
      </c>
      <c r="AD73" s="835">
        <v>43.4</v>
      </c>
      <c r="AE73" s="816">
        <v>42.9</v>
      </c>
      <c r="AF73" s="835">
        <v>43</v>
      </c>
      <c r="AG73" s="835">
        <v>43.5</v>
      </c>
      <c r="AH73" s="913">
        <v>31.9</v>
      </c>
      <c r="AI73" s="937">
        <v>43</v>
      </c>
      <c r="AJ73" s="937">
        <v>43.5</v>
      </c>
      <c r="AK73" s="937">
        <v>43.4</v>
      </c>
      <c r="AL73" s="937"/>
      <c r="AM73" s="937">
        <v>43.4</v>
      </c>
      <c r="AN73" s="937"/>
    </row>
    <row r="74" spans="2:40" ht="17.25" x14ac:dyDescent="0.45">
      <c r="B74" s="1090"/>
      <c r="C74" s="1091"/>
      <c r="D74" s="1096"/>
      <c r="E74" s="1097"/>
      <c r="F74" s="97" t="s">
        <v>459</v>
      </c>
      <c r="G74" s="56" t="s">
        <v>39</v>
      </c>
      <c r="H74" s="56"/>
      <c r="I74" s="56"/>
      <c r="J74" s="98"/>
      <c r="K74" s="246">
        <v>43.3</v>
      </c>
      <c r="L74" s="798"/>
      <c r="M74" s="411">
        <v>43</v>
      </c>
      <c r="N74" s="246">
        <v>43.1</v>
      </c>
      <c r="O74" s="335"/>
      <c r="P74" s="246">
        <v>42.8</v>
      </c>
      <c r="Q74" s="246"/>
      <c r="R74" s="246">
        <v>42.7</v>
      </c>
      <c r="S74" s="246"/>
      <c r="T74" s="246">
        <v>42.7</v>
      </c>
      <c r="U74" s="246"/>
      <c r="V74" s="246">
        <v>42.5</v>
      </c>
      <c r="W74" s="246">
        <v>43.3</v>
      </c>
      <c r="X74" s="246">
        <v>42.8</v>
      </c>
      <c r="Y74" s="246">
        <v>42.9</v>
      </c>
      <c r="Z74" s="246">
        <v>43.1</v>
      </c>
      <c r="AA74" s="246">
        <v>42.9</v>
      </c>
      <c r="AB74" s="246">
        <v>43.1</v>
      </c>
      <c r="AC74" s="795">
        <v>42.6</v>
      </c>
      <c r="AD74" s="835">
        <v>43.3</v>
      </c>
      <c r="AE74" s="816">
        <v>42.8</v>
      </c>
      <c r="AF74" s="835">
        <v>43</v>
      </c>
      <c r="AG74" s="835">
        <v>43.4</v>
      </c>
      <c r="AH74" s="913">
        <v>31.7</v>
      </c>
      <c r="AI74" s="937">
        <v>42.8</v>
      </c>
      <c r="AJ74" s="937">
        <v>433.3</v>
      </c>
      <c r="AK74" s="937">
        <v>43.3</v>
      </c>
      <c r="AL74" s="937"/>
      <c r="AM74" s="937">
        <v>43.3</v>
      </c>
      <c r="AN74" s="937"/>
    </row>
    <row r="75" spans="2:40" ht="27.4" customHeight="1" x14ac:dyDescent="0.45">
      <c r="B75" s="1090"/>
      <c r="C75" s="1091"/>
      <c r="D75" s="1098"/>
      <c r="E75" s="1099"/>
      <c r="F75" s="348" t="s">
        <v>460</v>
      </c>
      <c r="G75" s="349" t="s">
        <v>39</v>
      </c>
      <c r="H75" s="349"/>
      <c r="I75" s="349"/>
      <c r="J75" s="352"/>
      <c r="K75" s="352">
        <v>16.600000000000001</v>
      </c>
      <c r="L75" s="1000"/>
      <c r="M75" s="413">
        <v>15.7</v>
      </c>
      <c r="N75" s="352">
        <v>16.100000000000001</v>
      </c>
      <c r="O75" s="351"/>
      <c r="P75" s="352">
        <v>15.2</v>
      </c>
      <c r="Q75" s="352"/>
      <c r="R75" s="352">
        <v>15.7</v>
      </c>
      <c r="S75" s="352"/>
      <c r="T75" s="352">
        <v>14.9</v>
      </c>
      <c r="U75" s="352"/>
      <c r="V75" s="352">
        <v>14.5</v>
      </c>
      <c r="W75" s="352">
        <v>16.399999999999999</v>
      </c>
      <c r="X75" s="352">
        <v>15.5</v>
      </c>
      <c r="Y75" s="352">
        <v>15.4</v>
      </c>
      <c r="Z75" s="352">
        <v>16</v>
      </c>
      <c r="AA75" s="352">
        <v>16.100000000000001</v>
      </c>
      <c r="AB75" s="352">
        <v>16</v>
      </c>
      <c r="AC75" s="800">
        <v>14.7</v>
      </c>
      <c r="AD75" s="839">
        <v>16.600000000000001</v>
      </c>
      <c r="AE75" s="822">
        <v>15</v>
      </c>
      <c r="AF75" s="839">
        <v>15.7</v>
      </c>
      <c r="AG75" s="839">
        <v>16.399999999999999</v>
      </c>
      <c r="AH75" s="919">
        <v>24.3</v>
      </c>
      <c r="AI75" s="943">
        <v>15.1</v>
      </c>
      <c r="AJ75" s="943">
        <v>15.8</v>
      </c>
      <c r="AK75" s="943">
        <v>15.5</v>
      </c>
      <c r="AL75" s="943"/>
      <c r="AM75" s="943">
        <v>15.5</v>
      </c>
      <c r="AN75" s="943"/>
    </row>
    <row r="76" spans="2:40" ht="27.4" customHeight="1" x14ac:dyDescent="0.45">
      <c r="B76" s="1090"/>
      <c r="C76" s="1091"/>
      <c r="D76" s="1083" t="s">
        <v>461</v>
      </c>
      <c r="E76" s="1084"/>
      <c r="F76" s="99" t="s">
        <v>462</v>
      </c>
      <c r="G76" s="57" t="s">
        <v>39</v>
      </c>
      <c r="H76" s="57"/>
      <c r="I76" s="57"/>
      <c r="J76" s="100"/>
      <c r="K76" s="260">
        <v>36.799999999999997</v>
      </c>
      <c r="L76" s="798"/>
      <c r="M76" s="411">
        <v>36.299999999999997</v>
      </c>
      <c r="N76" s="260">
        <v>36.200000000000003</v>
      </c>
      <c r="O76" s="335"/>
      <c r="P76" s="260">
        <v>35.700000000000003</v>
      </c>
      <c r="Q76" s="260"/>
      <c r="R76" s="260">
        <v>35.799999999999997</v>
      </c>
      <c r="S76" s="260"/>
      <c r="T76" s="260">
        <v>35.700000000000003</v>
      </c>
      <c r="U76" s="260"/>
      <c r="V76" s="260">
        <v>35.6</v>
      </c>
      <c r="W76" s="260">
        <v>36.799999999999997</v>
      </c>
      <c r="X76" s="260">
        <v>35.799999999999997</v>
      </c>
      <c r="Y76" s="260">
        <v>36</v>
      </c>
      <c r="Z76" s="260">
        <v>36.200000000000003</v>
      </c>
      <c r="AA76" s="260">
        <v>36.299999999999997</v>
      </c>
      <c r="AB76" s="260">
        <v>36.200000000000003</v>
      </c>
      <c r="AC76" s="798">
        <v>35.6</v>
      </c>
      <c r="AD76" s="836">
        <v>36.799999999999997</v>
      </c>
      <c r="AE76" s="818">
        <v>35.700000000000003</v>
      </c>
      <c r="AF76" s="836">
        <v>36.299999999999997</v>
      </c>
      <c r="AG76" s="836">
        <v>36.6</v>
      </c>
      <c r="AH76" s="917">
        <v>27.4</v>
      </c>
      <c r="AI76" s="941">
        <v>35.6</v>
      </c>
      <c r="AJ76" s="941">
        <v>36.299999999999997</v>
      </c>
      <c r="AK76" s="941">
        <v>36.6</v>
      </c>
      <c r="AL76" s="941"/>
      <c r="AM76" s="941">
        <v>36.6</v>
      </c>
      <c r="AN76" s="941"/>
    </row>
    <row r="77" spans="2:40" ht="17.25" x14ac:dyDescent="0.45">
      <c r="B77" s="1090"/>
      <c r="C77" s="1091"/>
      <c r="D77" s="1085"/>
      <c r="E77" s="1084"/>
      <c r="F77" s="87" t="s">
        <v>463</v>
      </c>
      <c r="G77" s="83" t="s">
        <v>39</v>
      </c>
      <c r="H77" s="83"/>
      <c r="I77" s="83"/>
      <c r="J77" s="88"/>
      <c r="K77" s="246">
        <v>35.700000000000003</v>
      </c>
      <c r="L77" s="798"/>
      <c r="M77" s="411">
        <v>35.1</v>
      </c>
      <c r="N77" s="246">
        <v>35.1</v>
      </c>
      <c r="O77" s="335"/>
      <c r="P77" s="246">
        <v>34.5</v>
      </c>
      <c r="Q77" s="246"/>
      <c r="R77" s="246">
        <v>34.6</v>
      </c>
      <c r="S77" s="246"/>
      <c r="T77" s="246">
        <v>34.5</v>
      </c>
      <c r="U77" s="246"/>
      <c r="V77" s="246">
        <v>33.200000000000003</v>
      </c>
      <c r="W77" s="246">
        <v>35.700000000000003</v>
      </c>
      <c r="X77" s="246">
        <v>34.200000000000003</v>
      </c>
      <c r="Y77" s="246">
        <v>34.9</v>
      </c>
      <c r="Z77" s="246">
        <v>35.1</v>
      </c>
      <c r="AA77" s="246">
        <v>35.200000000000003</v>
      </c>
      <c r="AB77" s="246">
        <v>35.1</v>
      </c>
      <c r="AC77" s="795">
        <v>34.4</v>
      </c>
      <c r="AD77" s="835">
        <v>35.700000000000003</v>
      </c>
      <c r="AE77" s="816">
        <v>34.5</v>
      </c>
      <c r="AF77" s="835">
        <v>35.1</v>
      </c>
      <c r="AG77" s="835">
        <v>36</v>
      </c>
      <c r="AH77" s="913">
        <v>27.3</v>
      </c>
      <c r="AI77" s="937">
        <v>34.700000000000003</v>
      </c>
      <c r="AJ77" s="937">
        <v>35.6</v>
      </c>
      <c r="AK77" s="937">
        <v>35.4</v>
      </c>
      <c r="AL77" s="937"/>
      <c r="AM77" s="937">
        <v>35.4</v>
      </c>
      <c r="AN77" s="937"/>
    </row>
    <row r="78" spans="2:40" ht="17.25" x14ac:dyDescent="0.45">
      <c r="B78" s="1090"/>
      <c r="C78" s="1091"/>
      <c r="D78" s="1085"/>
      <c r="E78" s="1084"/>
      <c r="F78" s="97" t="s">
        <v>464</v>
      </c>
      <c r="G78" s="56" t="s">
        <v>39</v>
      </c>
      <c r="H78" s="56"/>
      <c r="I78" s="56"/>
      <c r="J78" s="98"/>
      <c r="K78" s="246">
        <v>37.6</v>
      </c>
      <c r="L78" s="798"/>
      <c r="M78" s="411">
        <v>37.1</v>
      </c>
      <c r="N78" s="246">
        <v>37.1</v>
      </c>
      <c r="O78" s="335"/>
      <c r="P78" s="246">
        <v>36.5</v>
      </c>
      <c r="Q78" s="246"/>
      <c r="R78" s="246">
        <v>36.6</v>
      </c>
      <c r="S78" s="246"/>
      <c r="T78" s="246">
        <v>36.5</v>
      </c>
      <c r="U78" s="246"/>
      <c r="V78" s="246">
        <v>35.799999999999997</v>
      </c>
      <c r="W78" s="246">
        <v>37.6</v>
      </c>
      <c r="X78" s="246">
        <v>36.200000000000003</v>
      </c>
      <c r="Y78" s="246">
        <v>36.9</v>
      </c>
      <c r="Z78" s="246">
        <v>37.1</v>
      </c>
      <c r="AA78" s="246">
        <v>37.200000000000003</v>
      </c>
      <c r="AB78" s="246">
        <v>37.1</v>
      </c>
      <c r="AC78" s="795">
        <v>36.5</v>
      </c>
      <c r="AD78" s="835">
        <v>37.6</v>
      </c>
      <c r="AE78" s="816">
        <v>36.5</v>
      </c>
      <c r="AF78" s="835">
        <v>37.1</v>
      </c>
      <c r="AG78" s="835">
        <v>38</v>
      </c>
      <c r="AH78" s="913">
        <v>27.2</v>
      </c>
      <c r="AI78" s="937">
        <v>36.700000000000003</v>
      </c>
      <c r="AJ78" s="937">
        <v>37.6</v>
      </c>
      <c r="AK78" s="937">
        <v>37.4</v>
      </c>
      <c r="AL78" s="937"/>
      <c r="AM78" s="937">
        <v>37.4</v>
      </c>
      <c r="AN78" s="937"/>
    </row>
    <row r="79" spans="2:40" ht="27.4" customHeight="1" x14ac:dyDescent="0.45">
      <c r="B79" s="1090"/>
      <c r="C79" s="1091"/>
      <c r="D79" s="1086"/>
      <c r="E79" s="1087"/>
      <c r="F79" s="89" t="s">
        <v>460</v>
      </c>
      <c r="G79" s="90" t="s">
        <v>39</v>
      </c>
      <c r="H79" s="90"/>
      <c r="I79" s="90"/>
      <c r="J79" s="91"/>
      <c r="K79" s="246">
        <v>15.9</v>
      </c>
      <c r="L79" s="798"/>
      <c r="M79" s="411">
        <v>15.1</v>
      </c>
      <c r="N79" s="246">
        <v>15.1</v>
      </c>
      <c r="O79" s="335"/>
      <c r="P79" s="246">
        <v>14.3</v>
      </c>
      <c r="Q79" s="246"/>
      <c r="R79" s="246">
        <v>14.3</v>
      </c>
      <c r="S79" s="246"/>
      <c r="T79" s="246">
        <v>14.3</v>
      </c>
      <c r="U79" s="246"/>
      <c r="V79" s="246">
        <v>14.8</v>
      </c>
      <c r="W79" s="246">
        <v>15.7</v>
      </c>
      <c r="X79" s="246">
        <v>14.8</v>
      </c>
      <c r="Y79" s="246">
        <v>14.8</v>
      </c>
      <c r="Z79" s="246">
        <v>15.3</v>
      </c>
      <c r="AA79" s="246">
        <v>15.4</v>
      </c>
      <c r="AB79" s="246">
        <v>15.3</v>
      </c>
      <c r="AC79" s="795">
        <v>14.1</v>
      </c>
      <c r="AD79" s="835">
        <v>15.9</v>
      </c>
      <c r="AE79" s="816">
        <v>14.3</v>
      </c>
      <c r="AF79" s="835">
        <v>15.1</v>
      </c>
      <c r="AG79" s="835">
        <v>15.7</v>
      </c>
      <c r="AH79" s="913">
        <v>23.8</v>
      </c>
      <c r="AI79" s="937">
        <v>14.5</v>
      </c>
      <c r="AJ79" s="937">
        <v>15.2</v>
      </c>
      <c r="AK79" s="937">
        <v>15</v>
      </c>
      <c r="AL79" s="937"/>
      <c r="AM79" s="937">
        <v>15</v>
      </c>
      <c r="AN79" s="937"/>
    </row>
    <row r="80" spans="2:40" ht="25.5" customHeight="1" x14ac:dyDescent="0.45">
      <c r="B80" s="1090"/>
      <c r="C80" s="1091"/>
      <c r="D80" s="1103" t="s">
        <v>465</v>
      </c>
      <c r="E80" s="1104"/>
      <c r="F80" s="94" t="s">
        <v>466</v>
      </c>
      <c r="G80" s="95" t="s">
        <v>39</v>
      </c>
      <c r="H80" s="95"/>
      <c r="I80" s="95"/>
      <c r="J80" s="96"/>
      <c r="K80" s="246">
        <v>40.1</v>
      </c>
      <c r="L80" s="798"/>
      <c r="M80" s="411">
        <v>39.5</v>
      </c>
      <c r="N80" s="246">
        <v>39.299999999999997</v>
      </c>
      <c r="O80" s="335"/>
      <c r="P80" s="246">
        <v>39.1</v>
      </c>
      <c r="Q80" s="246"/>
      <c r="R80" s="246">
        <v>38.700000000000003</v>
      </c>
      <c r="S80" s="246"/>
      <c r="T80" s="246">
        <v>38.6</v>
      </c>
      <c r="U80" s="246"/>
      <c r="V80" s="246">
        <v>37.200000000000003</v>
      </c>
      <c r="W80" s="246">
        <v>40.299999999999997</v>
      </c>
      <c r="X80" s="246">
        <v>38.5</v>
      </c>
      <c r="Y80" s="246">
        <v>38.9</v>
      </c>
      <c r="Z80" s="246">
        <v>40.200000000000003</v>
      </c>
      <c r="AA80" s="246">
        <v>40</v>
      </c>
      <c r="AB80" s="246">
        <v>40.200000000000003</v>
      </c>
      <c r="AC80" s="795">
        <v>38.700000000000003</v>
      </c>
      <c r="AD80" s="835">
        <v>40.1</v>
      </c>
      <c r="AE80" s="816">
        <v>39</v>
      </c>
      <c r="AF80" s="835">
        <v>39.5</v>
      </c>
      <c r="AG80" s="835">
        <v>46.5</v>
      </c>
      <c r="AH80" s="913">
        <v>32.1</v>
      </c>
      <c r="AI80" s="937">
        <v>43.3</v>
      </c>
      <c r="AJ80" s="937">
        <v>46.5</v>
      </c>
      <c r="AK80" s="937">
        <v>38.9</v>
      </c>
      <c r="AL80" s="937"/>
      <c r="AM80" s="937">
        <v>38.9</v>
      </c>
      <c r="AN80" s="937"/>
    </row>
    <row r="81" spans="2:40" ht="25.5" customHeight="1" x14ac:dyDescent="0.45">
      <c r="B81" s="1090"/>
      <c r="C81" s="1091"/>
      <c r="D81" s="1105"/>
      <c r="E81" s="1074"/>
      <c r="F81" s="97" t="s">
        <v>467</v>
      </c>
      <c r="G81" s="56" t="s">
        <v>39</v>
      </c>
      <c r="H81" s="56"/>
      <c r="I81" s="56"/>
      <c r="J81" s="98"/>
      <c r="K81" s="246">
        <v>40.200000000000003</v>
      </c>
      <c r="L81" s="798"/>
      <c r="M81" s="411">
        <v>39.5</v>
      </c>
      <c r="N81" s="246">
        <v>39.700000000000003</v>
      </c>
      <c r="O81" s="335"/>
      <c r="P81" s="246">
        <v>39</v>
      </c>
      <c r="Q81" s="246"/>
      <c r="R81" s="246">
        <v>38.799999999999997</v>
      </c>
      <c r="S81" s="246"/>
      <c r="T81" s="246">
        <v>38.6</v>
      </c>
      <c r="U81" s="246"/>
      <c r="V81" s="246">
        <v>38.4</v>
      </c>
      <c r="W81" s="246">
        <v>40.4</v>
      </c>
      <c r="X81" s="246">
        <v>39.200000000000003</v>
      </c>
      <c r="Y81" s="246">
        <v>39.4</v>
      </c>
      <c r="Z81" s="246">
        <v>39.799999999999997</v>
      </c>
      <c r="AA81" s="246">
        <v>39.799999999999997</v>
      </c>
      <c r="AB81" s="246">
        <v>39.799999999999997</v>
      </c>
      <c r="AC81" s="795">
        <v>38.799999999999997</v>
      </c>
      <c r="AD81" s="835">
        <v>40.200000000000003</v>
      </c>
      <c r="AE81" s="816">
        <v>38.9</v>
      </c>
      <c r="AF81" s="835">
        <v>39.5</v>
      </c>
      <c r="AG81" s="835">
        <v>47.3</v>
      </c>
      <c r="AH81" s="913">
        <v>31.9</v>
      </c>
      <c r="AI81" s="937">
        <v>43.1</v>
      </c>
      <c r="AJ81" s="937">
        <v>46.9</v>
      </c>
      <c r="AK81" s="937">
        <v>39.1</v>
      </c>
      <c r="AL81" s="937"/>
      <c r="AM81" s="937">
        <v>39.1</v>
      </c>
      <c r="AN81" s="937"/>
    </row>
    <row r="82" spans="2:40" ht="25.5" customHeight="1" x14ac:dyDescent="0.45">
      <c r="B82" s="1090"/>
      <c r="C82" s="1091"/>
      <c r="D82" s="1105"/>
      <c r="E82" s="1074"/>
      <c r="F82" s="87" t="s">
        <v>468</v>
      </c>
      <c r="G82" s="83" t="s">
        <v>39</v>
      </c>
      <c r="H82" s="83"/>
      <c r="I82" s="83"/>
      <c r="J82" s="88"/>
      <c r="K82" s="764">
        <v>6.2</v>
      </c>
      <c r="L82" s="1009"/>
      <c r="M82" s="411">
        <v>5.5</v>
      </c>
      <c r="N82" s="764">
        <v>5.6</v>
      </c>
      <c r="O82" s="777"/>
      <c r="P82" s="764">
        <v>4.9000000000000004</v>
      </c>
      <c r="Q82" s="764"/>
      <c r="R82" s="764">
        <v>4.7</v>
      </c>
      <c r="S82" s="764"/>
      <c r="T82" s="764">
        <v>4.5999999999999996</v>
      </c>
      <c r="U82" s="764"/>
      <c r="V82" s="764">
        <v>4.2</v>
      </c>
      <c r="W82" s="764">
        <v>6.1</v>
      </c>
      <c r="X82" s="764">
        <v>4.5</v>
      </c>
      <c r="Y82" s="764">
        <v>5</v>
      </c>
      <c r="Z82" s="764">
        <v>5.6</v>
      </c>
      <c r="AA82" s="764">
        <v>5.8</v>
      </c>
      <c r="AB82" s="764">
        <v>5.6</v>
      </c>
      <c r="AC82" s="806">
        <v>4.9000000000000004</v>
      </c>
      <c r="AD82" s="846">
        <v>6.2</v>
      </c>
      <c r="AE82" s="823">
        <v>5.0999999999999996</v>
      </c>
      <c r="AF82" s="846">
        <v>5.5</v>
      </c>
      <c r="AG82" s="846">
        <v>7.3</v>
      </c>
      <c r="AH82" s="926">
        <v>17.600000000000001</v>
      </c>
      <c r="AI82" s="950">
        <v>11.2</v>
      </c>
      <c r="AJ82" s="950">
        <v>12.2</v>
      </c>
      <c r="AK82" s="950">
        <v>10.8</v>
      </c>
      <c r="AL82" s="950"/>
      <c r="AM82" s="950">
        <v>10.8</v>
      </c>
      <c r="AN82" s="950"/>
    </row>
    <row r="83" spans="2:40" ht="25.5" customHeight="1" x14ac:dyDescent="0.45">
      <c r="B83" s="1090"/>
      <c r="C83" s="1091"/>
      <c r="D83" s="1105"/>
      <c r="E83" s="1074"/>
      <c r="F83" s="97" t="s">
        <v>469</v>
      </c>
      <c r="G83" s="56" t="s">
        <v>39</v>
      </c>
      <c r="H83" s="56"/>
      <c r="I83" s="56"/>
      <c r="J83" s="98"/>
      <c r="K83" s="246">
        <v>20.5</v>
      </c>
      <c r="L83" s="798"/>
      <c r="M83" s="411">
        <v>19.7</v>
      </c>
      <c r="N83" s="246">
        <v>19.8</v>
      </c>
      <c r="O83" s="335"/>
      <c r="P83" s="246">
        <v>19.100000000000001</v>
      </c>
      <c r="Q83" s="246"/>
      <c r="R83" s="246">
        <v>19.100000000000001</v>
      </c>
      <c r="S83" s="246"/>
      <c r="T83" s="246">
        <v>18.899999999999999</v>
      </c>
      <c r="U83" s="246"/>
      <c r="V83" s="246">
        <v>18.5</v>
      </c>
      <c r="W83" s="246">
        <v>20.6</v>
      </c>
      <c r="X83" s="246">
        <v>19</v>
      </c>
      <c r="Y83" s="246">
        <v>19.7</v>
      </c>
      <c r="Z83" s="246">
        <v>20.100000000000001</v>
      </c>
      <c r="AA83" s="246">
        <v>20.100000000000001</v>
      </c>
      <c r="AB83" s="246">
        <v>20.100000000000001</v>
      </c>
      <c r="AC83" s="795">
        <v>18.7</v>
      </c>
      <c r="AD83" s="835">
        <v>20.5</v>
      </c>
      <c r="AE83" s="816">
        <v>18.899999999999999</v>
      </c>
      <c r="AF83" s="835">
        <v>19.7</v>
      </c>
      <c r="AG83" s="835">
        <v>21.7</v>
      </c>
      <c r="AH83" s="913">
        <v>26.4</v>
      </c>
      <c r="AI83" s="937">
        <v>19.8</v>
      </c>
      <c r="AJ83" s="937">
        <v>21.2</v>
      </c>
      <c r="AK83" s="937">
        <v>19.399999999999999</v>
      </c>
      <c r="AL83" s="937"/>
      <c r="AM83" s="937">
        <v>19.399999999999999</v>
      </c>
      <c r="AN83" s="937"/>
    </row>
    <row r="84" spans="2:40" ht="25.5" customHeight="1" x14ac:dyDescent="0.45">
      <c r="B84" s="1090"/>
      <c r="C84" s="1091"/>
      <c r="D84" s="1105"/>
      <c r="E84" s="1074"/>
      <c r="F84" s="87" t="s">
        <v>470</v>
      </c>
      <c r="G84" s="83" t="s">
        <v>39</v>
      </c>
      <c r="H84" s="83"/>
      <c r="I84" s="83"/>
      <c r="J84" s="88"/>
      <c r="K84" s="246">
        <v>15.2</v>
      </c>
      <c r="L84" s="798"/>
      <c r="M84" s="411">
        <v>14.4</v>
      </c>
      <c r="N84" s="246">
        <v>14.2</v>
      </c>
      <c r="O84" s="335"/>
      <c r="P84" s="246">
        <v>13.2</v>
      </c>
      <c r="Q84" s="246"/>
      <c r="R84" s="246">
        <v>13.6</v>
      </c>
      <c r="S84" s="246"/>
      <c r="T84" s="246" t="s">
        <v>471</v>
      </c>
      <c r="U84" s="246"/>
      <c r="V84" s="246">
        <v>12.8</v>
      </c>
      <c r="W84" s="246">
        <v>14.9</v>
      </c>
      <c r="X84" s="246">
        <v>13.2</v>
      </c>
      <c r="Y84" s="246">
        <v>13.9</v>
      </c>
      <c r="Z84" s="246">
        <v>14.6</v>
      </c>
      <c r="AA84" s="246">
        <v>14.6</v>
      </c>
      <c r="AB84" s="246">
        <v>14.6</v>
      </c>
      <c r="AC84" s="795">
        <v>13.3</v>
      </c>
      <c r="AD84" s="835">
        <v>15.2</v>
      </c>
      <c r="AE84" s="816">
        <v>13.5</v>
      </c>
      <c r="AF84" s="835">
        <v>14.4</v>
      </c>
      <c r="AG84" s="835">
        <v>14.9</v>
      </c>
      <c r="AH84" s="913">
        <v>21.4</v>
      </c>
      <c r="AI84" s="937">
        <v>13.7</v>
      </c>
      <c r="AJ84" s="937">
        <v>14.4</v>
      </c>
      <c r="AK84" s="937">
        <v>14.2</v>
      </c>
      <c r="AL84" s="937"/>
      <c r="AM84" s="937">
        <v>14.2</v>
      </c>
      <c r="AN84" s="937"/>
    </row>
    <row r="85" spans="2:40" ht="25.5" customHeight="1" x14ac:dyDescent="0.45">
      <c r="B85" s="1090"/>
      <c r="C85" s="1091"/>
      <c r="D85" s="1105"/>
      <c r="E85" s="1074"/>
      <c r="F85" s="97" t="s">
        <v>472</v>
      </c>
      <c r="G85" s="56" t="s">
        <v>39</v>
      </c>
      <c r="H85" s="56"/>
      <c r="I85" s="56"/>
      <c r="J85" s="98"/>
      <c r="K85" s="246">
        <v>17.899999999999999</v>
      </c>
      <c r="L85" s="796"/>
      <c r="M85" s="510">
        <v>17.2</v>
      </c>
      <c r="N85" s="246">
        <v>17.5</v>
      </c>
      <c r="O85" s="774"/>
      <c r="P85" s="246">
        <v>16.8</v>
      </c>
      <c r="Q85" s="246"/>
      <c r="R85" s="246">
        <v>16.3</v>
      </c>
      <c r="S85" s="246"/>
      <c r="T85" s="246">
        <v>16.3</v>
      </c>
      <c r="U85" s="246"/>
      <c r="V85" s="246">
        <v>16.5</v>
      </c>
      <c r="W85" s="246">
        <v>17.8</v>
      </c>
      <c r="X85" s="246">
        <v>16.600000000000001</v>
      </c>
      <c r="Y85" s="246">
        <v>16.8</v>
      </c>
      <c r="Z85" s="246">
        <v>17.399999999999999</v>
      </c>
      <c r="AA85" s="246">
        <v>17.5</v>
      </c>
      <c r="AB85" s="246">
        <v>17.399999999999999</v>
      </c>
      <c r="AC85" s="795">
        <v>16.2</v>
      </c>
      <c r="AD85" s="835">
        <v>17.899999999999999</v>
      </c>
      <c r="AE85" s="816">
        <v>16.5</v>
      </c>
      <c r="AF85" s="835">
        <v>17.2</v>
      </c>
      <c r="AG85" s="835">
        <v>18.600000000000001</v>
      </c>
      <c r="AH85" s="913">
        <v>24.1</v>
      </c>
      <c r="AI85" s="937">
        <v>16.899999999999999</v>
      </c>
      <c r="AJ85" s="937">
        <v>18.100000000000001</v>
      </c>
      <c r="AK85" s="937">
        <v>17</v>
      </c>
      <c r="AL85" s="937"/>
      <c r="AM85" s="937">
        <v>17</v>
      </c>
      <c r="AN85" s="937"/>
    </row>
    <row r="86" spans="2:40" ht="27.4" customHeight="1" x14ac:dyDescent="0.45">
      <c r="B86" s="1090"/>
      <c r="C86" s="1091"/>
      <c r="D86" s="1105"/>
      <c r="E86" s="1074"/>
      <c r="F86" s="339" t="s">
        <v>473</v>
      </c>
      <c r="G86" s="111" t="s">
        <v>48</v>
      </c>
      <c r="H86" s="111"/>
      <c r="I86" s="111" t="s">
        <v>219</v>
      </c>
      <c r="J86" s="112" t="s">
        <v>474</v>
      </c>
      <c r="K86" s="261">
        <v>0.38</v>
      </c>
      <c r="L86" s="239"/>
      <c r="M86" s="411">
        <v>0.38</v>
      </c>
      <c r="N86" s="261">
        <v>0.38</v>
      </c>
      <c r="O86" s="335"/>
      <c r="P86" s="261">
        <v>0.38</v>
      </c>
      <c r="Q86" s="261"/>
      <c r="R86" s="261">
        <v>0.38</v>
      </c>
      <c r="S86" s="261"/>
      <c r="T86" s="261">
        <v>0.38</v>
      </c>
      <c r="U86" s="261"/>
      <c r="V86" s="261">
        <v>0.38</v>
      </c>
      <c r="W86" s="261">
        <v>0.38</v>
      </c>
      <c r="X86" s="261">
        <v>0.38</v>
      </c>
      <c r="Y86" s="261">
        <v>0.38</v>
      </c>
      <c r="Z86" s="261">
        <v>0.38</v>
      </c>
      <c r="AA86" s="261">
        <v>0.38</v>
      </c>
      <c r="AB86" s="261">
        <v>0.38</v>
      </c>
      <c r="AC86" s="796">
        <v>0.38</v>
      </c>
      <c r="AD86" s="837">
        <v>0.38</v>
      </c>
      <c r="AE86" s="817">
        <v>0.38</v>
      </c>
      <c r="AF86" s="837">
        <v>0.38</v>
      </c>
      <c r="AG86" s="837">
        <v>0.4</v>
      </c>
      <c r="AH86" s="914">
        <v>0</v>
      </c>
      <c r="AI86" s="938">
        <v>0.38</v>
      </c>
      <c r="AJ86" s="938">
        <v>0.38</v>
      </c>
      <c r="AK86" s="938">
        <v>0.41</v>
      </c>
      <c r="AL86" s="938"/>
      <c r="AM86" s="938">
        <v>0.41</v>
      </c>
      <c r="AN86" s="938"/>
    </row>
    <row r="87" spans="2:40" ht="27.4" customHeight="1" x14ac:dyDescent="0.45">
      <c r="B87" s="1090"/>
      <c r="C87" s="1091"/>
      <c r="D87" s="1100" t="s">
        <v>475</v>
      </c>
      <c r="E87" s="1024"/>
      <c r="F87" s="343" t="s">
        <v>476</v>
      </c>
      <c r="G87" s="344" t="s">
        <v>39</v>
      </c>
      <c r="H87" s="344"/>
      <c r="I87" s="344"/>
      <c r="J87" s="345"/>
      <c r="K87" s="414">
        <v>51.6</v>
      </c>
      <c r="L87" s="799"/>
      <c r="M87" s="410">
        <v>51.4</v>
      </c>
      <c r="N87" s="414">
        <v>51.5</v>
      </c>
      <c r="O87" s="346"/>
      <c r="P87" s="414">
        <v>51.3</v>
      </c>
      <c r="Q87" s="414"/>
      <c r="R87" s="414">
        <v>51.2</v>
      </c>
      <c r="S87" s="414"/>
      <c r="T87" s="414">
        <v>51.2</v>
      </c>
      <c r="U87" s="414"/>
      <c r="V87" s="414">
        <v>52.2</v>
      </c>
      <c r="W87" s="414">
        <v>51.7</v>
      </c>
      <c r="X87" s="414">
        <v>51.5</v>
      </c>
      <c r="Y87" s="414">
        <v>51.4</v>
      </c>
      <c r="Z87" s="414">
        <v>51.5</v>
      </c>
      <c r="AA87" s="414">
        <v>51.5</v>
      </c>
      <c r="AB87" s="414">
        <v>51.5</v>
      </c>
      <c r="AC87" s="807">
        <v>51.2</v>
      </c>
      <c r="AD87" s="838">
        <v>51.6</v>
      </c>
      <c r="AE87" s="820">
        <v>51.2</v>
      </c>
      <c r="AF87" s="838">
        <v>51.4</v>
      </c>
      <c r="AG87" s="838">
        <v>49.7</v>
      </c>
      <c r="AH87" s="918">
        <v>32.1</v>
      </c>
      <c r="AI87" s="942">
        <v>49.2</v>
      </c>
      <c r="AJ87" s="942">
        <v>49.4</v>
      </c>
      <c r="AK87" s="942">
        <v>51.5</v>
      </c>
      <c r="AL87" s="942"/>
      <c r="AM87" s="942">
        <v>51.5</v>
      </c>
      <c r="AN87" s="942"/>
    </row>
    <row r="88" spans="2:40" ht="27.4" customHeight="1" x14ac:dyDescent="0.45">
      <c r="B88" s="1090"/>
      <c r="C88" s="1091"/>
      <c r="D88" s="1101"/>
      <c r="E88" s="1020"/>
      <c r="F88" s="97" t="s">
        <v>477</v>
      </c>
      <c r="G88" s="56" t="s">
        <v>39</v>
      </c>
      <c r="H88" s="56"/>
      <c r="I88" s="56"/>
      <c r="J88" s="98"/>
      <c r="K88" s="342">
        <v>52.8</v>
      </c>
      <c r="L88" s="798"/>
      <c r="M88" s="411">
        <v>52.7</v>
      </c>
      <c r="N88" s="342">
        <v>52.7</v>
      </c>
      <c r="O88" s="335"/>
      <c r="P88" s="342">
        <v>52.5</v>
      </c>
      <c r="Q88" s="342"/>
      <c r="R88" s="342">
        <v>52.4</v>
      </c>
      <c r="S88" s="342"/>
      <c r="T88" s="342">
        <v>52.4</v>
      </c>
      <c r="U88" s="342"/>
      <c r="V88" s="342">
        <v>51.6</v>
      </c>
      <c r="W88" s="342">
        <v>53</v>
      </c>
      <c r="X88" s="342">
        <v>52</v>
      </c>
      <c r="Y88" s="342">
        <v>52.6</v>
      </c>
      <c r="Z88" s="342">
        <v>52.8</v>
      </c>
      <c r="AA88" s="342">
        <v>52.8</v>
      </c>
      <c r="AB88" s="342">
        <v>52.8</v>
      </c>
      <c r="AC88" s="808">
        <v>52.3</v>
      </c>
      <c r="AD88" s="835">
        <v>52.8</v>
      </c>
      <c r="AE88" s="816">
        <v>52.4</v>
      </c>
      <c r="AF88" s="835">
        <v>52.7</v>
      </c>
      <c r="AG88" s="835">
        <v>50.8</v>
      </c>
      <c r="AH88" s="913">
        <v>31.9</v>
      </c>
      <c r="AI88" s="937">
        <v>50.3</v>
      </c>
      <c r="AJ88" s="937">
        <v>50.5</v>
      </c>
      <c r="AK88" s="937">
        <v>52.6</v>
      </c>
      <c r="AL88" s="937"/>
      <c r="AM88" s="937">
        <v>52.6</v>
      </c>
      <c r="AN88" s="937"/>
    </row>
    <row r="89" spans="2:40" ht="18.75" customHeight="1" x14ac:dyDescent="0.45">
      <c r="B89" s="1090"/>
      <c r="C89" s="1091"/>
      <c r="D89" s="1102"/>
      <c r="E89" s="1022"/>
      <c r="F89" s="359" t="s">
        <v>478</v>
      </c>
      <c r="G89" s="360" t="s">
        <v>39</v>
      </c>
      <c r="H89" s="360"/>
      <c r="I89" s="360"/>
      <c r="J89" s="361"/>
      <c r="K89" s="415">
        <v>50.7</v>
      </c>
      <c r="L89" s="1000"/>
      <c r="M89" s="413">
        <v>50.4</v>
      </c>
      <c r="N89" s="415">
        <v>50.5</v>
      </c>
      <c r="O89" s="351"/>
      <c r="P89" s="415">
        <v>50.3</v>
      </c>
      <c r="Q89" s="415"/>
      <c r="R89" s="415">
        <v>50.2</v>
      </c>
      <c r="S89" s="415"/>
      <c r="T89" s="415">
        <v>50.2</v>
      </c>
      <c r="U89" s="415"/>
      <c r="V89" s="415">
        <v>50.8</v>
      </c>
      <c r="W89" s="415">
        <v>50.7</v>
      </c>
      <c r="X89" s="415">
        <v>50.2</v>
      </c>
      <c r="Y89" s="415">
        <v>50.4</v>
      </c>
      <c r="Z89" s="415">
        <v>50.5</v>
      </c>
      <c r="AA89" s="415">
        <v>50.5</v>
      </c>
      <c r="AB89" s="415">
        <v>50.5</v>
      </c>
      <c r="AC89" s="809">
        <v>50.2</v>
      </c>
      <c r="AD89" s="839">
        <v>50.7</v>
      </c>
      <c r="AE89" s="822">
        <v>50.3</v>
      </c>
      <c r="AF89" s="839">
        <v>50.4</v>
      </c>
      <c r="AG89" s="839">
        <v>48.3</v>
      </c>
      <c r="AH89" s="919">
        <v>31.8</v>
      </c>
      <c r="AI89" s="943">
        <v>48</v>
      </c>
      <c r="AJ89" s="943">
        <v>48.2</v>
      </c>
      <c r="AK89" s="943">
        <v>50.4</v>
      </c>
      <c r="AL89" s="943"/>
      <c r="AM89" s="943">
        <v>50.4</v>
      </c>
      <c r="AN89" s="943"/>
    </row>
    <row r="90" spans="2:40" ht="27.4" customHeight="1" x14ac:dyDescent="0.45">
      <c r="B90" s="1090"/>
      <c r="C90" s="1091"/>
      <c r="D90" s="1106" t="s">
        <v>479</v>
      </c>
      <c r="E90" s="1080"/>
      <c r="F90" s="99" t="s">
        <v>480</v>
      </c>
      <c r="G90" s="57" t="s">
        <v>481</v>
      </c>
      <c r="H90" s="57"/>
      <c r="I90" s="57"/>
      <c r="J90" s="100"/>
      <c r="K90" s="260">
        <v>2</v>
      </c>
      <c r="L90" s="798"/>
      <c r="M90" s="411">
        <v>2</v>
      </c>
      <c r="N90" s="335">
        <v>2</v>
      </c>
      <c r="O90" s="335"/>
      <c r="P90" s="335">
        <v>2</v>
      </c>
      <c r="Q90" s="335"/>
      <c r="R90" s="335">
        <v>2</v>
      </c>
      <c r="S90" s="335"/>
      <c r="T90" s="335" t="s">
        <v>452</v>
      </c>
      <c r="U90" s="335"/>
      <c r="V90" s="335" t="s">
        <v>452</v>
      </c>
      <c r="W90" s="335" t="s">
        <v>456</v>
      </c>
      <c r="X90" s="335" t="s">
        <v>453</v>
      </c>
      <c r="Y90" s="335" t="s">
        <v>453</v>
      </c>
      <c r="Z90" s="335" t="s">
        <v>453</v>
      </c>
      <c r="AA90" s="335" t="s">
        <v>453</v>
      </c>
      <c r="AB90" s="335" t="s">
        <v>453</v>
      </c>
      <c r="AC90" s="802"/>
      <c r="AD90" s="841">
        <v>2</v>
      </c>
      <c r="AE90" s="831">
        <v>2</v>
      </c>
      <c r="AF90" s="841">
        <v>2</v>
      </c>
      <c r="AG90" s="841" t="s">
        <v>456</v>
      </c>
      <c r="AH90" s="921" t="s">
        <v>21</v>
      </c>
      <c r="AI90" s="945" t="s">
        <v>452</v>
      </c>
      <c r="AJ90" s="945" t="s">
        <v>452</v>
      </c>
      <c r="AK90" s="945" t="s">
        <v>452</v>
      </c>
      <c r="AL90" s="945"/>
      <c r="AM90" s="945" t="s">
        <v>452</v>
      </c>
      <c r="AN90" s="945"/>
    </row>
    <row r="91" spans="2:40" ht="17.25" x14ac:dyDescent="0.45">
      <c r="B91" s="1090"/>
      <c r="C91" s="1091"/>
      <c r="D91" s="1106"/>
      <c r="E91" s="1080"/>
      <c r="F91" s="99" t="s">
        <v>482</v>
      </c>
      <c r="G91" s="57"/>
      <c r="H91" s="57"/>
      <c r="I91" s="57"/>
      <c r="J91" s="100"/>
      <c r="K91" s="246"/>
      <c r="L91" s="798"/>
      <c r="M91" s="411"/>
      <c r="N91" s="335"/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335"/>
      <c r="AB91" s="335"/>
      <c r="AC91" s="802"/>
      <c r="AD91" s="841"/>
      <c r="AE91" s="831" t="s">
        <v>21</v>
      </c>
      <c r="AF91" s="841"/>
      <c r="AG91" s="841" t="s">
        <v>21</v>
      </c>
      <c r="AH91" s="921" t="s">
        <v>21</v>
      </c>
      <c r="AI91" s="945" t="s">
        <v>21</v>
      </c>
      <c r="AJ91" s="945" t="s">
        <v>21</v>
      </c>
      <c r="AK91" s="945" t="s">
        <v>21</v>
      </c>
      <c r="AL91" s="945"/>
      <c r="AM91" s="945" t="s">
        <v>21</v>
      </c>
      <c r="AN91" s="945"/>
    </row>
    <row r="92" spans="2:40" ht="27.4" customHeight="1" x14ac:dyDescent="0.45">
      <c r="B92" s="1090"/>
      <c r="C92" s="1091"/>
      <c r="D92" s="1106"/>
      <c r="E92" s="1080"/>
      <c r="F92" s="87" t="s">
        <v>483</v>
      </c>
      <c r="G92" s="83" t="s">
        <v>21</v>
      </c>
      <c r="H92" s="83"/>
      <c r="I92" s="83"/>
      <c r="J92" s="88" t="s">
        <v>451</v>
      </c>
      <c r="K92" s="246">
        <v>2</v>
      </c>
      <c r="L92" s="798"/>
      <c r="M92" s="411">
        <v>2</v>
      </c>
      <c r="N92" s="335">
        <v>2</v>
      </c>
      <c r="O92" s="335"/>
      <c r="P92" s="335">
        <v>2</v>
      </c>
      <c r="Q92" s="335"/>
      <c r="R92" s="335">
        <v>2</v>
      </c>
      <c r="S92" s="335"/>
      <c r="T92" s="335" t="s">
        <v>452</v>
      </c>
      <c r="U92" s="335"/>
      <c r="V92" s="335" t="s">
        <v>452</v>
      </c>
      <c r="W92" s="335" t="s">
        <v>484</v>
      </c>
      <c r="X92" s="335" t="s">
        <v>453</v>
      </c>
      <c r="Y92" s="335" t="s">
        <v>453</v>
      </c>
      <c r="Z92" s="335" t="s">
        <v>453</v>
      </c>
      <c r="AA92" s="335" t="s">
        <v>453</v>
      </c>
      <c r="AB92" s="335" t="s">
        <v>453</v>
      </c>
      <c r="AC92" s="802"/>
      <c r="AD92" s="841">
        <v>2</v>
      </c>
      <c r="AE92" s="831" t="s">
        <v>21</v>
      </c>
      <c r="AF92" s="841">
        <v>2</v>
      </c>
      <c r="AG92" s="841" t="s">
        <v>456</v>
      </c>
      <c r="AH92" s="921" t="s">
        <v>21</v>
      </c>
      <c r="AI92" s="945" t="s">
        <v>452</v>
      </c>
      <c r="AJ92" s="945" t="s">
        <v>452</v>
      </c>
      <c r="AK92" s="945" t="s">
        <v>452</v>
      </c>
      <c r="AL92" s="945"/>
      <c r="AM92" s="945" t="s">
        <v>452</v>
      </c>
      <c r="AN92" s="945"/>
    </row>
    <row r="93" spans="2:40" ht="25.5" x14ac:dyDescent="0.45">
      <c r="B93" s="1090"/>
      <c r="C93" s="1091"/>
      <c r="D93" s="1106"/>
      <c r="E93" s="1080"/>
      <c r="F93" s="367" t="s">
        <v>485</v>
      </c>
      <c r="G93" s="108" t="s">
        <v>77</v>
      </c>
      <c r="H93" s="108"/>
      <c r="I93" s="108"/>
      <c r="J93" s="109"/>
      <c r="K93" s="261"/>
      <c r="L93" s="239"/>
      <c r="M93" s="412"/>
      <c r="N93" s="335"/>
      <c r="O93" s="335"/>
      <c r="P93" s="335"/>
      <c r="Q93" s="335"/>
      <c r="R93" s="335"/>
      <c r="S93" s="335"/>
      <c r="T93" s="335"/>
      <c r="U93" s="335"/>
      <c r="V93" s="335"/>
      <c r="W93" s="335"/>
      <c r="X93" s="335"/>
      <c r="Y93" s="335"/>
      <c r="Z93" s="335"/>
      <c r="AA93" s="335"/>
      <c r="AB93" s="335"/>
      <c r="AC93" s="802"/>
      <c r="AD93" s="841"/>
      <c r="AE93" s="831" t="s">
        <v>21</v>
      </c>
      <c r="AF93" s="841"/>
      <c r="AG93" s="841" t="s">
        <v>21</v>
      </c>
      <c r="AH93" s="921" t="s">
        <v>21</v>
      </c>
      <c r="AI93" s="945" t="s">
        <v>21</v>
      </c>
      <c r="AJ93" s="945" t="s">
        <v>21</v>
      </c>
      <c r="AK93" s="945" t="s">
        <v>21</v>
      </c>
      <c r="AL93" s="945"/>
      <c r="AM93" s="945" t="s">
        <v>21</v>
      </c>
      <c r="AN93" s="945"/>
    </row>
    <row r="94" spans="2:40" ht="27.4" customHeight="1" x14ac:dyDescent="0.45">
      <c r="B94" s="1090"/>
      <c r="C94" s="1091"/>
      <c r="D94" s="1094" t="s">
        <v>486</v>
      </c>
      <c r="E94" s="1095"/>
      <c r="F94" s="343" t="s">
        <v>38</v>
      </c>
      <c r="G94" s="344" t="s">
        <v>39</v>
      </c>
      <c r="H94" s="344"/>
      <c r="I94" s="344"/>
      <c r="J94" s="345"/>
      <c r="K94" s="347">
        <v>57.5</v>
      </c>
      <c r="L94" s="799"/>
      <c r="M94" s="410">
        <v>57.2</v>
      </c>
      <c r="N94" s="347">
        <v>56.9</v>
      </c>
      <c r="O94" s="346"/>
      <c r="P94" s="347">
        <v>56.7</v>
      </c>
      <c r="Q94" s="347"/>
      <c r="R94" s="347">
        <v>57</v>
      </c>
      <c r="S94" s="347"/>
      <c r="T94" s="347">
        <v>57</v>
      </c>
      <c r="U94" s="347"/>
      <c r="V94" s="347">
        <v>57.2</v>
      </c>
      <c r="W94" s="347">
        <v>59.1</v>
      </c>
      <c r="X94" s="347">
        <v>58.2</v>
      </c>
      <c r="Y94" s="347">
        <v>58.7</v>
      </c>
      <c r="Z94" s="347">
        <v>57.4</v>
      </c>
      <c r="AA94" s="347">
        <v>58.1</v>
      </c>
      <c r="AB94" s="347">
        <v>57.4</v>
      </c>
      <c r="AC94" s="799">
        <v>58.9</v>
      </c>
      <c r="AD94" s="838">
        <v>57.5</v>
      </c>
      <c r="AE94" s="820">
        <v>59</v>
      </c>
      <c r="AF94" s="838">
        <v>57.2</v>
      </c>
      <c r="AG94" s="838">
        <v>66.400000000000006</v>
      </c>
      <c r="AH94" s="918">
        <v>38.200000000000003</v>
      </c>
      <c r="AI94" s="942">
        <v>61.7</v>
      </c>
      <c r="AJ94" s="942">
        <v>65.2</v>
      </c>
      <c r="AK94" s="942">
        <v>56.6</v>
      </c>
      <c r="AL94" s="942"/>
      <c r="AM94" s="942">
        <v>56.6</v>
      </c>
      <c r="AN94" s="942"/>
    </row>
    <row r="95" spans="2:40" ht="27.4" customHeight="1" x14ac:dyDescent="0.45">
      <c r="B95" s="1090"/>
      <c r="C95" s="1091"/>
      <c r="D95" s="1096"/>
      <c r="E95" s="1097"/>
      <c r="F95" s="97" t="s">
        <v>40</v>
      </c>
      <c r="G95" s="56" t="s">
        <v>39</v>
      </c>
      <c r="H95" s="56"/>
      <c r="I95" s="56"/>
      <c r="J95" s="98"/>
      <c r="K95" s="246">
        <v>60.2</v>
      </c>
      <c r="L95" s="798"/>
      <c r="M95" s="411">
        <v>58.4</v>
      </c>
      <c r="N95" s="246">
        <v>57.4</v>
      </c>
      <c r="O95" s="335"/>
      <c r="P95" s="246">
        <v>58</v>
      </c>
      <c r="Q95" s="246"/>
      <c r="R95" s="246">
        <v>59.6</v>
      </c>
      <c r="S95" s="246"/>
      <c r="T95" s="246">
        <v>57.8</v>
      </c>
      <c r="U95" s="246"/>
      <c r="V95" s="246">
        <v>57.7</v>
      </c>
      <c r="W95" s="246">
        <v>59.3</v>
      </c>
      <c r="X95" s="246">
        <v>58.3</v>
      </c>
      <c r="Y95" s="246">
        <v>58.8</v>
      </c>
      <c r="Z95" s="246">
        <v>58.7</v>
      </c>
      <c r="AA95" s="246">
        <v>58.2</v>
      </c>
      <c r="AB95" s="246">
        <v>58.7</v>
      </c>
      <c r="AC95" s="795">
        <v>59</v>
      </c>
      <c r="AD95" s="835">
        <v>60.2</v>
      </c>
      <c r="AE95" s="816">
        <v>60.7</v>
      </c>
      <c r="AF95" s="835">
        <v>58.4</v>
      </c>
      <c r="AG95" s="835">
        <v>68.599999999999994</v>
      </c>
      <c r="AH95" s="913">
        <v>39.299999999999997</v>
      </c>
      <c r="AI95" s="937">
        <v>62.6</v>
      </c>
      <c r="AJ95" s="937">
        <v>65</v>
      </c>
      <c r="AK95" s="937">
        <v>56.6</v>
      </c>
      <c r="AL95" s="937"/>
      <c r="AM95" s="937">
        <v>56.6</v>
      </c>
      <c r="AN95" s="937"/>
    </row>
    <row r="96" spans="2:40" ht="27.4" customHeight="1" x14ac:dyDescent="0.45">
      <c r="B96" s="1090"/>
      <c r="C96" s="1091"/>
      <c r="D96" s="1098"/>
      <c r="E96" s="1099"/>
      <c r="F96" s="359" t="s">
        <v>41</v>
      </c>
      <c r="G96" s="360" t="s">
        <v>39</v>
      </c>
      <c r="H96" s="360"/>
      <c r="I96" s="360"/>
      <c r="J96" s="361"/>
      <c r="K96" s="352">
        <v>58.3</v>
      </c>
      <c r="L96" s="1000"/>
      <c r="M96" s="413">
        <v>58.5</v>
      </c>
      <c r="N96" s="352">
        <v>58</v>
      </c>
      <c r="O96" s="351"/>
      <c r="P96" s="352">
        <v>57.9</v>
      </c>
      <c r="Q96" s="352"/>
      <c r="R96" s="352">
        <v>58.1</v>
      </c>
      <c r="S96" s="352"/>
      <c r="T96" s="352">
        <v>57.7</v>
      </c>
      <c r="U96" s="352"/>
      <c r="V96" s="352">
        <v>58.2</v>
      </c>
      <c r="W96" s="352">
        <v>57.9</v>
      </c>
      <c r="X96" s="352">
        <v>58.1</v>
      </c>
      <c r="Y96" s="352">
        <v>57.5</v>
      </c>
      <c r="Z96" s="352">
        <v>57.9</v>
      </c>
      <c r="AA96" s="352">
        <v>56.9</v>
      </c>
      <c r="AB96" s="352">
        <v>57.9</v>
      </c>
      <c r="AC96" s="800">
        <v>57.7</v>
      </c>
      <c r="AD96" s="839">
        <v>58.3</v>
      </c>
      <c r="AE96" s="822">
        <v>57.9</v>
      </c>
      <c r="AF96" s="839">
        <v>58.5</v>
      </c>
      <c r="AG96" s="839">
        <v>65.8</v>
      </c>
      <c r="AH96" s="919">
        <v>38.5</v>
      </c>
      <c r="AI96" s="943">
        <v>62.7</v>
      </c>
      <c r="AJ96" s="943">
        <v>63.6</v>
      </c>
      <c r="AK96" s="943">
        <v>55.5</v>
      </c>
      <c r="AL96" s="943"/>
      <c r="AM96" s="943">
        <v>55.5</v>
      </c>
      <c r="AN96" s="943"/>
    </row>
    <row r="97" spans="2:40" ht="27.4" customHeight="1" x14ac:dyDescent="0.45">
      <c r="B97" s="1090"/>
      <c r="C97" s="1091"/>
      <c r="D97" s="1105" t="s">
        <v>487</v>
      </c>
      <c r="E97" s="1109"/>
      <c r="F97" s="113" t="s">
        <v>488</v>
      </c>
      <c r="G97" s="57" t="s">
        <v>489</v>
      </c>
      <c r="H97" s="108" t="s">
        <v>217</v>
      </c>
      <c r="I97" s="108"/>
      <c r="J97" s="109"/>
      <c r="K97" s="260">
        <v>0.23</v>
      </c>
      <c r="L97" s="798"/>
      <c r="M97" s="411">
        <v>0.16</v>
      </c>
      <c r="N97" s="260">
        <v>0.22</v>
      </c>
      <c r="O97" s="335"/>
      <c r="P97" s="969">
        <v>0.22</v>
      </c>
      <c r="Q97" s="260"/>
      <c r="R97" s="969">
        <v>0.22</v>
      </c>
      <c r="S97" s="260"/>
      <c r="T97" s="260">
        <v>0.16600000000000001</v>
      </c>
      <c r="U97" s="260"/>
      <c r="V97" s="260">
        <v>0.16700000000000001</v>
      </c>
      <c r="W97" s="260">
        <v>0.16600000000000001</v>
      </c>
      <c r="X97" s="260">
        <v>0.16500000000000001</v>
      </c>
      <c r="Y97" s="260">
        <v>0.16800000000000001</v>
      </c>
      <c r="Z97" s="260">
        <v>0.16700000000000001</v>
      </c>
      <c r="AA97" s="260">
        <v>0.16500000000000001</v>
      </c>
      <c r="AB97" s="260">
        <v>0.16700000000000001</v>
      </c>
      <c r="AC97" s="798">
        <v>0.16800000000000001</v>
      </c>
      <c r="AD97" s="836">
        <v>0.23</v>
      </c>
      <c r="AE97" s="818">
        <v>0.16700000000000001</v>
      </c>
      <c r="AF97" s="836">
        <v>0.16</v>
      </c>
      <c r="AG97" s="836">
        <v>0.17100000000000001</v>
      </c>
      <c r="AH97" s="917">
        <v>0.16800000000000001</v>
      </c>
      <c r="AI97" s="941">
        <v>0.16700000000000001</v>
      </c>
      <c r="AJ97" s="941">
        <v>0.16700000000000001</v>
      </c>
      <c r="AK97" s="941">
        <v>0.16700000000000001</v>
      </c>
      <c r="AL97" s="941"/>
      <c r="AM97" s="941">
        <v>0.16700000000000001</v>
      </c>
      <c r="AN97" s="941"/>
    </row>
    <row r="98" spans="2:40" ht="27.4" customHeight="1" x14ac:dyDescent="0.45">
      <c r="B98" s="1090"/>
      <c r="C98" s="1091"/>
      <c r="D98" s="1105"/>
      <c r="E98" s="1109"/>
      <c r="F98" s="114" t="s">
        <v>488</v>
      </c>
      <c r="G98" s="83" t="s">
        <v>489</v>
      </c>
      <c r="H98" s="83" t="s">
        <v>350</v>
      </c>
      <c r="I98" s="83"/>
      <c r="J98" s="88"/>
      <c r="K98" s="246">
        <v>0.16800000000000001</v>
      </c>
      <c r="L98" s="798"/>
      <c r="M98" s="411">
        <v>0.23</v>
      </c>
      <c r="N98" s="246">
        <v>0.16900000000000001</v>
      </c>
      <c r="O98" s="335"/>
      <c r="P98" s="896">
        <v>0.16900000000000001</v>
      </c>
      <c r="Q98" s="246"/>
      <c r="R98" s="896">
        <v>0.16600000000000001</v>
      </c>
      <c r="S98" s="246"/>
      <c r="T98" s="246">
        <v>0.22</v>
      </c>
      <c r="U98" s="246"/>
      <c r="V98" s="246">
        <v>0.22</v>
      </c>
      <c r="W98" s="246">
        <v>0.23</v>
      </c>
      <c r="X98" s="246">
        <v>0.22</v>
      </c>
      <c r="Y98" s="246">
        <v>0.22</v>
      </c>
      <c r="Z98" s="246">
        <v>0.22</v>
      </c>
      <c r="AA98" s="246">
        <v>0.22</v>
      </c>
      <c r="AB98" s="246">
        <v>0.22</v>
      </c>
      <c r="AC98" s="795">
        <v>0.23</v>
      </c>
      <c r="AD98" s="835">
        <v>0.16800000000000001</v>
      </c>
      <c r="AE98" s="816">
        <v>0.23</v>
      </c>
      <c r="AF98" s="835">
        <v>0.23</v>
      </c>
      <c r="AG98" s="835">
        <v>0.24</v>
      </c>
      <c r="AH98" s="913">
        <v>0.2364</v>
      </c>
      <c r="AI98" s="937">
        <v>0.22</v>
      </c>
      <c r="AJ98" s="937">
        <v>0.25</v>
      </c>
      <c r="AK98" s="937">
        <v>0.22</v>
      </c>
      <c r="AL98" s="937"/>
      <c r="AM98" s="937">
        <v>0.22</v>
      </c>
      <c r="AN98" s="937"/>
    </row>
    <row r="99" spans="2:40" ht="27.4" customHeight="1" x14ac:dyDescent="0.45">
      <c r="B99" s="1090"/>
      <c r="C99" s="1091"/>
      <c r="D99" s="1105"/>
      <c r="E99" s="1109"/>
      <c r="F99" s="115" t="s">
        <v>490</v>
      </c>
      <c r="G99" s="56" t="s">
        <v>77</v>
      </c>
      <c r="H99" s="56" t="s">
        <v>491</v>
      </c>
      <c r="I99" s="56"/>
      <c r="J99" s="98"/>
      <c r="K99" s="246">
        <v>63</v>
      </c>
      <c r="L99" s="798"/>
      <c r="M99" s="411">
        <v>63</v>
      </c>
      <c r="N99" s="246">
        <v>63</v>
      </c>
      <c r="O99" s="335"/>
      <c r="P99" s="246">
        <v>63</v>
      </c>
      <c r="Q99" s="246"/>
      <c r="R99" s="246">
        <v>63</v>
      </c>
      <c r="S99" s="246"/>
      <c r="T99" s="246">
        <v>63</v>
      </c>
      <c r="U99" s="246"/>
      <c r="V99" s="246">
        <v>61</v>
      </c>
      <c r="W99" s="246">
        <v>63</v>
      </c>
      <c r="X99" s="246">
        <v>60</v>
      </c>
      <c r="Y99" s="246">
        <v>63</v>
      </c>
      <c r="Z99" s="246">
        <v>63</v>
      </c>
      <c r="AA99" s="246">
        <v>60</v>
      </c>
      <c r="AB99" s="246">
        <v>63</v>
      </c>
      <c r="AC99" s="795">
        <v>63</v>
      </c>
      <c r="AD99" s="835">
        <v>63</v>
      </c>
      <c r="AE99" s="816">
        <v>62</v>
      </c>
      <c r="AF99" s="835">
        <v>63</v>
      </c>
      <c r="AG99" s="835">
        <v>60</v>
      </c>
      <c r="AH99" s="913">
        <v>14</v>
      </c>
      <c r="AI99" s="937">
        <v>61</v>
      </c>
      <c r="AJ99" s="937">
        <v>60</v>
      </c>
      <c r="AK99" s="937">
        <v>61</v>
      </c>
      <c r="AL99" s="937"/>
      <c r="AM99" s="937">
        <v>61</v>
      </c>
      <c r="AN99" s="937"/>
    </row>
    <row r="100" spans="2:40" ht="27.4" customHeight="1" x14ac:dyDescent="0.45">
      <c r="B100" s="1090"/>
      <c r="C100" s="1091"/>
      <c r="D100" s="1105"/>
      <c r="E100" s="1109"/>
      <c r="F100" s="116" t="s">
        <v>492</v>
      </c>
      <c r="G100" s="111" t="s">
        <v>493</v>
      </c>
      <c r="H100" s="111" t="s">
        <v>491</v>
      </c>
      <c r="I100" s="111"/>
      <c r="J100" s="112"/>
      <c r="K100" s="246">
        <v>13</v>
      </c>
      <c r="L100" s="798"/>
      <c r="M100" s="411">
        <v>13</v>
      </c>
      <c r="N100" s="246">
        <v>19</v>
      </c>
      <c r="O100" s="335"/>
      <c r="P100" s="246">
        <v>13</v>
      </c>
      <c r="Q100" s="246"/>
      <c r="R100" s="246">
        <v>17</v>
      </c>
      <c r="S100" s="246"/>
      <c r="T100" s="246">
        <v>10</v>
      </c>
      <c r="U100" s="246"/>
      <c r="V100" s="246">
        <v>15</v>
      </c>
      <c r="W100" s="246">
        <v>33</v>
      </c>
      <c r="X100" s="246">
        <v>25</v>
      </c>
      <c r="Y100" s="246">
        <v>9</v>
      </c>
      <c r="Z100" s="246">
        <v>34</v>
      </c>
      <c r="AA100" s="246">
        <v>25</v>
      </c>
      <c r="AB100" s="246">
        <v>34</v>
      </c>
      <c r="AC100" s="795">
        <v>6</v>
      </c>
      <c r="AD100" s="835">
        <v>13</v>
      </c>
      <c r="AE100" s="816">
        <v>14</v>
      </c>
      <c r="AF100" s="835">
        <v>13</v>
      </c>
      <c r="AG100" s="835">
        <v>18</v>
      </c>
      <c r="AH100" s="913">
        <v>29</v>
      </c>
      <c r="AI100" s="937">
        <v>53</v>
      </c>
      <c r="AJ100" s="937">
        <v>3</v>
      </c>
      <c r="AK100" s="937">
        <v>18</v>
      </c>
      <c r="AL100" s="937"/>
      <c r="AM100" s="937">
        <v>18</v>
      </c>
      <c r="AN100" s="937"/>
    </row>
    <row r="101" spans="2:40" ht="27.4" customHeight="1" x14ac:dyDescent="0.45">
      <c r="B101" s="1090"/>
      <c r="C101" s="1091"/>
      <c r="D101" s="1105"/>
      <c r="E101" s="1109"/>
      <c r="F101" s="115" t="s">
        <v>494</v>
      </c>
      <c r="G101" s="56" t="s">
        <v>39</v>
      </c>
      <c r="H101" s="56" t="s">
        <v>491</v>
      </c>
      <c r="I101" s="56"/>
      <c r="J101" s="98"/>
      <c r="K101" s="246">
        <v>30</v>
      </c>
      <c r="L101" s="798"/>
      <c r="M101" s="411">
        <v>30</v>
      </c>
      <c r="N101" s="246">
        <v>30</v>
      </c>
      <c r="O101" s="335"/>
      <c r="P101" s="246">
        <v>30</v>
      </c>
      <c r="Q101" s="246"/>
      <c r="R101" s="246">
        <v>30</v>
      </c>
      <c r="S101" s="246"/>
      <c r="T101" s="246">
        <v>30</v>
      </c>
      <c r="U101" s="246"/>
      <c r="V101" s="246">
        <v>33</v>
      </c>
      <c r="W101" s="246">
        <v>30</v>
      </c>
      <c r="X101" s="246">
        <v>30</v>
      </c>
      <c r="Y101" s="246">
        <v>30</v>
      </c>
      <c r="Z101" s="246">
        <v>30</v>
      </c>
      <c r="AA101" s="246">
        <v>30</v>
      </c>
      <c r="AB101" s="246">
        <v>30</v>
      </c>
      <c r="AC101" s="795">
        <v>30</v>
      </c>
      <c r="AD101" s="835">
        <v>30</v>
      </c>
      <c r="AE101" s="816">
        <v>30</v>
      </c>
      <c r="AF101" s="835">
        <v>30</v>
      </c>
      <c r="AG101" s="835">
        <v>32</v>
      </c>
      <c r="AH101" s="913">
        <v>0</v>
      </c>
      <c r="AI101" s="937">
        <v>30</v>
      </c>
      <c r="AJ101" s="937">
        <v>31</v>
      </c>
      <c r="AK101" s="937">
        <v>30</v>
      </c>
      <c r="AL101" s="937"/>
      <c r="AM101" s="937">
        <v>30</v>
      </c>
      <c r="AN101" s="937"/>
    </row>
    <row r="102" spans="2:40" ht="27.4" customHeight="1" x14ac:dyDescent="0.45">
      <c r="B102" s="1090"/>
      <c r="C102" s="1091"/>
      <c r="D102" s="1105"/>
      <c r="E102" s="1109"/>
      <c r="F102" s="116" t="s">
        <v>495</v>
      </c>
      <c r="G102" s="111" t="s">
        <v>496</v>
      </c>
      <c r="H102" s="111" t="s">
        <v>491</v>
      </c>
      <c r="I102" s="111"/>
      <c r="J102" s="112"/>
      <c r="K102" s="261">
        <v>0</v>
      </c>
      <c r="L102" s="239"/>
      <c r="M102" s="412">
        <v>0</v>
      </c>
      <c r="N102" s="261">
        <v>0</v>
      </c>
      <c r="O102" s="768"/>
      <c r="P102" s="261">
        <v>0</v>
      </c>
      <c r="Q102" s="261"/>
      <c r="R102" s="261">
        <v>0</v>
      </c>
      <c r="S102" s="261"/>
      <c r="T102" s="261">
        <v>0</v>
      </c>
      <c r="U102" s="261"/>
      <c r="V102" s="261">
        <v>0</v>
      </c>
      <c r="W102" s="261">
        <v>0</v>
      </c>
      <c r="X102" s="261">
        <v>0</v>
      </c>
      <c r="Y102" s="261">
        <v>0</v>
      </c>
      <c r="Z102" s="261">
        <v>0</v>
      </c>
      <c r="AA102" s="261">
        <v>0</v>
      </c>
      <c r="AB102" s="261">
        <v>0</v>
      </c>
      <c r="AC102" s="796">
        <v>0</v>
      </c>
      <c r="AD102" s="837">
        <v>0</v>
      </c>
      <c r="AE102" s="817">
        <v>0</v>
      </c>
      <c r="AF102" s="837">
        <v>0</v>
      </c>
      <c r="AG102" s="837">
        <v>0</v>
      </c>
      <c r="AH102" s="914">
        <v>0</v>
      </c>
      <c r="AI102" s="938">
        <v>0</v>
      </c>
      <c r="AJ102" s="938">
        <v>0</v>
      </c>
      <c r="AK102" s="938">
        <v>0</v>
      </c>
      <c r="AL102" s="938"/>
      <c r="AM102" s="938">
        <v>0</v>
      </c>
      <c r="AN102" s="938"/>
    </row>
    <row r="103" spans="2:40" ht="27.4" customHeight="1" x14ac:dyDescent="0.45">
      <c r="B103" s="1090"/>
      <c r="C103" s="1091"/>
      <c r="D103" s="1094" t="s">
        <v>497</v>
      </c>
      <c r="E103" s="1095"/>
      <c r="F103" s="343" t="s">
        <v>498</v>
      </c>
      <c r="G103" s="344" t="s">
        <v>430</v>
      </c>
      <c r="H103" s="344"/>
      <c r="I103" s="344"/>
      <c r="J103" s="345"/>
      <c r="K103" s="347">
        <v>800</v>
      </c>
      <c r="L103" s="799"/>
      <c r="M103" s="410">
        <v>800</v>
      </c>
      <c r="N103" s="347">
        <v>800</v>
      </c>
      <c r="O103" s="346"/>
      <c r="P103" s="347">
        <v>800</v>
      </c>
      <c r="Q103" s="347"/>
      <c r="R103" s="347">
        <v>800</v>
      </c>
      <c r="S103" s="347"/>
      <c r="T103" s="347">
        <v>800</v>
      </c>
      <c r="U103" s="347"/>
      <c r="V103" s="347">
        <v>800</v>
      </c>
      <c r="W103" s="347">
        <v>800</v>
      </c>
      <c r="X103" s="347">
        <v>800</v>
      </c>
      <c r="Y103" s="347">
        <v>800</v>
      </c>
      <c r="Z103" s="985" t="s">
        <v>200</v>
      </c>
      <c r="AA103" s="347">
        <v>800</v>
      </c>
      <c r="AB103" s="985" t="s">
        <v>200</v>
      </c>
      <c r="AC103" s="799">
        <v>800</v>
      </c>
      <c r="AD103" s="838">
        <v>800</v>
      </c>
      <c r="AE103" s="984">
        <v>0.8</v>
      </c>
      <c r="AF103" s="838">
        <v>800</v>
      </c>
      <c r="AG103" s="838">
        <v>840</v>
      </c>
      <c r="AH103" s="983">
        <v>0.78</v>
      </c>
      <c r="AI103" s="982">
        <v>0.84</v>
      </c>
      <c r="AJ103" s="942">
        <v>840</v>
      </c>
      <c r="AK103" s="942">
        <v>800</v>
      </c>
      <c r="AL103" s="942"/>
      <c r="AM103" s="942">
        <v>800</v>
      </c>
      <c r="AN103" s="942"/>
    </row>
    <row r="104" spans="2:40" ht="38.25" customHeight="1" x14ac:dyDescent="0.45">
      <c r="B104" s="1090"/>
      <c r="C104" s="1091"/>
      <c r="D104" s="1096"/>
      <c r="E104" s="1097"/>
      <c r="F104" s="97" t="s">
        <v>499</v>
      </c>
      <c r="G104" s="56" t="s">
        <v>21</v>
      </c>
      <c r="H104" s="56"/>
      <c r="I104" s="56"/>
      <c r="J104" s="98" t="s">
        <v>500</v>
      </c>
      <c r="K104" s="246" t="s">
        <v>370</v>
      </c>
      <c r="L104" s="798"/>
      <c r="M104" s="411" t="s">
        <v>200</v>
      </c>
      <c r="N104" s="246" t="s">
        <v>370</v>
      </c>
      <c r="O104" s="335"/>
      <c r="P104" s="246" t="s">
        <v>200</v>
      </c>
      <c r="Q104" s="246"/>
      <c r="R104" s="246" t="s">
        <v>200</v>
      </c>
      <c r="S104" s="246"/>
      <c r="T104" s="246" t="s">
        <v>200</v>
      </c>
      <c r="U104" s="246"/>
      <c r="V104" s="246" t="s">
        <v>200</v>
      </c>
      <c r="W104" s="246" t="s">
        <v>200</v>
      </c>
      <c r="X104" s="246" t="s">
        <v>200</v>
      </c>
      <c r="Y104" s="246" t="s">
        <v>200</v>
      </c>
      <c r="Z104" s="246"/>
      <c r="AA104" s="246" t="s">
        <v>200</v>
      </c>
      <c r="AB104" s="246"/>
      <c r="AC104" s="795" t="s">
        <v>200</v>
      </c>
      <c r="AD104" s="835" t="s">
        <v>200</v>
      </c>
      <c r="AE104" s="816" t="s">
        <v>370</v>
      </c>
      <c r="AF104" s="835" t="s">
        <v>200</v>
      </c>
      <c r="AG104" s="835" t="s">
        <v>200</v>
      </c>
      <c r="AH104" s="913" t="s">
        <v>200</v>
      </c>
      <c r="AI104" s="937" t="s">
        <v>200</v>
      </c>
      <c r="AJ104" s="937" t="s">
        <v>200</v>
      </c>
      <c r="AK104" s="937" t="s">
        <v>200</v>
      </c>
      <c r="AL104" s="937"/>
      <c r="AM104" s="937" t="s">
        <v>200</v>
      </c>
      <c r="AN104" s="937"/>
    </row>
    <row r="105" spans="2:40" ht="27.4" customHeight="1" x14ac:dyDescent="0.45">
      <c r="B105" s="1090"/>
      <c r="C105" s="1091"/>
      <c r="D105" s="1086"/>
      <c r="E105" s="1087"/>
      <c r="F105" s="87" t="s">
        <v>277</v>
      </c>
      <c r="G105" s="83"/>
      <c r="H105" s="83"/>
      <c r="I105" s="83"/>
      <c r="J105" s="88"/>
      <c r="K105" s="246">
        <v>298</v>
      </c>
      <c r="L105" s="798"/>
      <c r="M105" s="411">
        <v>298</v>
      </c>
      <c r="N105" s="246">
        <v>298</v>
      </c>
      <c r="O105" s="335"/>
      <c r="P105" s="246">
        <v>298</v>
      </c>
      <c r="Q105" s="246"/>
      <c r="R105" s="246">
        <v>298</v>
      </c>
      <c r="S105" s="246"/>
      <c r="T105" s="246">
        <v>298</v>
      </c>
      <c r="U105" s="246"/>
      <c r="V105" s="246">
        <v>298</v>
      </c>
      <c r="W105" s="246">
        <v>298</v>
      </c>
      <c r="X105" s="246">
        <v>298</v>
      </c>
      <c r="Y105" s="246">
        <v>298</v>
      </c>
      <c r="Z105" s="246">
        <v>298</v>
      </c>
      <c r="AA105" s="246">
        <v>298</v>
      </c>
      <c r="AB105" s="246">
        <v>298</v>
      </c>
      <c r="AC105" s="795">
        <v>298</v>
      </c>
      <c r="AD105" s="835">
        <v>298</v>
      </c>
      <c r="AE105" s="816">
        <v>298</v>
      </c>
      <c r="AF105" s="835">
        <v>298</v>
      </c>
      <c r="AG105" s="835">
        <v>297</v>
      </c>
      <c r="AH105" s="913">
        <v>298</v>
      </c>
      <c r="AI105" s="937">
        <v>299</v>
      </c>
      <c r="AJ105" s="937">
        <v>299</v>
      </c>
      <c r="AK105" s="937">
        <v>299</v>
      </c>
      <c r="AL105" s="937"/>
      <c r="AM105" s="937">
        <v>299</v>
      </c>
      <c r="AN105" s="937"/>
    </row>
    <row r="106" spans="2:40" ht="26.25" customHeight="1" x14ac:dyDescent="0.45">
      <c r="B106" s="1090"/>
      <c r="C106" s="1091"/>
      <c r="D106" s="1098"/>
      <c r="E106" s="1099"/>
      <c r="F106" s="348" t="s">
        <v>501</v>
      </c>
      <c r="G106" s="349" t="s">
        <v>21</v>
      </c>
      <c r="H106" s="349"/>
      <c r="I106" s="349"/>
      <c r="J106" s="350" t="s">
        <v>270</v>
      </c>
      <c r="K106" s="352" t="s">
        <v>502</v>
      </c>
      <c r="L106" s="1000"/>
      <c r="M106" s="413" t="s">
        <v>151</v>
      </c>
      <c r="N106" s="352" t="s">
        <v>502</v>
      </c>
      <c r="O106" s="351"/>
      <c r="P106" s="352" t="s">
        <v>151</v>
      </c>
      <c r="Q106" s="352"/>
      <c r="R106" s="352" t="s">
        <v>151</v>
      </c>
      <c r="S106" s="352"/>
      <c r="T106" s="352" t="s">
        <v>151</v>
      </c>
      <c r="U106" s="352"/>
      <c r="V106" s="352" t="s">
        <v>151</v>
      </c>
      <c r="W106" s="352" t="s">
        <v>151</v>
      </c>
      <c r="X106" s="352" t="s">
        <v>151</v>
      </c>
      <c r="Y106" s="352" t="s">
        <v>151</v>
      </c>
      <c r="Z106" s="352" t="s">
        <v>151</v>
      </c>
      <c r="AA106" s="352" t="s">
        <v>151</v>
      </c>
      <c r="AB106" s="352" t="s">
        <v>151</v>
      </c>
      <c r="AC106" s="800" t="s">
        <v>151</v>
      </c>
      <c r="AD106" s="839" t="s">
        <v>151</v>
      </c>
      <c r="AE106" s="822" t="s">
        <v>502</v>
      </c>
      <c r="AF106" s="839" t="s">
        <v>151</v>
      </c>
      <c r="AG106" s="839" t="s">
        <v>151</v>
      </c>
      <c r="AH106" s="919" t="s">
        <v>48</v>
      </c>
      <c r="AI106" s="943" t="s">
        <v>151</v>
      </c>
      <c r="AJ106" s="943" t="s">
        <v>151</v>
      </c>
      <c r="AK106" s="943" t="s">
        <v>151</v>
      </c>
      <c r="AL106" s="943"/>
      <c r="AM106" s="943" t="s">
        <v>151</v>
      </c>
      <c r="AN106" s="943"/>
    </row>
    <row r="107" spans="2:40" ht="27.4" customHeight="1" x14ac:dyDescent="0.45">
      <c r="B107" s="1090"/>
      <c r="C107" s="1091"/>
      <c r="D107" s="1085" t="s">
        <v>503</v>
      </c>
      <c r="E107" s="1084"/>
      <c r="F107" s="99" t="s">
        <v>38</v>
      </c>
      <c r="G107" s="57" t="s">
        <v>39</v>
      </c>
      <c r="H107" s="57"/>
      <c r="I107" s="57"/>
      <c r="J107" s="100"/>
      <c r="K107" s="260">
        <v>49.8</v>
      </c>
      <c r="L107" s="798"/>
      <c r="M107" s="411">
        <v>46.4</v>
      </c>
      <c r="N107" s="260">
        <v>49.2</v>
      </c>
      <c r="O107" s="335"/>
      <c r="P107" s="260">
        <v>46</v>
      </c>
      <c r="Q107" s="260"/>
      <c r="R107" s="260">
        <v>49.6</v>
      </c>
      <c r="S107" s="260"/>
      <c r="T107" s="260">
        <v>49.6</v>
      </c>
      <c r="U107" s="260"/>
      <c r="V107" s="260">
        <v>48.5</v>
      </c>
      <c r="W107" s="260">
        <v>46.3</v>
      </c>
      <c r="X107" s="260">
        <v>47.5</v>
      </c>
      <c r="Y107" s="260">
        <v>46.4</v>
      </c>
      <c r="Z107" s="260">
        <v>49.6</v>
      </c>
      <c r="AA107" s="260">
        <v>46.1</v>
      </c>
      <c r="AB107" s="260">
        <v>49.6</v>
      </c>
      <c r="AC107" s="798">
        <v>46</v>
      </c>
      <c r="AD107" s="836">
        <v>49.8</v>
      </c>
      <c r="AE107" s="818">
        <v>49.3</v>
      </c>
      <c r="AF107" s="836">
        <v>46.4</v>
      </c>
      <c r="AG107" s="836">
        <v>51</v>
      </c>
      <c r="AH107" s="917">
        <v>48.5</v>
      </c>
      <c r="AI107" s="941">
        <v>49.2</v>
      </c>
      <c r="AJ107" s="941">
        <v>46.2</v>
      </c>
      <c r="AK107" s="941">
        <v>45.9</v>
      </c>
      <c r="AL107" s="941"/>
      <c r="AM107" s="941">
        <v>45.9</v>
      </c>
      <c r="AN107" s="941"/>
    </row>
    <row r="108" spans="2:40" ht="30.75" customHeight="1" x14ac:dyDescent="0.45">
      <c r="B108" s="1090"/>
      <c r="C108" s="1091"/>
      <c r="D108" s="1096"/>
      <c r="E108" s="1097"/>
      <c r="F108" s="87" t="s">
        <v>40</v>
      </c>
      <c r="G108" s="83" t="s">
        <v>39</v>
      </c>
      <c r="H108" s="83"/>
      <c r="I108" s="83"/>
      <c r="J108" s="88"/>
      <c r="K108" s="246">
        <v>47.4</v>
      </c>
      <c r="L108" s="798"/>
      <c r="M108" s="411">
        <v>47.5</v>
      </c>
      <c r="N108" s="246">
        <v>44.3</v>
      </c>
      <c r="O108" s="335"/>
      <c r="P108" s="246">
        <v>46.9</v>
      </c>
      <c r="Q108" s="246"/>
      <c r="R108" s="246">
        <v>47.2</v>
      </c>
      <c r="S108" s="246"/>
      <c r="T108" s="246">
        <v>47.2</v>
      </c>
      <c r="U108" s="246"/>
      <c r="V108" s="246">
        <v>48.2</v>
      </c>
      <c r="W108" s="246">
        <v>47.4</v>
      </c>
      <c r="X108" s="246">
        <v>48.5</v>
      </c>
      <c r="Y108" s="246">
        <v>47.3</v>
      </c>
      <c r="Z108" s="246">
        <v>48.4</v>
      </c>
      <c r="AA108" s="246">
        <v>47.1</v>
      </c>
      <c r="AB108" s="246">
        <v>48.4</v>
      </c>
      <c r="AC108" s="795">
        <v>47</v>
      </c>
      <c r="AD108" s="835">
        <v>47.4</v>
      </c>
      <c r="AE108" s="816">
        <v>46.9</v>
      </c>
      <c r="AF108" s="835">
        <v>47.5</v>
      </c>
      <c r="AG108" s="835">
        <v>48.4</v>
      </c>
      <c r="AH108" s="913">
        <v>46.3</v>
      </c>
      <c r="AI108" s="937">
        <v>46.7</v>
      </c>
      <c r="AJ108" s="937">
        <v>47.1</v>
      </c>
      <c r="AK108" s="937">
        <v>46.9</v>
      </c>
      <c r="AL108" s="937"/>
      <c r="AM108" s="937">
        <v>46.9</v>
      </c>
      <c r="AN108" s="937"/>
    </row>
    <row r="109" spans="2:40" ht="24.75" customHeight="1" x14ac:dyDescent="0.45">
      <c r="B109" s="1092"/>
      <c r="C109" s="1093"/>
      <c r="D109" s="1107"/>
      <c r="E109" s="1108"/>
      <c r="F109" s="373" t="s">
        <v>41</v>
      </c>
      <c r="G109" s="374" t="s">
        <v>39</v>
      </c>
      <c r="H109" s="374"/>
      <c r="I109" s="374"/>
      <c r="J109" s="375"/>
      <c r="K109" s="377">
        <v>46.1</v>
      </c>
      <c r="L109" s="1002"/>
      <c r="M109" s="416">
        <v>46.2</v>
      </c>
      <c r="N109" s="377">
        <v>45.3</v>
      </c>
      <c r="O109" s="376"/>
      <c r="P109" s="377">
        <v>45.8</v>
      </c>
      <c r="Q109" s="377"/>
      <c r="R109" s="377">
        <v>47.7</v>
      </c>
      <c r="S109" s="377"/>
      <c r="T109" s="377">
        <v>47.7</v>
      </c>
      <c r="U109" s="377"/>
      <c r="V109" s="377">
        <v>47.2</v>
      </c>
      <c r="W109" s="377">
        <v>46.3</v>
      </c>
      <c r="X109" s="377">
        <v>47.1</v>
      </c>
      <c r="Y109" s="377">
        <v>46.1</v>
      </c>
      <c r="Z109" s="377">
        <v>46.4</v>
      </c>
      <c r="AA109" s="377">
        <v>46</v>
      </c>
      <c r="AB109" s="377">
        <v>46.4</v>
      </c>
      <c r="AC109" s="810">
        <v>45.9</v>
      </c>
      <c r="AD109" s="847">
        <v>46.1</v>
      </c>
      <c r="AE109" s="824">
        <v>47.6</v>
      </c>
      <c r="AF109" s="847">
        <v>46.2</v>
      </c>
      <c r="AG109" s="847">
        <v>49.1</v>
      </c>
      <c r="AH109" s="927">
        <v>46.7</v>
      </c>
      <c r="AI109" s="951">
        <v>47.3</v>
      </c>
      <c r="AJ109" s="951">
        <v>45.8</v>
      </c>
      <c r="AK109" s="951">
        <v>45.7</v>
      </c>
      <c r="AL109" s="951"/>
      <c r="AM109" s="951">
        <v>45.7</v>
      </c>
      <c r="AN109" s="951"/>
    </row>
    <row r="110" spans="2:40" ht="27.4" customHeight="1" x14ac:dyDescent="0.45">
      <c r="B110" s="1067" t="s">
        <v>221</v>
      </c>
      <c r="C110" s="1068"/>
      <c r="D110" s="1017" t="s">
        <v>504</v>
      </c>
      <c r="E110" s="1018"/>
      <c r="F110" s="378" t="s">
        <v>505</v>
      </c>
      <c r="G110" s="379" t="s">
        <v>137</v>
      </c>
      <c r="H110" s="379" t="s">
        <v>345</v>
      </c>
      <c r="I110" s="379"/>
      <c r="J110" s="380"/>
      <c r="K110" s="372">
        <v>0.23</v>
      </c>
      <c r="L110" s="811"/>
      <c r="M110" s="417">
        <v>0.21</v>
      </c>
      <c r="N110" s="372">
        <v>0.1</v>
      </c>
      <c r="O110" s="371"/>
      <c r="P110" s="372">
        <v>0.12</v>
      </c>
      <c r="Q110" s="372"/>
      <c r="R110" s="372">
        <v>0.22</v>
      </c>
      <c r="S110" s="372"/>
      <c r="T110" s="372">
        <v>0.22</v>
      </c>
      <c r="U110" s="372"/>
      <c r="V110" s="372">
        <v>0.22</v>
      </c>
      <c r="W110" s="372">
        <v>0.22</v>
      </c>
      <c r="X110" s="372">
        <v>0.22</v>
      </c>
      <c r="Y110" s="372">
        <v>0.22</v>
      </c>
      <c r="Z110" s="372">
        <v>0.22</v>
      </c>
      <c r="AA110" s="372">
        <v>0.22</v>
      </c>
      <c r="AB110" s="372">
        <v>0.22</v>
      </c>
      <c r="AC110" s="811">
        <v>0.22</v>
      </c>
      <c r="AD110" s="848">
        <v>0.23</v>
      </c>
      <c r="AE110" s="825">
        <v>0.22</v>
      </c>
      <c r="AF110" s="848">
        <v>0.21</v>
      </c>
      <c r="AG110" s="848">
        <v>0.22</v>
      </c>
      <c r="AH110" s="928">
        <v>0</v>
      </c>
      <c r="AI110" s="952">
        <v>0.23</v>
      </c>
      <c r="AJ110" s="952">
        <v>0.22</v>
      </c>
      <c r="AK110" s="952">
        <v>0.22</v>
      </c>
      <c r="AL110" s="952"/>
      <c r="AM110" s="952">
        <v>0.22</v>
      </c>
      <c r="AN110" s="952"/>
    </row>
    <row r="111" spans="2:40" ht="27.4" customHeight="1" x14ac:dyDescent="0.45">
      <c r="B111" s="1067"/>
      <c r="C111" s="1068"/>
      <c r="D111" s="1019"/>
      <c r="E111" s="1020"/>
      <c r="F111" s="87" t="s">
        <v>505</v>
      </c>
      <c r="G111" s="83" t="s">
        <v>137</v>
      </c>
      <c r="H111" s="83" t="s">
        <v>217</v>
      </c>
      <c r="I111" s="83"/>
      <c r="J111" s="88"/>
      <c r="K111" s="246">
        <v>0.21</v>
      </c>
      <c r="L111" s="798"/>
      <c r="M111" s="411">
        <v>0.21</v>
      </c>
      <c r="N111" s="246">
        <v>0.13</v>
      </c>
      <c r="O111" s="335"/>
      <c r="P111" s="246">
        <v>0.13</v>
      </c>
      <c r="Q111" s="246"/>
      <c r="R111" s="246">
        <v>0.221</v>
      </c>
      <c r="S111" s="246"/>
      <c r="T111" s="246">
        <v>0.223</v>
      </c>
      <c r="U111" s="246"/>
      <c r="V111" s="246">
        <v>0.222</v>
      </c>
      <c r="W111" s="246">
        <v>0.221</v>
      </c>
      <c r="X111" s="246">
        <v>0.222</v>
      </c>
      <c r="Y111" s="246">
        <v>0.217</v>
      </c>
      <c r="Z111" s="246">
        <v>0.222</v>
      </c>
      <c r="AA111" s="246">
        <v>0.222</v>
      </c>
      <c r="AB111" s="246">
        <v>0.222</v>
      </c>
      <c r="AC111" s="795">
        <v>0.217</v>
      </c>
      <c r="AD111" s="835">
        <v>0.21</v>
      </c>
      <c r="AE111" s="816">
        <v>0.21299999999999999</v>
      </c>
      <c r="AF111" s="835">
        <v>0.21</v>
      </c>
      <c r="AG111" s="835">
        <v>0.2</v>
      </c>
      <c r="AH111" s="913">
        <v>0</v>
      </c>
      <c r="AI111" s="937">
        <v>0.222</v>
      </c>
      <c r="AJ111" s="937">
        <v>0.223</v>
      </c>
      <c r="AK111" s="937">
        <v>0.21199999999999999</v>
      </c>
      <c r="AL111" s="937"/>
      <c r="AM111" s="937">
        <v>0.21199999999999999</v>
      </c>
      <c r="AN111" s="937"/>
    </row>
    <row r="112" spans="2:40" ht="27.4" customHeight="1" x14ac:dyDescent="0.45">
      <c r="B112" s="1067"/>
      <c r="C112" s="1068"/>
      <c r="D112" s="1019"/>
      <c r="E112" s="1020"/>
      <c r="F112" s="97" t="s">
        <v>506</v>
      </c>
      <c r="G112" s="56" t="s">
        <v>507</v>
      </c>
      <c r="H112" s="56" t="s">
        <v>217</v>
      </c>
      <c r="I112" s="56"/>
      <c r="J112" s="98"/>
      <c r="K112" s="246">
        <v>502.3</v>
      </c>
      <c r="L112" s="798"/>
      <c r="M112" s="411">
        <v>478.2</v>
      </c>
      <c r="N112" s="246">
        <v>422.7</v>
      </c>
      <c r="O112" s="335"/>
      <c r="P112" s="246">
        <v>419</v>
      </c>
      <c r="Q112" s="246"/>
      <c r="R112" s="246">
        <v>511</v>
      </c>
      <c r="S112" s="246"/>
      <c r="T112" s="246">
        <v>522.9</v>
      </c>
      <c r="U112" s="246"/>
      <c r="V112" s="246">
        <v>520.79999999999995</v>
      </c>
      <c r="W112" s="246">
        <v>500</v>
      </c>
      <c r="X112" s="246">
        <v>512.20000000000005</v>
      </c>
      <c r="Y112" s="246">
        <v>504.4</v>
      </c>
      <c r="Z112" s="246">
        <v>512.20000000000005</v>
      </c>
      <c r="AA112" s="246">
        <v>512.20000000000005</v>
      </c>
      <c r="AB112" s="246">
        <v>512.20000000000005</v>
      </c>
      <c r="AC112" s="795">
        <v>497</v>
      </c>
      <c r="AD112" s="835">
        <v>502.3</v>
      </c>
      <c r="AE112" s="816">
        <v>507.4</v>
      </c>
      <c r="AF112" s="835">
        <v>478.2</v>
      </c>
      <c r="AG112" s="835">
        <v>511.8</v>
      </c>
      <c r="AH112" s="913">
        <v>0</v>
      </c>
      <c r="AI112" s="937">
        <v>504</v>
      </c>
      <c r="AJ112" s="937">
        <v>514.79999999999995</v>
      </c>
      <c r="AK112" s="937">
        <v>505.6</v>
      </c>
      <c r="AL112" s="937"/>
      <c r="AM112" s="937">
        <v>505.6</v>
      </c>
      <c r="AN112" s="937"/>
    </row>
    <row r="113" spans="1:40" ht="29.25" customHeight="1" x14ac:dyDescent="0.45">
      <c r="B113" s="1067"/>
      <c r="C113" s="1068"/>
      <c r="D113" s="1019"/>
      <c r="E113" s="1020"/>
      <c r="F113" s="87" t="s">
        <v>508</v>
      </c>
      <c r="G113" s="83" t="s">
        <v>137</v>
      </c>
      <c r="H113" s="83" t="s">
        <v>345</v>
      </c>
      <c r="I113" s="83"/>
      <c r="J113" s="88"/>
      <c r="K113" s="246">
        <v>0.2</v>
      </c>
      <c r="L113" s="798"/>
      <c r="M113" s="411">
        <v>0.2</v>
      </c>
      <c r="N113" s="246">
        <v>0.1</v>
      </c>
      <c r="O113" s="335"/>
      <c r="P113" s="246">
        <v>0.1</v>
      </c>
      <c r="Q113" s="246"/>
      <c r="R113" s="246">
        <v>0.2</v>
      </c>
      <c r="S113" s="246"/>
      <c r="T113" s="246">
        <v>0.2</v>
      </c>
      <c r="U113" s="246"/>
      <c r="V113" s="246">
        <v>0.2</v>
      </c>
      <c r="W113" s="246">
        <v>0.2</v>
      </c>
      <c r="X113" s="246">
        <v>0.2</v>
      </c>
      <c r="Y113" s="246">
        <v>0.2</v>
      </c>
      <c r="Z113" s="246">
        <v>0.2</v>
      </c>
      <c r="AA113" s="246">
        <v>0.2</v>
      </c>
      <c r="AB113" s="246">
        <v>0.2</v>
      </c>
      <c r="AC113" s="795">
        <v>0.19</v>
      </c>
      <c r="AD113" s="835">
        <v>0.2</v>
      </c>
      <c r="AE113" s="816">
        <v>0.18</v>
      </c>
      <c r="AF113" s="835">
        <v>0.2</v>
      </c>
      <c r="AG113" s="835">
        <v>0.18</v>
      </c>
      <c r="AH113" s="913">
        <v>0</v>
      </c>
      <c r="AI113" s="937">
        <v>0.2</v>
      </c>
      <c r="AJ113" s="937">
        <v>0.2</v>
      </c>
      <c r="AK113" s="937">
        <v>0.18</v>
      </c>
      <c r="AL113" s="937"/>
      <c r="AM113" s="937">
        <v>0.18</v>
      </c>
      <c r="AN113" s="937"/>
    </row>
    <row r="114" spans="1:40" ht="29.25" customHeight="1" x14ac:dyDescent="0.45">
      <c r="B114" s="1067"/>
      <c r="C114" s="1068"/>
      <c r="D114" s="1019"/>
      <c r="E114" s="1020"/>
      <c r="F114" s="97" t="s">
        <v>509</v>
      </c>
      <c r="G114" s="56" t="s">
        <v>137</v>
      </c>
      <c r="H114" s="56" t="s">
        <v>345</v>
      </c>
      <c r="I114" s="56"/>
      <c r="J114" s="98"/>
      <c r="K114" s="246">
        <v>0.21</v>
      </c>
      <c r="L114" s="798"/>
      <c r="M114" s="411">
        <v>21</v>
      </c>
      <c r="N114" s="246">
        <v>0.13</v>
      </c>
      <c r="O114" s="335"/>
      <c r="P114" s="246">
        <v>0.12</v>
      </c>
      <c r="Q114" s="246"/>
      <c r="R114" s="246">
        <v>0.22</v>
      </c>
      <c r="S114" s="246"/>
      <c r="T114" s="246">
        <v>0.22</v>
      </c>
      <c r="U114" s="246"/>
      <c r="V114" s="246">
        <v>0.22</v>
      </c>
      <c r="W114" s="246">
        <v>0.22</v>
      </c>
      <c r="X114" s="246">
        <v>0.22</v>
      </c>
      <c r="Y114" s="246">
        <v>0.22</v>
      </c>
      <c r="Z114" s="246">
        <v>0.22</v>
      </c>
      <c r="AA114" s="246">
        <v>0.22</v>
      </c>
      <c r="AB114" s="246">
        <v>0.22</v>
      </c>
      <c r="AC114" s="795">
        <v>0.22</v>
      </c>
      <c r="AD114" s="835">
        <v>0.21</v>
      </c>
      <c r="AE114" s="816">
        <v>0.22</v>
      </c>
      <c r="AF114" s="835">
        <v>21</v>
      </c>
      <c r="AG114" s="835">
        <v>0.21</v>
      </c>
      <c r="AH114" s="913">
        <v>0</v>
      </c>
      <c r="AI114" s="937">
        <v>0.24</v>
      </c>
      <c r="AJ114" s="937">
        <v>0.22</v>
      </c>
      <c r="AK114" s="937">
        <v>2.2000000000000002</v>
      </c>
      <c r="AL114" s="937"/>
      <c r="AM114" s="937">
        <v>2.2000000000000002</v>
      </c>
      <c r="AN114" s="937"/>
    </row>
    <row r="115" spans="1:40" ht="29.25" customHeight="1" x14ac:dyDescent="0.45">
      <c r="A115" s="237" t="s">
        <v>137</v>
      </c>
      <c r="B115" s="1067"/>
      <c r="C115" s="1068"/>
      <c r="D115" s="1019"/>
      <c r="E115" s="1020"/>
      <c r="F115" s="87" t="s">
        <v>510</v>
      </c>
      <c r="G115" s="83" t="s">
        <v>137</v>
      </c>
      <c r="H115" s="83" t="s">
        <v>345</v>
      </c>
      <c r="I115" s="83"/>
      <c r="J115" s="88"/>
      <c r="K115" s="246">
        <v>0.2</v>
      </c>
      <c r="L115" s="798"/>
      <c r="M115" s="411">
        <v>0.2</v>
      </c>
      <c r="N115" s="246">
        <v>0.1</v>
      </c>
      <c r="O115" s="335"/>
      <c r="P115" s="246">
        <v>0.1</v>
      </c>
      <c r="Q115" s="246"/>
      <c r="R115" s="246">
        <v>0.2</v>
      </c>
      <c r="S115" s="246"/>
      <c r="T115" s="246">
        <v>0.2</v>
      </c>
      <c r="U115" s="246"/>
      <c r="V115" s="246">
        <v>0.2</v>
      </c>
      <c r="W115" s="246">
        <v>0.2</v>
      </c>
      <c r="X115" s="246">
        <v>0.2</v>
      </c>
      <c r="Y115" s="246">
        <v>0.2</v>
      </c>
      <c r="Z115" s="246">
        <v>0.2</v>
      </c>
      <c r="AA115" s="246">
        <v>0.2</v>
      </c>
      <c r="AB115" s="246">
        <v>0.2</v>
      </c>
      <c r="AC115" s="795">
        <v>0.19</v>
      </c>
      <c r="AD115" s="835">
        <v>0.2</v>
      </c>
      <c r="AE115" s="816">
        <v>0.19</v>
      </c>
      <c r="AF115" s="835">
        <v>0.2</v>
      </c>
      <c r="AG115" s="835">
        <v>0.18</v>
      </c>
      <c r="AH115" s="913">
        <v>0</v>
      </c>
      <c r="AI115" s="937">
        <v>0.2</v>
      </c>
      <c r="AJ115" s="937">
        <v>0.2</v>
      </c>
      <c r="AK115" s="937">
        <v>0.18</v>
      </c>
      <c r="AL115" s="937"/>
      <c r="AM115" s="937">
        <v>0.18</v>
      </c>
      <c r="AN115" s="937"/>
    </row>
    <row r="116" spans="1:40" ht="29.25" customHeight="1" x14ac:dyDescent="0.45">
      <c r="B116" s="1067"/>
      <c r="C116" s="1068"/>
      <c r="D116" s="1019"/>
      <c r="E116" s="1020"/>
      <c r="F116" s="97" t="s">
        <v>511</v>
      </c>
      <c r="G116" s="56" t="s">
        <v>137</v>
      </c>
      <c r="H116" s="56" t="s">
        <v>345</v>
      </c>
      <c r="I116" s="56"/>
      <c r="J116" s="98"/>
      <c r="K116" s="246">
        <v>0.2</v>
      </c>
      <c r="L116" s="798"/>
      <c r="M116" s="411">
        <v>0.2</v>
      </c>
      <c r="N116" s="246">
        <v>0.1</v>
      </c>
      <c r="O116" s="335"/>
      <c r="P116" s="246">
        <v>0.1</v>
      </c>
      <c r="Q116" s="246"/>
      <c r="R116" s="246">
        <v>0.2</v>
      </c>
      <c r="S116" s="246"/>
      <c r="T116" s="246">
        <v>0.2</v>
      </c>
      <c r="U116" s="246"/>
      <c r="V116" s="246">
        <v>0.2</v>
      </c>
      <c r="W116" s="246">
        <v>0.2</v>
      </c>
      <c r="X116" s="246">
        <v>0.2</v>
      </c>
      <c r="Y116" s="246">
        <v>0.2</v>
      </c>
      <c r="Z116" s="246">
        <v>0.2</v>
      </c>
      <c r="AA116" s="246">
        <v>0.2</v>
      </c>
      <c r="AB116" s="246">
        <v>0.2</v>
      </c>
      <c r="AC116" s="795">
        <v>0.19</v>
      </c>
      <c r="AD116" s="835">
        <v>0.2</v>
      </c>
      <c r="AE116" s="816">
        <v>0.18</v>
      </c>
      <c r="AF116" s="835">
        <v>0.2</v>
      </c>
      <c r="AG116" s="835">
        <v>0.18</v>
      </c>
      <c r="AH116" s="913">
        <v>0</v>
      </c>
      <c r="AI116" s="937">
        <v>0.2</v>
      </c>
      <c r="AJ116" s="937">
        <v>0.2</v>
      </c>
      <c r="AK116" s="937">
        <v>0.18</v>
      </c>
      <c r="AL116" s="937"/>
      <c r="AM116" s="937">
        <v>0.18</v>
      </c>
      <c r="AN116" s="937"/>
    </row>
    <row r="117" spans="1:40" ht="29.25" customHeight="1" x14ac:dyDescent="0.45">
      <c r="B117" s="1067"/>
      <c r="C117" s="1068"/>
      <c r="D117" s="1019"/>
      <c r="E117" s="1020"/>
      <c r="F117" s="87" t="s">
        <v>512</v>
      </c>
      <c r="G117" s="83" t="s">
        <v>137</v>
      </c>
      <c r="H117" s="83" t="s">
        <v>345</v>
      </c>
      <c r="I117" s="83"/>
      <c r="J117" s="88"/>
      <c r="K117" s="246">
        <v>0.2</v>
      </c>
      <c r="L117" s="798"/>
      <c r="M117" s="411">
        <v>0.2</v>
      </c>
      <c r="N117" s="246">
        <v>0.1</v>
      </c>
      <c r="O117" s="335"/>
      <c r="P117" s="246">
        <v>0.1</v>
      </c>
      <c r="Q117" s="246"/>
      <c r="R117" s="246">
        <v>0.2</v>
      </c>
      <c r="S117" s="246"/>
      <c r="T117" s="246">
        <v>0.2</v>
      </c>
      <c r="U117" s="246"/>
      <c r="V117" s="246">
        <v>0.2</v>
      </c>
      <c r="W117" s="246">
        <v>0.2</v>
      </c>
      <c r="X117" s="246">
        <v>0.2</v>
      </c>
      <c r="Y117" s="246">
        <v>0.2</v>
      </c>
      <c r="Z117" s="246">
        <v>0.2</v>
      </c>
      <c r="AA117" s="246">
        <v>0.2</v>
      </c>
      <c r="AB117" s="246">
        <v>0.2</v>
      </c>
      <c r="AC117" s="795">
        <v>0.19</v>
      </c>
      <c r="AD117" s="835">
        <v>0.2</v>
      </c>
      <c r="AE117" s="816">
        <v>0.19</v>
      </c>
      <c r="AF117" s="835">
        <v>0.2</v>
      </c>
      <c r="AG117" s="835">
        <v>0.18</v>
      </c>
      <c r="AH117" s="913">
        <v>0</v>
      </c>
      <c r="AI117" s="937">
        <v>0.2</v>
      </c>
      <c r="AJ117" s="937">
        <v>0.2</v>
      </c>
      <c r="AK117" s="937">
        <v>0.18</v>
      </c>
      <c r="AL117" s="937"/>
      <c r="AM117" s="937">
        <v>0.18</v>
      </c>
      <c r="AN117" s="937"/>
    </row>
    <row r="118" spans="1:40" ht="29.25" customHeight="1" x14ac:dyDescent="0.45">
      <c r="B118" s="1067"/>
      <c r="C118" s="1068"/>
      <c r="D118" s="1019"/>
      <c r="E118" s="1020"/>
      <c r="F118" s="97" t="s">
        <v>513</v>
      </c>
      <c r="G118" s="56" t="s">
        <v>137</v>
      </c>
      <c r="H118" s="56" t="s">
        <v>345</v>
      </c>
      <c r="I118" s="56"/>
      <c r="J118" s="98"/>
      <c r="K118" s="246">
        <v>0.1</v>
      </c>
      <c r="L118" s="798"/>
      <c r="M118" s="411">
        <v>0.1</v>
      </c>
      <c r="N118" s="246">
        <v>0.04</v>
      </c>
      <c r="O118" s="335"/>
      <c r="P118" s="246">
        <v>0.04</v>
      </c>
      <c r="Q118" s="246"/>
      <c r="R118" s="246">
        <v>0.12</v>
      </c>
      <c r="S118" s="246"/>
      <c r="T118" s="246">
        <v>0.11</v>
      </c>
      <c r="U118" s="246"/>
      <c r="V118" s="246">
        <v>0.11</v>
      </c>
      <c r="W118" s="246">
        <v>0.12</v>
      </c>
      <c r="X118" s="246">
        <v>0.11</v>
      </c>
      <c r="Y118" s="246">
        <v>0.1</v>
      </c>
      <c r="Z118" s="246">
        <v>0.11</v>
      </c>
      <c r="AA118" s="246">
        <v>0.11</v>
      </c>
      <c r="AB118" s="246">
        <v>0.11</v>
      </c>
      <c r="AC118" s="795">
        <v>0.12</v>
      </c>
      <c r="AD118" s="835">
        <v>0.1</v>
      </c>
      <c r="AE118" s="816">
        <v>0.12</v>
      </c>
      <c r="AF118" s="835">
        <v>0.1</v>
      </c>
      <c r="AG118" s="835">
        <v>0.12</v>
      </c>
      <c r="AH118" s="913">
        <v>0</v>
      </c>
      <c r="AI118" s="937">
        <v>0.11</v>
      </c>
      <c r="AJ118" s="937">
        <v>0.1</v>
      </c>
      <c r="AK118" s="937">
        <v>0.1</v>
      </c>
      <c r="AL118" s="937"/>
      <c r="AM118" s="937">
        <v>0.1</v>
      </c>
      <c r="AN118" s="937"/>
    </row>
    <row r="119" spans="1:40" ht="29.25" customHeight="1" x14ac:dyDescent="0.45">
      <c r="B119" s="1067"/>
      <c r="C119" s="1068"/>
      <c r="D119" s="1019"/>
      <c r="E119" s="1020"/>
      <c r="F119" s="87" t="s">
        <v>514</v>
      </c>
      <c r="G119" s="83" t="s">
        <v>137</v>
      </c>
      <c r="H119" s="83" t="s">
        <v>345</v>
      </c>
      <c r="I119" s="83"/>
      <c r="J119" s="88"/>
      <c r="K119" s="246">
        <v>0</v>
      </c>
      <c r="L119" s="798"/>
      <c r="M119" s="411">
        <v>0</v>
      </c>
      <c r="N119" s="246">
        <v>0</v>
      </c>
      <c r="O119" s="335"/>
      <c r="P119" s="246">
        <v>0</v>
      </c>
      <c r="Q119" s="246"/>
      <c r="R119" s="246">
        <v>0</v>
      </c>
      <c r="S119" s="246"/>
      <c r="T119" s="246">
        <v>0</v>
      </c>
      <c r="U119" s="246"/>
      <c r="V119" s="246">
        <v>0</v>
      </c>
      <c r="W119" s="246">
        <v>0</v>
      </c>
      <c r="X119" s="246">
        <v>0</v>
      </c>
      <c r="Y119" s="246">
        <v>0</v>
      </c>
      <c r="Z119" s="246">
        <v>0</v>
      </c>
      <c r="AA119" s="246">
        <v>0</v>
      </c>
      <c r="AB119" s="246">
        <v>0</v>
      </c>
      <c r="AC119" s="795">
        <v>0</v>
      </c>
      <c r="AD119" s="835">
        <v>0</v>
      </c>
      <c r="AE119" s="816">
        <v>0</v>
      </c>
      <c r="AF119" s="835">
        <v>0</v>
      </c>
      <c r="AG119" s="835">
        <v>0</v>
      </c>
      <c r="AH119" s="913">
        <v>0</v>
      </c>
      <c r="AI119" s="937">
        <v>0</v>
      </c>
      <c r="AJ119" s="937">
        <v>0</v>
      </c>
      <c r="AK119" s="937">
        <v>0</v>
      </c>
      <c r="AL119" s="937"/>
      <c r="AM119" s="937">
        <v>0</v>
      </c>
      <c r="AN119" s="937"/>
    </row>
    <row r="120" spans="1:40" ht="29.25" customHeight="1" x14ac:dyDescent="0.45">
      <c r="B120" s="1067"/>
      <c r="C120" s="1068"/>
      <c r="D120" s="1019"/>
      <c r="E120" s="1020"/>
      <c r="F120" s="97" t="s">
        <v>515</v>
      </c>
      <c r="G120" s="56" t="s">
        <v>137</v>
      </c>
      <c r="H120" s="56" t="s">
        <v>345</v>
      </c>
      <c r="I120" s="56"/>
      <c r="J120" s="98"/>
      <c r="K120" s="246">
        <v>0</v>
      </c>
      <c r="L120" s="798"/>
      <c r="M120" s="411">
        <v>0</v>
      </c>
      <c r="N120" s="246">
        <v>0</v>
      </c>
      <c r="O120" s="335"/>
      <c r="P120" s="246">
        <v>0</v>
      </c>
      <c r="Q120" s="246"/>
      <c r="R120" s="246">
        <v>0</v>
      </c>
      <c r="S120" s="246"/>
      <c r="T120" s="246">
        <v>0</v>
      </c>
      <c r="U120" s="246"/>
      <c r="V120" s="246">
        <v>0</v>
      </c>
      <c r="W120" s="246">
        <v>0</v>
      </c>
      <c r="X120" s="246">
        <v>0</v>
      </c>
      <c r="Y120" s="246">
        <v>0</v>
      </c>
      <c r="Z120" s="246">
        <v>0</v>
      </c>
      <c r="AA120" s="246">
        <v>0</v>
      </c>
      <c r="AB120" s="246">
        <v>0</v>
      </c>
      <c r="AC120" s="795">
        <v>0</v>
      </c>
      <c r="AD120" s="835">
        <v>0</v>
      </c>
      <c r="AE120" s="816">
        <v>0</v>
      </c>
      <c r="AF120" s="835">
        <v>0</v>
      </c>
      <c r="AG120" s="835">
        <v>0</v>
      </c>
      <c r="AH120" s="913">
        <v>0</v>
      </c>
      <c r="AI120" s="937">
        <v>0</v>
      </c>
      <c r="AJ120" s="937">
        <v>0</v>
      </c>
      <c r="AK120" s="937">
        <v>0</v>
      </c>
      <c r="AL120" s="937"/>
      <c r="AM120" s="937">
        <v>0</v>
      </c>
      <c r="AN120" s="937"/>
    </row>
    <row r="121" spans="1:40" ht="29.25" customHeight="1" x14ac:dyDescent="0.45">
      <c r="B121" s="1067"/>
      <c r="C121" s="1068"/>
      <c r="D121" s="1019"/>
      <c r="E121" s="1020"/>
      <c r="F121" s="87" t="s">
        <v>516</v>
      </c>
      <c r="G121" s="83" t="s">
        <v>137</v>
      </c>
      <c r="H121" s="83" t="s">
        <v>345</v>
      </c>
      <c r="I121" s="83"/>
      <c r="J121" s="88"/>
      <c r="K121" s="246">
        <v>0</v>
      </c>
      <c r="L121" s="798"/>
      <c r="M121" s="411">
        <v>0</v>
      </c>
      <c r="N121" s="246">
        <v>0</v>
      </c>
      <c r="O121" s="335"/>
      <c r="P121" s="246">
        <v>0</v>
      </c>
      <c r="Q121" s="246"/>
      <c r="R121" s="246">
        <v>0</v>
      </c>
      <c r="S121" s="246"/>
      <c r="T121" s="246">
        <v>0</v>
      </c>
      <c r="U121" s="246"/>
      <c r="V121" s="246">
        <v>0</v>
      </c>
      <c r="W121" s="246">
        <v>0</v>
      </c>
      <c r="X121" s="246">
        <v>0</v>
      </c>
      <c r="Y121" s="246">
        <v>0</v>
      </c>
      <c r="Z121" s="246">
        <v>0</v>
      </c>
      <c r="AA121" s="246">
        <v>0</v>
      </c>
      <c r="AB121" s="246">
        <v>0</v>
      </c>
      <c r="AC121" s="795">
        <v>0</v>
      </c>
      <c r="AD121" s="835">
        <v>0</v>
      </c>
      <c r="AE121" s="816">
        <v>0</v>
      </c>
      <c r="AF121" s="835">
        <v>0</v>
      </c>
      <c r="AG121" s="835">
        <v>0</v>
      </c>
      <c r="AH121" s="913">
        <v>0</v>
      </c>
      <c r="AI121" s="937">
        <v>0</v>
      </c>
      <c r="AJ121" s="937">
        <v>0</v>
      </c>
      <c r="AK121" s="937">
        <v>0</v>
      </c>
      <c r="AL121" s="937"/>
      <c r="AM121" s="937">
        <v>0</v>
      </c>
      <c r="AN121" s="937"/>
    </row>
    <row r="122" spans="1:40" ht="29.25" customHeight="1" x14ac:dyDescent="0.45">
      <c r="B122" s="1067"/>
      <c r="C122" s="1068"/>
      <c r="D122" s="1019"/>
      <c r="E122" s="1020"/>
      <c r="F122" s="97" t="s">
        <v>517</v>
      </c>
      <c r="G122" s="56" t="s">
        <v>137</v>
      </c>
      <c r="H122" s="56" t="s">
        <v>345</v>
      </c>
      <c r="I122" s="56"/>
      <c r="J122" s="98"/>
      <c r="K122" s="246">
        <v>0</v>
      </c>
      <c r="L122" s="798"/>
      <c r="M122" s="411">
        <v>0</v>
      </c>
      <c r="N122" s="246">
        <v>0</v>
      </c>
      <c r="O122" s="335"/>
      <c r="P122" s="246">
        <v>0</v>
      </c>
      <c r="Q122" s="246"/>
      <c r="R122" s="246">
        <v>0</v>
      </c>
      <c r="S122" s="246"/>
      <c r="T122" s="246">
        <v>0</v>
      </c>
      <c r="U122" s="246"/>
      <c r="V122" s="246">
        <v>0</v>
      </c>
      <c r="W122" s="246">
        <v>0</v>
      </c>
      <c r="X122" s="246">
        <v>0</v>
      </c>
      <c r="Y122" s="246">
        <v>0</v>
      </c>
      <c r="Z122" s="246">
        <v>0</v>
      </c>
      <c r="AA122" s="246">
        <v>0</v>
      </c>
      <c r="AB122" s="246">
        <v>0</v>
      </c>
      <c r="AC122" s="795">
        <v>0</v>
      </c>
      <c r="AD122" s="835">
        <v>0</v>
      </c>
      <c r="AE122" s="816">
        <v>0</v>
      </c>
      <c r="AF122" s="835">
        <v>0</v>
      </c>
      <c r="AG122" s="835">
        <v>0</v>
      </c>
      <c r="AH122" s="913">
        <v>0</v>
      </c>
      <c r="AI122" s="937">
        <v>0</v>
      </c>
      <c r="AJ122" s="937">
        <v>0</v>
      </c>
      <c r="AK122" s="937">
        <v>0</v>
      </c>
      <c r="AL122" s="937"/>
      <c r="AM122" s="937">
        <v>0</v>
      </c>
      <c r="AN122" s="937"/>
    </row>
    <row r="123" spans="1:40" ht="29.25" customHeight="1" x14ac:dyDescent="0.45">
      <c r="B123" s="1067"/>
      <c r="C123" s="1068"/>
      <c r="D123" s="1021"/>
      <c r="E123" s="1022"/>
      <c r="F123" s="359" t="s">
        <v>518</v>
      </c>
      <c r="G123" s="360" t="s">
        <v>137</v>
      </c>
      <c r="H123" s="360" t="s">
        <v>345</v>
      </c>
      <c r="I123" s="360"/>
      <c r="J123" s="361"/>
      <c r="K123" s="352">
        <v>0</v>
      </c>
      <c r="L123" s="1000"/>
      <c r="M123" s="413">
        <v>0</v>
      </c>
      <c r="N123" s="352">
        <v>0</v>
      </c>
      <c r="O123" s="351"/>
      <c r="P123" s="352">
        <v>0</v>
      </c>
      <c r="Q123" s="352"/>
      <c r="R123" s="352">
        <v>0</v>
      </c>
      <c r="S123" s="352"/>
      <c r="T123" s="352">
        <v>0</v>
      </c>
      <c r="U123" s="352"/>
      <c r="V123" s="352">
        <v>0</v>
      </c>
      <c r="W123" s="352">
        <v>0</v>
      </c>
      <c r="X123" s="352">
        <v>0</v>
      </c>
      <c r="Y123" s="352">
        <v>0</v>
      </c>
      <c r="Z123" s="352">
        <v>0</v>
      </c>
      <c r="AA123" s="352">
        <v>0</v>
      </c>
      <c r="AB123" s="352">
        <v>0</v>
      </c>
      <c r="AC123" s="800">
        <v>0</v>
      </c>
      <c r="AD123" s="839">
        <v>0</v>
      </c>
      <c r="AE123" s="822">
        <v>0</v>
      </c>
      <c r="AF123" s="839">
        <v>0</v>
      </c>
      <c r="AG123" s="839">
        <v>0</v>
      </c>
      <c r="AH123" s="919">
        <v>0</v>
      </c>
      <c r="AI123" s="943">
        <v>0</v>
      </c>
      <c r="AJ123" s="943">
        <v>0</v>
      </c>
      <c r="AK123" s="943">
        <v>0</v>
      </c>
      <c r="AL123" s="943"/>
      <c r="AM123" s="943">
        <v>0</v>
      </c>
      <c r="AN123" s="943"/>
    </row>
    <row r="124" spans="1:40" ht="27.4" customHeight="1" x14ac:dyDescent="0.45">
      <c r="B124" s="1067"/>
      <c r="C124" s="1068"/>
      <c r="D124" s="1019" t="s">
        <v>519</v>
      </c>
      <c r="E124" s="1020"/>
      <c r="F124" s="99" t="s">
        <v>520</v>
      </c>
      <c r="G124" s="57" t="s">
        <v>137</v>
      </c>
      <c r="H124" s="57" t="s">
        <v>345</v>
      </c>
      <c r="I124" s="57"/>
      <c r="J124" s="100"/>
      <c r="K124" s="260">
        <v>6.2</v>
      </c>
      <c r="L124" s="798"/>
      <c r="M124" s="411">
        <v>6.2</v>
      </c>
      <c r="N124" s="260">
        <v>6.2</v>
      </c>
      <c r="O124" s="335"/>
      <c r="P124" s="260">
        <v>6.2</v>
      </c>
      <c r="Q124" s="260"/>
      <c r="R124" s="260">
        <v>6.2</v>
      </c>
      <c r="S124" s="260"/>
      <c r="T124" s="260">
        <v>6.2</v>
      </c>
      <c r="U124" s="260"/>
      <c r="V124" s="260">
        <v>6.2</v>
      </c>
      <c r="W124" s="260">
        <v>6.2</v>
      </c>
      <c r="X124" s="260">
        <v>6.2</v>
      </c>
      <c r="Y124" s="260">
        <v>6.2</v>
      </c>
      <c r="Z124" s="260">
        <v>6.2</v>
      </c>
      <c r="AA124" s="260">
        <v>6.2</v>
      </c>
      <c r="AB124" s="260">
        <v>6.2</v>
      </c>
      <c r="AC124" s="798">
        <v>6.2</v>
      </c>
      <c r="AD124" s="836">
        <v>6.2</v>
      </c>
      <c r="AE124" s="818">
        <v>6.3</v>
      </c>
      <c r="AF124" s="836">
        <v>6.2</v>
      </c>
      <c r="AG124" s="836">
        <v>6.2</v>
      </c>
      <c r="AH124" s="917">
        <v>6.4</v>
      </c>
      <c r="AI124" s="941">
        <v>6.2</v>
      </c>
      <c r="AJ124" s="941">
        <v>6.2</v>
      </c>
      <c r="AK124" s="941">
        <v>6.2</v>
      </c>
      <c r="AL124" s="941"/>
      <c r="AM124" s="941">
        <v>6.2</v>
      </c>
      <c r="AN124" s="941"/>
    </row>
    <row r="125" spans="1:40" ht="27.4" customHeight="1" x14ac:dyDescent="0.45">
      <c r="B125" s="1067"/>
      <c r="C125" s="1068"/>
      <c r="D125" s="1019"/>
      <c r="E125" s="1020"/>
      <c r="F125" s="87" t="s">
        <v>521</v>
      </c>
      <c r="G125" s="83" t="s">
        <v>137</v>
      </c>
      <c r="H125" s="83" t="s">
        <v>345</v>
      </c>
      <c r="I125" s="83"/>
      <c r="J125" s="88"/>
      <c r="K125" s="246">
        <v>6.2</v>
      </c>
      <c r="L125" s="798"/>
      <c r="M125" s="411">
        <v>6.2</v>
      </c>
      <c r="N125" s="246">
        <v>6.2</v>
      </c>
      <c r="O125" s="335"/>
      <c r="P125" s="246">
        <v>6.2</v>
      </c>
      <c r="Q125" s="246"/>
      <c r="R125" s="246">
        <v>6.2</v>
      </c>
      <c r="S125" s="246"/>
      <c r="T125" s="246">
        <v>6.2</v>
      </c>
      <c r="U125" s="246"/>
      <c r="V125" s="246">
        <v>6.2</v>
      </c>
      <c r="W125" s="246">
        <v>6.2</v>
      </c>
      <c r="X125" s="246">
        <v>6.2</v>
      </c>
      <c r="Y125" s="246">
        <v>6.2</v>
      </c>
      <c r="Z125" s="246">
        <v>6.2</v>
      </c>
      <c r="AA125" s="246">
        <v>6.2</v>
      </c>
      <c r="AB125" s="246">
        <v>6.2</v>
      </c>
      <c r="AC125" s="795">
        <v>6.2</v>
      </c>
      <c r="AD125" s="835">
        <v>6.2</v>
      </c>
      <c r="AE125" s="816">
        <v>6.3</v>
      </c>
      <c r="AF125" s="835">
        <v>6.2</v>
      </c>
      <c r="AG125" s="835">
        <v>6.2</v>
      </c>
      <c r="AH125" s="913">
        <v>0</v>
      </c>
      <c r="AI125" s="937">
        <v>6.2</v>
      </c>
      <c r="AJ125" s="937">
        <v>6.2</v>
      </c>
      <c r="AK125" s="937">
        <v>6.2</v>
      </c>
      <c r="AL125" s="937"/>
      <c r="AM125" s="937">
        <v>6.2</v>
      </c>
      <c r="AN125" s="937"/>
    </row>
    <row r="126" spans="1:40" ht="27.4" customHeight="1" x14ac:dyDescent="0.45">
      <c r="B126" s="1067"/>
      <c r="C126" s="1068"/>
      <c r="D126" s="1019"/>
      <c r="E126" s="1020"/>
      <c r="F126" s="97" t="s">
        <v>520</v>
      </c>
      <c r="G126" s="56" t="s">
        <v>137</v>
      </c>
      <c r="H126" s="56" t="s">
        <v>73</v>
      </c>
      <c r="I126" s="56"/>
      <c r="J126" s="98"/>
      <c r="K126" s="246">
        <v>6.27</v>
      </c>
      <c r="L126" s="795"/>
      <c r="M126" s="507">
        <v>6.28</v>
      </c>
      <c r="N126" s="246">
        <v>6.27</v>
      </c>
      <c r="O126" s="255"/>
      <c r="P126" s="246">
        <v>6.24</v>
      </c>
      <c r="Q126" s="246"/>
      <c r="R126" s="246">
        <v>6.27</v>
      </c>
      <c r="S126" s="246"/>
      <c r="T126" s="246">
        <v>6.26</v>
      </c>
      <c r="U126" s="246"/>
      <c r="V126" s="246">
        <v>6.27</v>
      </c>
      <c r="W126" s="246">
        <v>6.28</v>
      </c>
      <c r="X126" s="246">
        <v>6.27</v>
      </c>
      <c r="Y126" s="246">
        <v>6.28</v>
      </c>
      <c r="Z126" s="246">
        <v>6.3</v>
      </c>
      <c r="AA126" s="246">
        <v>6.25</v>
      </c>
      <c r="AB126" s="246">
        <v>6.3</v>
      </c>
      <c r="AC126" s="795">
        <v>6.27</v>
      </c>
      <c r="AD126" s="835">
        <v>6.27</v>
      </c>
      <c r="AE126" s="816">
        <v>6.3</v>
      </c>
      <c r="AF126" s="835">
        <v>6.28</v>
      </c>
      <c r="AG126" s="835">
        <v>6.18</v>
      </c>
      <c r="AH126" s="913">
        <v>6.34</v>
      </c>
      <c r="AI126" s="937">
        <v>6.19</v>
      </c>
      <c r="AJ126" s="937">
        <v>6.11</v>
      </c>
      <c r="AK126" s="937">
        <v>6.28</v>
      </c>
      <c r="AL126" s="937"/>
      <c r="AM126" s="937">
        <v>6.28</v>
      </c>
      <c r="AN126" s="937"/>
    </row>
    <row r="127" spans="1:40" ht="27.4" customHeight="1" x14ac:dyDescent="0.45">
      <c r="B127" s="1067"/>
      <c r="C127" s="1068"/>
      <c r="D127" s="1019"/>
      <c r="E127" s="1020"/>
      <c r="F127" s="339" t="s">
        <v>521</v>
      </c>
      <c r="G127" s="111" t="s">
        <v>137</v>
      </c>
      <c r="H127" s="111" t="s">
        <v>73</v>
      </c>
      <c r="I127" s="111"/>
      <c r="J127" s="112"/>
      <c r="K127" s="261">
        <v>6.24</v>
      </c>
      <c r="L127" s="796"/>
      <c r="M127" s="511">
        <v>6.27</v>
      </c>
      <c r="N127" s="261">
        <v>6.25</v>
      </c>
      <c r="O127" s="308"/>
      <c r="P127" s="261">
        <v>6.21</v>
      </c>
      <c r="Q127" s="261"/>
      <c r="R127" s="261">
        <v>6.24</v>
      </c>
      <c r="S127" s="261"/>
      <c r="T127" s="261">
        <v>6.22</v>
      </c>
      <c r="U127" s="261"/>
      <c r="V127" s="261">
        <v>6.22</v>
      </c>
      <c r="W127" s="261">
        <v>6.25</v>
      </c>
      <c r="X127" s="261">
        <v>6.23</v>
      </c>
      <c r="Y127" s="261">
        <v>6.26</v>
      </c>
      <c r="Z127" s="261">
        <v>6.27</v>
      </c>
      <c r="AA127" s="261">
        <v>6.22</v>
      </c>
      <c r="AB127" s="261">
        <v>6.27</v>
      </c>
      <c r="AC127" s="796">
        <v>6.25</v>
      </c>
      <c r="AD127" s="837">
        <v>6.24</v>
      </c>
      <c r="AE127" s="817">
        <v>6.26</v>
      </c>
      <c r="AF127" s="837">
        <v>6.27</v>
      </c>
      <c r="AG127" s="837">
        <v>6.15</v>
      </c>
      <c r="AH127" s="914">
        <v>0</v>
      </c>
      <c r="AI127" s="938">
        <v>6.16</v>
      </c>
      <c r="AJ127" s="938">
        <v>6.08</v>
      </c>
      <c r="AK127" s="938">
        <v>6.26</v>
      </c>
      <c r="AL127" s="938"/>
      <c r="AM127" s="938">
        <v>6.26</v>
      </c>
      <c r="AN127" s="938"/>
    </row>
    <row r="128" spans="1:40" ht="27.4" customHeight="1" x14ac:dyDescent="0.45">
      <c r="B128" s="1067"/>
      <c r="C128" s="1068"/>
      <c r="D128" s="1027" t="s">
        <v>522</v>
      </c>
      <c r="E128" s="1028"/>
      <c r="F128" s="364" t="s">
        <v>523</v>
      </c>
      <c r="G128" s="365" t="s">
        <v>21</v>
      </c>
      <c r="H128" s="365" t="s">
        <v>21</v>
      </c>
      <c r="I128" s="365"/>
      <c r="J128" s="366" t="s">
        <v>451</v>
      </c>
      <c r="K128" s="347"/>
      <c r="L128" s="799"/>
      <c r="M128" s="508"/>
      <c r="N128" s="347"/>
      <c r="O128" s="357"/>
      <c r="P128" s="347"/>
      <c r="Q128" s="347"/>
      <c r="R128" s="347"/>
      <c r="S128" s="347"/>
      <c r="T128" s="347" t="s">
        <v>452</v>
      </c>
      <c r="U128" s="347"/>
      <c r="V128" s="347" t="s">
        <v>452</v>
      </c>
      <c r="W128" s="347" t="s">
        <v>452</v>
      </c>
      <c r="X128" s="347" t="s">
        <v>453</v>
      </c>
      <c r="Y128" s="347" t="s">
        <v>453</v>
      </c>
      <c r="Z128" s="347" t="s">
        <v>453</v>
      </c>
      <c r="AA128" s="347" t="s">
        <v>452</v>
      </c>
      <c r="AB128" s="347" t="s">
        <v>453</v>
      </c>
      <c r="AC128" s="799" t="s">
        <v>21</v>
      </c>
      <c r="AD128" s="838" t="s">
        <v>453</v>
      </c>
      <c r="AE128" s="820" t="s">
        <v>59</v>
      </c>
      <c r="AF128" s="838" t="s">
        <v>453</v>
      </c>
      <c r="AG128" s="838" t="s">
        <v>453</v>
      </c>
      <c r="AH128" s="918" t="s">
        <v>59</v>
      </c>
      <c r="AI128" s="942" t="s">
        <v>524</v>
      </c>
      <c r="AJ128" s="942" t="s">
        <v>524</v>
      </c>
      <c r="AK128" s="942" t="s">
        <v>524</v>
      </c>
      <c r="AL128" s="942"/>
      <c r="AM128" s="942" t="s">
        <v>524</v>
      </c>
      <c r="AN128" s="942"/>
    </row>
    <row r="129" spans="2:40" ht="27.4" customHeight="1" x14ac:dyDescent="0.45">
      <c r="B129" s="1067"/>
      <c r="C129" s="1068"/>
      <c r="D129" s="1029"/>
      <c r="E129" s="1030"/>
      <c r="F129" s="339" t="s">
        <v>525</v>
      </c>
      <c r="G129" s="111" t="s">
        <v>21</v>
      </c>
      <c r="H129" s="111" t="s">
        <v>21</v>
      </c>
      <c r="I129" s="111"/>
      <c r="J129" s="112" t="s">
        <v>451</v>
      </c>
      <c r="K129" s="246"/>
      <c r="L129" s="795"/>
      <c r="M129" s="507"/>
      <c r="N129" s="246"/>
      <c r="O129" s="255"/>
      <c r="P129" s="246"/>
      <c r="Q129" s="246"/>
      <c r="R129" s="246"/>
      <c r="S129" s="246"/>
      <c r="T129" s="896" t="s">
        <v>452</v>
      </c>
      <c r="U129" s="246"/>
      <c r="V129" s="896" t="s">
        <v>452</v>
      </c>
      <c r="W129" s="896" t="s">
        <v>452</v>
      </c>
      <c r="X129" s="896" t="s">
        <v>453</v>
      </c>
      <c r="Y129" s="896" t="s">
        <v>453</v>
      </c>
      <c r="Z129" s="896" t="s">
        <v>453</v>
      </c>
      <c r="AA129" s="896" t="s">
        <v>452</v>
      </c>
      <c r="AB129" s="896" t="s">
        <v>453</v>
      </c>
      <c r="AC129" s="795" t="s">
        <v>21</v>
      </c>
      <c r="AD129" s="835"/>
      <c r="AE129" s="987" t="s">
        <v>456</v>
      </c>
      <c r="AF129" s="835"/>
      <c r="AG129" s="835">
        <v>1</v>
      </c>
      <c r="AH129" s="913">
        <v>1</v>
      </c>
      <c r="AI129" s="937">
        <v>1</v>
      </c>
      <c r="AJ129" s="937">
        <v>1</v>
      </c>
      <c r="AK129" s="937">
        <v>1</v>
      </c>
      <c r="AL129" s="937"/>
      <c r="AM129" s="937">
        <v>1</v>
      </c>
      <c r="AN129" s="937"/>
    </row>
    <row r="130" spans="2:40" ht="27.4" customHeight="1" x14ac:dyDescent="0.45">
      <c r="B130" s="1067"/>
      <c r="C130" s="1068"/>
      <c r="D130" s="1029"/>
      <c r="E130" s="1030"/>
      <c r="F130" s="97" t="s">
        <v>526</v>
      </c>
      <c r="G130" s="56" t="s">
        <v>69</v>
      </c>
      <c r="H130" s="56" t="s">
        <v>345</v>
      </c>
      <c r="I130" s="56"/>
      <c r="J130" s="98"/>
      <c r="K130" s="246">
        <v>24</v>
      </c>
      <c r="L130" s="795"/>
      <c r="M130" s="507">
        <v>28</v>
      </c>
      <c r="N130" s="246">
        <v>28.5</v>
      </c>
      <c r="O130" s="255"/>
      <c r="P130" s="246">
        <v>28</v>
      </c>
      <c r="Q130" s="246"/>
      <c r="R130" s="246">
        <v>23</v>
      </c>
      <c r="S130" s="246"/>
      <c r="T130" s="246">
        <v>24</v>
      </c>
      <c r="U130" s="246"/>
      <c r="V130" s="246">
        <v>24</v>
      </c>
      <c r="W130" s="246">
        <v>25</v>
      </c>
      <c r="X130" s="246">
        <v>24</v>
      </c>
      <c r="Y130" s="246">
        <v>23</v>
      </c>
      <c r="Z130" s="246">
        <v>23</v>
      </c>
      <c r="AA130" s="246">
        <v>24</v>
      </c>
      <c r="AB130" s="246">
        <v>23</v>
      </c>
      <c r="AC130" s="795">
        <v>24</v>
      </c>
      <c r="AD130" s="835">
        <v>24</v>
      </c>
      <c r="AE130" s="816">
        <v>25</v>
      </c>
      <c r="AF130" s="835">
        <v>28</v>
      </c>
      <c r="AG130" s="835">
        <v>23</v>
      </c>
      <c r="AH130" s="913">
        <v>25</v>
      </c>
      <c r="AI130" s="937">
        <v>28</v>
      </c>
      <c r="AJ130" s="937">
        <v>28</v>
      </c>
      <c r="AK130" s="937">
        <v>28.5</v>
      </c>
      <c r="AL130" s="937"/>
      <c r="AM130" s="937">
        <v>28.5</v>
      </c>
      <c r="AN130" s="937"/>
    </row>
    <row r="131" spans="2:40" ht="27.4" customHeight="1" x14ac:dyDescent="0.45">
      <c r="B131" s="1067"/>
      <c r="C131" s="1068"/>
      <c r="D131" s="1029"/>
      <c r="E131" s="1030"/>
      <c r="F131" s="87" t="s">
        <v>526</v>
      </c>
      <c r="G131" s="83" t="s">
        <v>72</v>
      </c>
      <c r="H131" s="83" t="s">
        <v>73</v>
      </c>
      <c r="I131" s="83"/>
      <c r="J131" s="88"/>
      <c r="K131" s="246">
        <v>448</v>
      </c>
      <c r="L131" s="795"/>
      <c r="M131" s="507">
        <v>428</v>
      </c>
      <c r="N131" s="246">
        <v>426</v>
      </c>
      <c r="O131" s="255"/>
      <c r="P131" s="246">
        <v>430</v>
      </c>
      <c r="Q131" s="246"/>
      <c r="R131" s="246">
        <v>408</v>
      </c>
      <c r="S131" s="246"/>
      <c r="T131" s="246">
        <v>416</v>
      </c>
      <c r="U131" s="246"/>
      <c r="V131" s="246">
        <v>414</v>
      </c>
      <c r="W131" s="246">
        <v>425</v>
      </c>
      <c r="X131" s="246">
        <v>418</v>
      </c>
      <c r="Y131" s="246">
        <v>403</v>
      </c>
      <c r="Z131" s="246">
        <v>403</v>
      </c>
      <c r="AA131" s="246">
        <v>411</v>
      </c>
      <c r="AB131" s="246">
        <v>403</v>
      </c>
      <c r="AC131" s="795">
        <v>415</v>
      </c>
      <c r="AD131" s="835">
        <v>448</v>
      </c>
      <c r="AE131" s="816">
        <v>420</v>
      </c>
      <c r="AF131" s="835">
        <v>428</v>
      </c>
      <c r="AG131" s="835">
        <v>415</v>
      </c>
      <c r="AH131" s="913">
        <v>419</v>
      </c>
      <c r="AI131" s="937">
        <v>407</v>
      </c>
      <c r="AJ131" s="937">
        <v>422</v>
      </c>
      <c r="AK131" s="937">
        <v>430</v>
      </c>
      <c r="AL131" s="937"/>
      <c r="AM131" s="937">
        <v>430</v>
      </c>
      <c r="AN131" s="937"/>
    </row>
    <row r="132" spans="2:40" ht="27.4" customHeight="1" x14ac:dyDescent="0.45">
      <c r="B132" s="1067"/>
      <c r="C132" s="1068"/>
      <c r="D132" s="1029"/>
      <c r="E132" s="1030"/>
      <c r="F132" s="97" t="s">
        <v>527</v>
      </c>
      <c r="G132" s="56" t="s">
        <v>39</v>
      </c>
      <c r="H132" s="56" t="s">
        <v>345</v>
      </c>
      <c r="I132" s="56"/>
      <c r="J132" s="98"/>
      <c r="K132" s="246">
        <v>28</v>
      </c>
      <c r="L132" s="795"/>
      <c r="M132" s="507">
        <v>26</v>
      </c>
      <c r="N132" s="246">
        <v>27</v>
      </c>
      <c r="O132" s="255"/>
      <c r="P132" s="246">
        <v>28</v>
      </c>
      <c r="Q132" s="246"/>
      <c r="R132" s="246">
        <v>26</v>
      </c>
      <c r="S132" s="246"/>
      <c r="T132" s="246">
        <v>26</v>
      </c>
      <c r="U132" s="246"/>
      <c r="V132" s="246">
        <v>26</v>
      </c>
      <c r="W132" s="246">
        <v>27</v>
      </c>
      <c r="X132" s="246">
        <v>26</v>
      </c>
      <c r="Y132" s="246">
        <v>27</v>
      </c>
      <c r="Z132" s="246">
        <v>27</v>
      </c>
      <c r="AA132" s="246">
        <v>27</v>
      </c>
      <c r="AB132" s="246">
        <v>27</v>
      </c>
      <c r="AC132" s="795">
        <v>27</v>
      </c>
      <c r="AD132" s="835">
        <v>28</v>
      </c>
      <c r="AE132" s="816">
        <v>25</v>
      </c>
      <c r="AF132" s="835">
        <v>26</v>
      </c>
      <c r="AG132" s="835">
        <v>25</v>
      </c>
      <c r="AH132" s="913">
        <v>23</v>
      </c>
      <c r="AI132" s="937">
        <v>26</v>
      </c>
      <c r="AJ132" s="937">
        <v>25</v>
      </c>
      <c r="AK132" s="937">
        <v>25</v>
      </c>
      <c r="AL132" s="937"/>
      <c r="AM132" s="937">
        <v>25</v>
      </c>
      <c r="AN132" s="937"/>
    </row>
    <row r="133" spans="2:40" ht="27.4" customHeight="1" x14ac:dyDescent="0.45">
      <c r="B133" s="1067"/>
      <c r="C133" s="1068"/>
      <c r="D133" s="1029"/>
      <c r="E133" s="1030"/>
      <c r="F133" s="87" t="s">
        <v>528</v>
      </c>
      <c r="G133" s="83" t="s">
        <v>77</v>
      </c>
      <c r="H133" s="83" t="s">
        <v>217</v>
      </c>
      <c r="I133" s="83"/>
      <c r="J133" s="88"/>
      <c r="K133" s="246">
        <v>1.77</v>
      </c>
      <c r="L133" s="795"/>
      <c r="M133" s="507">
        <v>1.77</v>
      </c>
      <c r="N133" s="246">
        <v>1.77</v>
      </c>
      <c r="O133" s="255"/>
      <c r="P133" s="246">
        <v>1.77</v>
      </c>
      <c r="Q133" s="246"/>
      <c r="R133" s="246">
        <v>1.77</v>
      </c>
      <c r="S133" s="246"/>
      <c r="T133" s="246">
        <v>1.76</v>
      </c>
      <c r="U133" s="246"/>
      <c r="V133" s="246">
        <v>1.76</v>
      </c>
      <c r="W133" s="246">
        <v>1.76</v>
      </c>
      <c r="X133" s="246">
        <v>1.76</v>
      </c>
      <c r="Y133" s="246">
        <v>1.76</v>
      </c>
      <c r="Z133" s="246">
        <v>1.76</v>
      </c>
      <c r="AA133" s="246">
        <v>1.76</v>
      </c>
      <c r="AB133" s="246">
        <v>1.76</v>
      </c>
      <c r="AC133" s="795">
        <v>1.76</v>
      </c>
      <c r="AD133" s="835">
        <v>1.77</v>
      </c>
      <c r="AE133" s="816">
        <v>1.75</v>
      </c>
      <c r="AF133" s="835">
        <v>1.77</v>
      </c>
      <c r="AG133" s="835">
        <v>1.8</v>
      </c>
      <c r="AH133" s="913">
        <v>1.71</v>
      </c>
      <c r="AI133" s="937">
        <v>1.73</v>
      </c>
      <c r="AJ133" s="937">
        <v>1.74</v>
      </c>
      <c r="AK133" s="937">
        <v>1.74</v>
      </c>
      <c r="AL133" s="937"/>
      <c r="AM133" s="937">
        <v>1.74</v>
      </c>
      <c r="AN133" s="937"/>
    </row>
    <row r="134" spans="2:40" ht="31.5" customHeight="1" x14ac:dyDescent="0.45">
      <c r="B134" s="1067"/>
      <c r="C134" s="1068"/>
      <c r="D134" s="1029"/>
      <c r="E134" s="1030"/>
      <c r="F134" s="97" t="s">
        <v>529</v>
      </c>
      <c r="G134" s="56" t="s">
        <v>21</v>
      </c>
      <c r="H134" s="56" t="s">
        <v>21</v>
      </c>
      <c r="I134" s="8"/>
      <c r="J134" s="205" t="s">
        <v>530</v>
      </c>
      <c r="K134" s="246"/>
      <c r="L134" s="795"/>
      <c r="M134" s="507"/>
      <c r="N134" s="246"/>
      <c r="O134" s="255"/>
      <c r="P134" s="246"/>
      <c r="Q134" s="246"/>
      <c r="R134" s="246"/>
      <c r="S134" s="246"/>
      <c r="T134" s="896" t="s">
        <v>370</v>
      </c>
      <c r="U134" s="246"/>
      <c r="V134" s="896" t="s">
        <v>370</v>
      </c>
      <c r="W134" s="896" t="s">
        <v>200</v>
      </c>
      <c r="X134" s="896" t="s">
        <v>200</v>
      </c>
      <c r="Y134" s="896" t="s">
        <v>200</v>
      </c>
      <c r="Z134" s="246"/>
      <c r="AA134" s="896" t="s">
        <v>200</v>
      </c>
      <c r="AB134" s="246"/>
      <c r="AC134" s="988" t="s">
        <v>370</v>
      </c>
      <c r="AD134" s="835"/>
      <c r="AE134" s="816">
        <v>0</v>
      </c>
      <c r="AF134" s="835">
        <v>0</v>
      </c>
      <c r="AG134" s="835">
        <v>0</v>
      </c>
      <c r="AH134" s="913">
        <v>0</v>
      </c>
      <c r="AI134" s="937">
        <v>0</v>
      </c>
      <c r="AJ134" s="937">
        <v>0</v>
      </c>
      <c r="AK134" s="937">
        <v>0</v>
      </c>
      <c r="AL134" s="937"/>
      <c r="AM134" s="937">
        <v>0</v>
      </c>
      <c r="AN134" s="937"/>
    </row>
    <row r="135" spans="2:40" ht="38.25" x14ac:dyDescent="0.45">
      <c r="B135" s="1067"/>
      <c r="C135" s="1068"/>
      <c r="D135" s="1029"/>
      <c r="E135" s="1030"/>
      <c r="F135" s="87" t="s">
        <v>531</v>
      </c>
      <c r="G135" s="83" t="s">
        <v>21</v>
      </c>
      <c r="H135" s="83" t="s">
        <v>21</v>
      </c>
      <c r="I135" s="83"/>
      <c r="J135" s="88" t="s">
        <v>532</v>
      </c>
      <c r="K135" s="767" t="s">
        <v>151</v>
      </c>
      <c r="L135" s="767"/>
      <c r="M135" s="507" t="s">
        <v>151</v>
      </c>
      <c r="N135" s="767" t="s">
        <v>502</v>
      </c>
      <c r="O135" s="255"/>
      <c r="P135" s="767" t="s">
        <v>151</v>
      </c>
      <c r="Q135" s="767"/>
      <c r="R135" s="767" t="s">
        <v>151</v>
      </c>
      <c r="S135" s="767"/>
      <c r="T135" s="767" t="s">
        <v>151</v>
      </c>
      <c r="U135" s="767"/>
      <c r="V135" s="767" t="s">
        <v>151</v>
      </c>
      <c r="W135" s="767" t="s">
        <v>151</v>
      </c>
      <c r="X135" s="767" t="s">
        <v>151</v>
      </c>
      <c r="Y135" s="767" t="s">
        <v>151</v>
      </c>
      <c r="Z135" s="767" t="s">
        <v>151</v>
      </c>
      <c r="AA135" s="767" t="s">
        <v>151</v>
      </c>
      <c r="AB135" s="767" t="s">
        <v>151</v>
      </c>
      <c r="AC135" s="812" t="s">
        <v>151</v>
      </c>
      <c r="AD135" s="849" t="s">
        <v>151</v>
      </c>
      <c r="AE135" s="834" t="s">
        <v>151</v>
      </c>
      <c r="AF135" s="849" t="s">
        <v>151</v>
      </c>
      <c r="AG135" s="849" t="s">
        <v>151</v>
      </c>
      <c r="AH135" s="929" t="s">
        <v>151</v>
      </c>
      <c r="AI135" s="953" t="s">
        <v>151</v>
      </c>
      <c r="AJ135" s="953" t="s">
        <v>151</v>
      </c>
      <c r="AK135" s="953" t="s">
        <v>151</v>
      </c>
      <c r="AL135" s="953"/>
      <c r="AM135" s="953" t="s">
        <v>151</v>
      </c>
      <c r="AN135" s="953"/>
    </row>
    <row r="136" spans="2:40" ht="27.4" customHeight="1" x14ac:dyDescent="0.45">
      <c r="B136" s="1067"/>
      <c r="C136" s="1068"/>
      <c r="D136" s="1029"/>
      <c r="E136" s="1030"/>
      <c r="F136" s="87" t="s">
        <v>533</v>
      </c>
      <c r="G136" s="83" t="s">
        <v>489</v>
      </c>
      <c r="H136" s="83" t="s">
        <v>73</v>
      </c>
      <c r="I136" s="83"/>
      <c r="J136" s="88" t="s">
        <v>534</v>
      </c>
      <c r="K136" s="246">
        <v>5.88</v>
      </c>
      <c r="L136" s="795"/>
      <c r="M136" s="507">
        <v>5.83</v>
      </c>
      <c r="N136" s="246" t="s">
        <v>535</v>
      </c>
      <c r="O136" s="255"/>
      <c r="P136" s="246">
        <v>5.68</v>
      </c>
      <c r="Q136" s="246"/>
      <c r="R136" s="246">
        <v>5.93</v>
      </c>
      <c r="S136" s="246"/>
      <c r="T136" s="246">
        <v>5.83</v>
      </c>
      <c r="U136" s="246"/>
      <c r="V136" s="246">
        <v>5.8</v>
      </c>
      <c r="W136" s="246">
        <v>5.7</v>
      </c>
      <c r="X136" s="246">
        <v>5.8</v>
      </c>
      <c r="Y136" s="246">
        <v>5.94</v>
      </c>
      <c r="Z136" s="246">
        <v>5.94</v>
      </c>
      <c r="AA136" s="246">
        <v>5.84</v>
      </c>
      <c r="AB136" s="246">
        <v>5.94</v>
      </c>
      <c r="AC136" s="795">
        <v>5.78</v>
      </c>
      <c r="AD136" s="835">
        <v>5.88</v>
      </c>
      <c r="AE136" s="816">
        <v>5.72</v>
      </c>
      <c r="AF136" s="835">
        <v>5.83</v>
      </c>
      <c r="AG136" s="835">
        <v>5.9</v>
      </c>
      <c r="AH136" s="913">
        <v>5.85</v>
      </c>
      <c r="AI136" s="937">
        <v>6</v>
      </c>
      <c r="AJ136" s="937">
        <v>5.78</v>
      </c>
      <c r="AK136" s="937">
        <v>5.69</v>
      </c>
      <c r="AL136" s="937"/>
      <c r="AM136" s="937">
        <v>5.69</v>
      </c>
      <c r="AN136" s="937"/>
    </row>
    <row r="137" spans="2:40" ht="25.5" x14ac:dyDescent="0.45">
      <c r="B137" s="1067"/>
      <c r="C137" s="1068"/>
      <c r="D137" s="1029"/>
      <c r="E137" s="1030"/>
      <c r="F137" s="97" t="s">
        <v>536</v>
      </c>
      <c r="G137" s="56" t="s">
        <v>137</v>
      </c>
      <c r="H137" s="56" t="s">
        <v>345</v>
      </c>
      <c r="I137" s="56"/>
      <c r="J137" s="98"/>
      <c r="K137" s="246">
        <v>6</v>
      </c>
      <c r="L137" s="795"/>
      <c r="M137" s="507">
        <v>6</v>
      </c>
      <c r="N137" s="246">
        <v>5.9</v>
      </c>
      <c r="O137" s="255"/>
      <c r="P137" s="246">
        <v>5.8</v>
      </c>
      <c r="Q137" s="246"/>
      <c r="R137" s="246">
        <v>6</v>
      </c>
      <c r="S137" s="246"/>
      <c r="T137" s="246">
        <v>5.9</v>
      </c>
      <c r="U137" s="246"/>
      <c r="V137" s="246">
        <v>5.89</v>
      </c>
      <c r="W137" s="246">
        <v>5.7</v>
      </c>
      <c r="X137" s="246">
        <v>5.87</v>
      </c>
      <c r="Y137" s="246">
        <v>5.94</v>
      </c>
      <c r="Z137" s="246">
        <v>5.94</v>
      </c>
      <c r="AA137" s="246">
        <v>5.84</v>
      </c>
      <c r="AB137" s="246">
        <v>5.94</v>
      </c>
      <c r="AC137" s="795">
        <v>5.78</v>
      </c>
      <c r="AD137" s="835">
        <v>6</v>
      </c>
      <c r="AE137" s="816">
        <v>5.8</v>
      </c>
      <c r="AF137" s="835">
        <v>6</v>
      </c>
      <c r="AG137" s="835">
        <v>6</v>
      </c>
      <c r="AH137" s="913">
        <v>6</v>
      </c>
      <c r="AI137" s="937">
        <v>5.94</v>
      </c>
      <c r="AJ137" s="937">
        <v>5.8</v>
      </c>
      <c r="AK137" s="937">
        <v>5.8</v>
      </c>
      <c r="AL137" s="937"/>
      <c r="AM137" s="937">
        <v>5.8</v>
      </c>
      <c r="AN137" s="937"/>
    </row>
    <row r="138" spans="2:40" ht="17.25" x14ac:dyDescent="0.45">
      <c r="B138" s="1067"/>
      <c r="C138" s="1068"/>
      <c r="D138" s="1029"/>
      <c r="E138" s="1030"/>
      <c r="F138" s="87" t="s">
        <v>537</v>
      </c>
      <c r="G138" s="83" t="s">
        <v>137</v>
      </c>
      <c r="H138" s="83" t="s">
        <v>345</v>
      </c>
      <c r="I138" s="83"/>
      <c r="J138" s="88"/>
      <c r="K138" s="246">
        <v>7</v>
      </c>
      <c r="L138" s="795"/>
      <c r="M138" s="507">
        <v>7</v>
      </c>
      <c r="N138" s="246">
        <v>7</v>
      </c>
      <c r="O138" s="255"/>
      <c r="P138" s="246">
        <v>7</v>
      </c>
      <c r="Q138" s="246"/>
      <c r="R138" s="246">
        <v>7</v>
      </c>
      <c r="S138" s="246"/>
      <c r="T138" s="246">
        <v>7</v>
      </c>
      <c r="U138" s="246"/>
      <c r="V138" s="246">
        <v>7</v>
      </c>
      <c r="W138" s="246">
        <v>7</v>
      </c>
      <c r="X138" s="246">
        <v>7</v>
      </c>
      <c r="Y138" s="246">
        <v>6</v>
      </c>
      <c r="Z138" s="246">
        <v>6</v>
      </c>
      <c r="AA138" s="246">
        <v>7</v>
      </c>
      <c r="AB138" s="246">
        <v>6</v>
      </c>
      <c r="AC138" s="795">
        <v>7.4</v>
      </c>
      <c r="AD138" s="835">
        <v>7</v>
      </c>
      <c r="AE138" s="816">
        <v>7.2</v>
      </c>
      <c r="AF138" s="835">
        <v>7</v>
      </c>
      <c r="AG138" s="835">
        <v>7.1</v>
      </c>
      <c r="AH138" s="913">
        <v>7.3</v>
      </c>
      <c r="AI138" s="937">
        <v>7</v>
      </c>
      <c r="AJ138" s="937">
        <v>7.2</v>
      </c>
      <c r="AK138" s="937">
        <v>7.6</v>
      </c>
      <c r="AL138" s="937"/>
      <c r="AM138" s="937">
        <v>7.6</v>
      </c>
      <c r="AN138" s="937"/>
    </row>
    <row r="139" spans="2:40" ht="27.4" customHeight="1" x14ac:dyDescent="0.45">
      <c r="B139" s="1067"/>
      <c r="C139" s="1068"/>
      <c r="D139" s="1031"/>
      <c r="E139" s="1032"/>
      <c r="F139" s="348" t="s">
        <v>538</v>
      </c>
      <c r="G139" s="349" t="s">
        <v>72</v>
      </c>
      <c r="H139" s="349" t="s">
        <v>345</v>
      </c>
      <c r="I139" s="349"/>
      <c r="J139" s="350"/>
      <c r="K139" s="352">
        <v>565</v>
      </c>
      <c r="L139" s="800"/>
      <c r="M139" s="512">
        <v>565</v>
      </c>
      <c r="N139" s="352">
        <v>545</v>
      </c>
      <c r="O139" s="362"/>
      <c r="P139" s="352">
        <v>540</v>
      </c>
      <c r="Q139" s="352"/>
      <c r="R139" s="352">
        <v>550</v>
      </c>
      <c r="S139" s="352"/>
      <c r="T139" s="352">
        <v>550</v>
      </c>
      <c r="U139" s="352"/>
      <c r="V139" s="352">
        <v>552</v>
      </c>
      <c r="W139" s="352">
        <v>545</v>
      </c>
      <c r="X139" s="352">
        <v>550</v>
      </c>
      <c r="Y139" s="352">
        <v>600</v>
      </c>
      <c r="Z139" s="352">
        <v>600</v>
      </c>
      <c r="AA139" s="352">
        <v>580</v>
      </c>
      <c r="AB139" s="352">
        <v>600</v>
      </c>
      <c r="AC139" s="800">
        <v>560</v>
      </c>
      <c r="AD139" s="839">
        <v>565</v>
      </c>
      <c r="AE139" s="822">
        <v>555</v>
      </c>
      <c r="AF139" s="839">
        <v>565</v>
      </c>
      <c r="AG139" s="839">
        <v>600</v>
      </c>
      <c r="AH139" s="919">
        <v>590</v>
      </c>
      <c r="AI139" s="943">
        <v>550</v>
      </c>
      <c r="AJ139" s="943">
        <v>545</v>
      </c>
      <c r="AK139" s="943">
        <v>535</v>
      </c>
      <c r="AL139" s="943"/>
      <c r="AM139" s="943">
        <v>535</v>
      </c>
      <c r="AN139" s="943"/>
    </row>
    <row r="140" spans="2:40" ht="27.4" customHeight="1" x14ac:dyDescent="0.45">
      <c r="B140" s="1067"/>
      <c r="C140" s="1068"/>
      <c r="D140" s="1019" t="s">
        <v>539</v>
      </c>
      <c r="E140" s="1020"/>
      <c r="F140" s="103" t="s">
        <v>523</v>
      </c>
      <c r="G140" s="61" t="s">
        <v>21</v>
      </c>
      <c r="H140" s="61" t="s">
        <v>21</v>
      </c>
      <c r="I140" s="61"/>
      <c r="J140" s="104" t="s">
        <v>451</v>
      </c>
      <c r="K140" s="260">
        <v>1</v>
      </c>
      <c r="L140" s="798"/>
      <c r="M140" s="506">
        <v>2</v>
      </c>
      <c r="N140" s="260">
        <v>2</v>
      </c>
      <c r="O140" s="305"/>
      <c r="P140" s="260">
        <v>1</v>
      </c>
      <c r="Q140" s="260"/>
      <c r="R140" s="260">
        <v>1</v>
      </c>
      <c r="S140" s="260"/>
      <c r="T140" s="260">
        <v>2</v>
      </c>
      <c r="U140" s="260"/>
      <c r="V140" s="260">
        <v>2</v>
      </c>
      <c r="W140" s="260">
        <v>1</v>
      </c>
      <c r="X140" s="260">
        <v>1</v>
      </c>
      <c r="Y140" s="260">
        <v>1</v>
      </c>
      <c r="Z140" s="260">
        <v>1</v>
      </c>
      <c r="AA140" s="260">
        <v>1</v>
      </c>
      <c r="AB140" s="260">
        <v>1</v>
      </c>
      <c r="AC140" s="798">
        <v>2</v>
      </c>
      <c r="AD140" s="836">
        <v>1</v>
      </c>
      <c r="AE140" s="818">
        <v>2</v>
      </c>
      <c r="AF140" s="836">
        <v>1</v>
      </c>
      <c r="AG140" s="836">
        <v>2</v>
      </c>
      <c r="AH140" s="917">
        <v>2</v>
      </c>
      <c r="AI140" s="941">
        <v>1</v>
      </c>
      <c r="AJ140" s="941">
        <v>1</v>
      </c>
      <c r="AK140" s="941">
        <v>2</v>
      </c>
      <c r="AL140" s="941"/>
      <c r="AM140" s="941">
        <v>2</v>
      </c>
      <c r="AN140" s="941"/>
    </row>
    <row r="141" spans="2:40" ht="27.4" customHeight="1" x14ac:dyDescent="0.45">
      <c r="B141" s="1067"/>
      <c r="C141" s="1068"/>
      <c r="D141" s="1019"/>
      <c r="E141" s="1020"/>
      <c r="F141" s="103" t="s">
        <v>525</v>
      </c>
      <c r="G141" s="61"/>
      <c r="H141" s="61"/>
      <c r="I141" s="61"/>
      <c r="J141" s="104"/>
      <c r="K141" s="246">
        <v>2</v>
      </c>
      <c r="L141" s="795"/>
      <c r="M141" s="507">
        <v>2</v>
      </c>
      <c r="N141" s="246">
        <v>2</v>
      </c>
      <c r="O141" s="775"/>
      <c r="P141" s="246">
        <v>1</v>
      </c>
      <c r="Q141" s="246"/>
      <c r="R141" s="246">
        <v>1</v>
      </c>
      <c r="S141" s="246"/>
      <c r="T141" s="246">
        <v>2</v>
      </c>
      <c r="U141" s="246"/>
      <c r="V141" s="246">
        <v>2</v>
      </c>
      <c r="W141" s="246">
        <v>1</v>
      </c>
      <c r="X141" s="246">
        <v>1</v>
      </c>
      <c r="Y141" s="246">
        <v>1</v>
      </c>
      <c r="Z141" s="246">
        <v>1</v>
      </c>
      <c r="AA141" s="246">
        <v>1</v>
      </c>
      <c r="AB141" s="246">
        <v>1</v>
      </c>
      <c r="AC141" s="795">
        <v>2</v>
      </c>
      <c r="AD141" s="835">
        <v>2</v>
      </c>
      <c r="AE141" s="816">
        <v>1</v>
      </c>
      <c r="AF141" s="835">
        <v>1</v>
      </c>
      <c r="AG141" s="835">
        <v>2</v>
      </c>
      <c r="AH141" s="913">
        <v>2</v>
      </c>
      <c r="AI141" s="937" t="s">
        <v>21</v>
      </c>
      <c r="AJ141" s="937">
        <v>1</v>
      </c>
      <c r="AK141" s="937">
        <v>2</v>
      </c>
      <c r="AL141" s="937"/>
      <c r="AM141" s="937">
        <v>2</v>
      </c>
      <c r="AN141" s="937"/>
    </row>
    <row r="142" spans="2:40" ht="27.4" customHeight="1" x14ac:dyDescent="0.45">
      <c r="B142" s="1067"/>
      <c r="C142" s="1068"/>
      <c r="D142" s="1019"/>
      <c r="E142" s="1020"/>
      <c r="F142" s="87" t="s">
        <v>526</v>
      </c>
      <c r="G142" s="83" t="s">
        <v>72</v>
      </c>
      <c r="H142" s="83" t="s">
        <v>345</v>
      </c>
      <c r="I142" s="83"/>
      <c r="J142" s="88"/>
      <c r="K142" s="246">
        <v>505</v>
      </c>
      <c r="L142" s="795"/>
      <c r="M142" s="507">
        <v>555</v>
      </c>
      <c r="N142" s="246">
        <v>545</v>
      </c>
      <c r="O142" s="255"/>
      <c r="P142" s="246">
        <v>540</v>
      </c>
      <c r="Q142" s="246"/>
      <c r="R142" s="246">
        <v>520</v>
      </c>
      <c r="S142" s="246"/>
      <c r="T142" s="246">
        <v>510</v>
      </c>
      <c r="U142" s="246"/>
      <c r="V142" s="246">
        <v>513</v>
      </c>
      <c r="W142" s="246">
        <v>519</v>
      </c>
      <c r="X142" s="246">
        <v>512</v>
      </c>
      <c r="Y142" s="246">
        <v>545</v>
      </c>
      <c r="Z142" s="246">
        <v>545</v>
      </c>
      <c r="AA142" s="246">
        <v>520</v>
      </c>
      <c r="AB142" s="246">
        <v>545</v>
      </c>
      <c r="AC142" s="795">
        <v>520</v>
      </c>
      <c r="AD142" s="835">
        <v>505</v>
      </c>
      <c r="AE142" s="816">
        <v>525</v>
      </c>
      <c r="AF142" s="835">
        <v>555</v>
      </c>
      <c r="AG142" s="835">
        <v>520</v>
      </c>
      <c r="AH142" s="913">
        <v>520</v>
      </c>
      <c r="AI142" s="937">
        <v>554</v>
      </c>
      <c r="AJ142" s="937">
        <v>525</v>
      </c>
      <c r="AK142" s="937">
        <v>530</v>
      </c>
      <c r="AL142" s="937"/>
      <c r="AM142" s="937">
        <v>530</v>
      </c>
      <c r="AN142" s="937"/>
    </row>
    <row r="143" spans="2:40" ht="27.4" customHeight="1" x14ac:dyDescent="0.45">
      <c r="B143" s="1067"/>
      <c r="C143" s="1068"/>
      <c r="D143" s="1019"/>
      <c r="E143" s="1020"/>
      <c r="F143" s="87" t="s">
        <v>526</v>
      </c>
      <c r="G143" s="83" t="s">
        <v>72</v>
      </c>
      <c r="H143" s="83" t="s">
        <v>73</v>
      </c>
      <c r="I143" s="83"/>
      <c r="J143" s="88"/>
      <c r="K143" s="246">
        <v>515</v>
      </c>
      <c r="L143" s="795"/>
      <c r="M143" s="507">
        <v>564</v>
      </c>
      <c r="N143" s="246">
        <v>554</v>
      </c>
      <c r="O143" s="255"/>
      <c r="P143" s="246">
        <v>549</v>
      </c>
      <c r="Q143" s="246"/>
      <c r="R143" s="246">
        <v>539</v>
      </c>
      <c r="S143" s="246"/>
      <c r="T143" s="246">
        <v>515</v>
      </c>
      <c r="U143" s="246"/>
      <c r="V143" s="246">
        <v>520</v>
      </c>
      <c r="W143" s="246">
        <v>510</v>
      </c>
      <c r="X143" s="246">
        <v>518</v>
      </c>
      <c r="Y143" s="246">
        <v>554</v>
      </c>
      <c r="Z143" s="246">
        <v>554</v>
      </c>
      <c r="AA143" s="246">
        <v>534</v>
      </c>
      <c r="AB143" s="246">
        <v>554</v>
      </c>
      <c r="AC143" s="795">
        <v>529</v>
      </c>
      <c r="AD143" s="835">
        <v>515</v>
      </c>
      <c r="AE143" s="816">
        <v>534</v>
      </c>
      <c r="AF143" s="835">
        <v>564</v>
      </c>
      <c r="AG143" s="835">
        <v>520</v>
      </c>
      <c r="AH143" s="913">
        <v>527</v>
      </c>
      <c r="AI143" s="937">
        <v>530</v>
      </c>
      <c r="AJ143" s="937">
        <v>529</v>
      </c>
      <c r="AK143" s="937">
        <v>534</v>
      </c>
      <c r="AL143" s="937"/>
      <c r="AM143" s="937">
        <v>534</v>
      </c>
      <c r="AN143" s="937"/>
    </row>
    <row r="144" spans="2:40" ht="27.4" customHeight="1" x14ac:dyDescent="0.45">
      <c r="B144" s="1067"/>
      <c r="C144" s="1068"/>
      <c r="D144" s="1019"/>
      <c r="E144" s="1020"/>
      <c r="F144" s="97" t="s">
        <v>527</v>
      </c>
      <c r="G144" s="56" t="s">
        <v>39</v>
      </c>
      <c r="H144" s="56" t="s">
        <v>345</v>
      </c>
      <c r="I144" s="56"/>
      <c r="J144" s="98"/>
      <c r="K144" s="246">
        <v>35.200000000000003</v>
      </c>
      <c r="L144" s="795"/>
      <c r="M144" s="507">
        <v>35</v>
      </c>
      <c r="N144" s="246">
        <v>34.4</v>
      </c>
      <c r="O144" s="255"/>
      <c r="P144" s="246">
        <v>34.4</v>
      </c>
      <c r="Q144" s="246"/>
      <c r="R144" s="246">
        <v>34</v>
      </c>
      <c r="S144" s="246"/>
      <c r="T144" s="246">
        <v>33.6</v>
      </c>
      <c r="U144" s="246"/>
      <c r="V144" s="246">
        <v>33.200000000000003</v>
      </c>
      <c r="W144" s="246">
        <v>33.799999999999997</v>
      </c>
      <c r="X144" s="246">
        <v>33.1</v>
      </c>
      <c r="Y144" s="246">
        <v>33.700000000000003</v>
      </c>
      <c r="Z144" s="246">
        <v>33.700000000000003</v>
      </c>
      <c r="AA144" s="246">
        <v>33.9</v>
      </c>
      <c r="AB144" s="246">
        <v>33.700000000000003</v>
      </c>
      <c r="AC144" s="795">
        <v>33.700000000000003</v>
      </c>
      <c r="AD144" s="835">
        <v>35.200000000000003</v>
      </c>
      <c r="AE144" s="816">
        <v>33.5</v>
      </c>
      <c r="AF144" s="835">
        <v>35</v>
      </c>
      <c r="AG144" s="835">
        <v>35.9</v>
      </c>
      <c r="AH144" s="913">
        <v>30.3</v>
      </c>
      <c r="AI144" s="937">
        <v>32.5</v>
      </c>
      <c r="AJ144" s="937">
        <v>34</v>
      </c>
      <c r="AK144" s="937">
        <v>33.799999999999997</v>
      </c>
      <c r="AL144" s="937"/>
      <c r="AM144" s="937">
        <v>33.799999999999997</v>
      </c>
      <c r="AN144" s="937"/>
    </row>
    <row r="145" spans="2:40" ht="38.25" x14ac:dyDescent="0.45">
      <c r="B145" s="1067"/>
      <c r="C145" s="1068"/>
      <c r="D145" s="1019"/>
      <c r="E145" s="1020"/>
      <c r="F145" s="97" t="s">
        <v>531</v>
      </c>
      <c r="G145" s="56" t="s">
        <v>21</v>
      </c>
      <c r="H145" s="56" t="s">
        <v>21</v>
      </c>
      <c r="I145" s="56"/>
      <c r="J145" s="98" t="s">
        <v>532</v>
      </c>
      <c r="K145" s="767" t="s">
        <v>151</v>
      </c>
      <c r="L145" s="767"/>
      <c r="M145" s="507" t="s">
        <v>151</v>
      </c>
      <c r="N145" s="767" t="s">
        <v>502</v>
      </c>
      <c r="O145" s="255"/>
      <c r="P145" s="767" t="s">
        <v>151</v>
      </c>
      <c r="Q145" s="767"/>
      <c r="R145" s="767" t="s">
        <v>151</v>
      </c>
      <c r="S145" s="767"/>
      <c r="T145" s="767" t="s">
        <v>151</v>
      </c>
      <c r="U145" s="767"/>
      <c r="V145" s="767" t="s">
        <v>151</v>
      </c>
      <c r="W145" s="767" t="s">
        <v>151</v>
      </c>
      <c r="X145" s="767" t="s">
        <v>151</v>
      </c>
      <c r="Y145" s="767" t="s">
        <v>151</v>
      </c>
      <c r="Z145" s="767" t="s">
        <v>151</v>
      </c>
      <c r="AA145" s="767" t="s">
        <v>151</v>
      </c>
      <c r="AB145" s="767" t="s">
        <v>151</v>
      </c>
      <c r="AC145" s="812" t="s">
        <v>151</v>
      </c>
      <c r="AD145" s="849" t="s">
        <v>151</v>
      </c>
      <c r="AE145" s="834" t="s">
        <v>151</v>
      </c>
      <c r="AF145" s="849" t="s">
        <v>151</v>
      </c>
      <c r="AG145" s="849" t="s">
        <v>151</v>
      </c>
      <c r="AH145" s="929" t="s">
        <v>151</v>
      </c>
      <c r="AI145" s="953" t="s">
        <v>151</v>
      </c>
      <c r="AJ145" s="953" t="s">
        <v>151</v>
      </c>
      <c r="AK145" s="953" t="s">
        <v>151</v>
      </c>
      <c r="AL145" s="953"/>
      <c r="AM145" s="953" t="s">
        <v>151</v>
      </c>
      <c r="AN145" s="953"/>
    </row>
    <row r="146" spans="2:40" ht="27.4" customHeight="1" x14ac:dyDescent="0.45">
      <c r="B146" s="1067"/>
      <c r="C146" s="1068"/>
      <c r="D146" s="1019"/>
      <c r="E146" s="1020"/>
      <c r="F146" s="87" t="s">
        <v>540</v>
      </c>
      <c r="G146" s="83" t="s">
        <v>137</v>
      </c>
      <c r="H146" s="83" t="s">
        <v>345</v>
      </c>
      <c r="I146" s="83"/>
      <c r="J146" s="88"/>
      <c r="K146" s="246">
        <v>6</v>
      </c>
      <c r="L146" s="795"/>
      <c r="M146" s="507">
        <v>6</v>
      </c>
      <c r="N146" s="246">
        <v>6.1</v>
      </c>
      <c r="O146" s="255"/>
      <c r="P146" s="246">
        <v>6</v>
      </c>
      <c r="Q146" s="246"/>
      <c r="R146" s="246">
        <v>6</v>
      </c>
      <c r="S146" s="246"/>
      <c r="T146" s="246">
        <v>6.2</v>
      </c>
      <c r="U146" s="246"/>
      <c r="V146" s="246">
        <v>6.2</v>
      </c>
      <c r="W146" s="246">
        <v>6.01</v>
      </c>
      <c r="X146" s="246">
        <v>6.02</v>
      </c>
      <c r="Y146" s="246">
        <v>6.2</v>
      </c>
      <c r="Z146" s="246">
        <v>6.2</v>
      </c>
      <c r="AA146" s="246">
        <v>6.2</v>
      </c>
      <c r="AB146" s="246">
        <v>6.2</v>
      </c>
      <c r="AC146" s="795">
        <v>6.25</v>
      </c>
      <c r="AD146" s="835">
        <v>6</v>
      </c>
      <c r="AE146" s="816">
        <v>6.1</v>
      </c>
      <c r="AF146" s="835">
        <v>6</v>
      </c>
      <c r="AG146" s="835">
        <v>6.2</v>
      </c>
      <c r="AH146" s="913">
        <v>0</v>
      </c>
      <c r="AI146" s="937">
        <v>6</v>
      </c>
      <c r="AJ146" s="937">
        <v>6.2</v>
      </c>
      <c r="AK146" s="937">
        <v>7.4</v>
      </c>
      <c r="AL146" s="937"/>
      <c r="AM146" s="937">
        <v>7.4</v>
      </c>
      <c r="AN146" s="937"/>
    </row>
    <row r="147" spans="2:40" ht="27.4" customHeight="1" x14ac:dyDescent="0.45">
      <c r="B147" s="1067"/>
      <c r="C147" s="1068"/>
      <c r="D147" s="1019"/>
      <c r="E147" s="1020"/>
      <c r="F147" s="97" t="s">
        <v>540</v>
      </c>
      <c r="G147" s="56" t="s">
        <v>137</v>
      </c>
      <c r="H147" s="56" t="s">
        <v>73</v>
      </c>
      <c r="I147" s="56"/>
      <c r="J147" s="98"/>
      <c r="K147" s="246">
        <v>6.11</v>
      </c>
      <c r="L147" s="795"/>
      <c r="M147" s="507">
        <v>6.03</v>
      </c>
      <c r="N147" s="246">
        <v>6</v>
      </c>
      <c r="O147" s="255"/>
      <c r="P147" s="246">
        <v>6</v>
      </c>
      <c r="Q147" s="246"/>
      <c r="R147" s="246">
        <v>6.04</v>
      </c>
      <c r="S147" s="246"/>
      <c r="T147" s="246">
        <v>6.29</v>
      </c>
      <c r="U147" s="246"/>
      <c r="V147" s="246">
        <v>6.2</v>
      </c>
      <c r="W147" s="246">
        <v>6</v>
      </c>
      <c r="X147" s="246">
        <v>6.1</v>
      </c>
      <c r="Y147" s="246">
        <v>6.14</v>
      </c>
      <c r="Z147" s="246">
        <v>6.14</v>
      </c>
      <c r="AA147" s="246">
        <v>6.28</v>
      </c>
      <c r="AB147" s="246">
        <v>6.14</v>
      </c>
      <c r="AC147" s="795">
        <v>6.29</v>
      </c>
      <c r="AD147" s="835">
        <v>6.11</v>
      </c>
      <c r="AE147" s="816">
        <v>6.08</v>
      </c>
      <c r="AF147" s="835">
        <v>6.03</v>
      </c>
      <c r="AG147" s="835">
        <v>6.2</v>
      </c>
      <c r="AH147" s="913">
        <v>0</v>
      </c>
      <c r="AI147" s="937">
        <v>7</v>
      </c>
      <c r="AJ147" s="937">
        <v>6.26</v>
      </c>
      <c r="AK147" s="937">
        <v>6.03</v>
      </c>
      <c r="AL147" s="937"/>
      <c r="AM147" s="937">
        <v>6.03</v>
      </c>
      <c r="AN147" s="937"/>
    </row>
    <row r="148" spans="2:40" ht="27.4" customHeight="1" x14ac:dyDescent="0.45">
      <c r="B148" s="1067"/>
      <c r="C148" s="1068"/>
      <c r="D148" s="1019"/>
      <c r="E148" s="1020"/>
      <c r="F148" s="87" t="s">
        <v>538</v>
      </c>
      <c r="G148" s="83" t="s">
        <v>72</v>
      </c>
      <c r="H148" s="83" t="s">
        <v>345</v>
      </c>
      <c r="I148" s="83"/>
      <c r="J148" s="88"/>
      <c r="K148" s="246">
        <v>365</v>
      </c>
      <c r="L148" s="795"/>
      <c r="M148" s="507">
        <v>265</v>
      </c>
      <c r="N148" s="246">
        <v>310</v>
      </c>
      <c r="O148" s="255"/>
      <c r="P148" s="246">
        <v>305</v>
      </c>
      <c r="Q148" s="246"/>
      <c r="R148" s="246">
        <v>310</v>
      </c>
      <c r="S148" s="246"/>
      <c r="T148" s="246">
        <v>373</v>
      </c>
      <c r="U148" s="246"/>
      <c r="V148" s="246">
        <v>375</v>
      </c>
      <c r="W148" s="246">
        <v>358</v>
      </c>
      <c r="X148" s="246">
        <v>352</v>
      </c>
      <c r="Y148" s="246">
        <v>299</v>
      </c>
      <c r="Z148" s="246">
        <v>299</v>
      </c>
      <c r="AA148" s="246">
        <v>310</v>
      </c>
      <c r="AB148" s="246">
        <v>299</v>
      </c>
      <c r="AC148" s="795">
        <v>335</v>
      </c>
      <c r="AD148" s="835">
        <v>365</v>
      </c>
      <c r="AE148" s="816">
        <v>315</v>
      </c>
      <c r="AF148" s="835">
        <v>265</v>
      </c>
      <c r="AG148" s="835">
        <v>360</v>
      </c>
      <c r="AH148" s="913">
        <v>350</v>
      </c>
      <c r="AI148" s="937">
        <v>312</v>
      </c>
      <c r="AJ148" s="937">
        <v>315</v>
      </c>
      <c r="AK148" s="937">
        <v>310</v>
      </c>
      <c r="AL148" s="937"/>
      <c r="AM148" s="937">
        <v>310</v>
      </c>
      <c r="AN148" s="937"/>
    </row>
    <row r="149" spans="2:40" ht="27.4" customHeight="1" x14ac:dyDescent="0.45">
      <c r="B149" s="1067"/>
      <c r="C149" s="1068"/>
      <c r="D149" s="1019"/>
      <c r="E149" s="1020"/>
      <c r="F149" s="97" t="s">
        <v>538</v>
      </c>
      <c r="G149" s="56" t="s">
        <v>72</v>
      </c>
      <c r="H149" s="56" t="s">
        <v>73</v>
      </c>
      <c r="I149" s="56"/>
      <c r="J149" s="98"/>
      <c r="K149" s="246">
        <v>378</v>
      </c>
      <c r="L149" s="795"/>
      <c r="M149" s="507">
        <v>272</v>
      </c>
      <c r="N149" s="246">
        <v>297</v>
      </c>
      <c r="O149" s="255"/>
      <c r="P149" s="246">
        <v>307</v>
      </c>
      <c r="Q149" s="246"/>
      <c r="R149" s="246">
        <v>317</v>
      </c>
      <c r="S149" s="246"/>
      <c r="T149" s="246">
        <v>350</v>
      </c>
      <c r="U149" s="246"/>
      <c r="V149" s="246">
        <v>348</v>
      </c>
      <c r="W149" s="246">
        <v>360</v>
      </c>
      <c r="X149" s="246">
        <v>358</v>
      </c>
      <c r="Y149" s="246">
        <v>302</v>
      </c>
      <c r="Z149" s="246">
        <v>302</v>
      </c>
      <c r="AA149" s="246">
        <v>322</v>
      </c>
      <c r="AB149" s="246">
        <v>302</v>
      </c>
      <c r="AC149" s="795">
        <v>342</v>
      </c>
      <c r="AD149" s="835">
        <v>378</v>
      </c>
      <c r="AE149" s="816">
        <v>322</v>
      </c>
      <c r="AF149" s="835">
        <v>272</v>
      </c>
      <c r="AG149" s="835">
        <v>368</v>
      </c>
      <c r="AH149" s="913">
        <v>357</v>
      </c>
      <c r="AI149" s="937">
        <v>310</v>
      </c>
      <c r="AJ149" s="937">
        <v>327</v>
      </c>
      <c r="AK149" s="937">
        <v>312</v>
      </c>
      <c r="AL149" s="937"/>
      <c r="AM149" s="937">
        <v>312</v>
      </c>
      <c r="AN149" s="937"/>
    </row>
    <row r="150" spans="2:40" ht="17.25" x14ac:dyDescent="0.45">
      <c r="B150" s="1067"/>
      <c r="C150" s="1068"/>
      <c r="D150" s="1019"/>
      <c r="E150" s="1020"/>
      <c r="F150" s="339" t="s">
        <v>537</v>
      </c>
      <c r="G150" s="111" t="s">
        <v>137</v>
      </c>
      <c r="H150" s="111" t="s">
        <v>345</v>
      </c>
      <c r="I150" s="111"/>
      <c r="J150" s="112"/>
      <c r="K150" s="261">
        <v>7</v>
      </c>
      <c r="L150" s="796"/>
      <c r="M150" s="511">
        <v>7.2</v>
      </c>
      <c r="N150" s="246">
        <v>7.1</v>
      </c>
      <c r="O150" s="308"/>
      <c r="P150" s="246">
        <v>7.2</v>
      </c>
      <c r="Q150" s="246"/>
      <c r="R150" s="246">
        <v>7.4</v>
      </c>
      <c r="S150" s="246"/>
      <c r="T150" s="246">
        <v>7.4</v>
      </c>
      <c r="U150" s="246"/>
      <c r="V150" s="246">
        <v>7.3</v>
      </c>
      <c r="W150" s="246">
        <v>7.4</v>
      </c>
      <c r="X150" s="246">
        <v>7.3</v>
      </c>
      <c r="Y150" s="246">
        <v>7.2</v>
      </c>
      <c r="Z150" s="246">
        <v>7.2</v>
      </c>
      <c r="AA150" s="246">
        <v>7.2</v>
      </c>
      <c r="AB150" s="246">
        <v>7.2</v>
      </c>
      <c r="AC150" s="795">
        <v>7.4</v>
      </c>
      <c r="AD150" s="835">
        <v>7</v>
      </c>
      <c r="AE150" s="816">
        <v>7.1</v>
      </c>
      <c r="AF150" s="835">
        <v>7.2</v>
      </c>
      <c r="AG150" s="835">
        <v>7.1</v>
      </c>
      <c r="AH150" s="913">
        <v>7.2</v>
      </c>
      <c r="AI150" s="937">
        <v>6</v>
      </c>
      <c r="AJ150" s="937">
        <v>7.2</v>
      </c>
      <c r="AK150" s="937">
        <v>7.2</v>
      </c>
      <c r="AL150" s="937"/>
      <c r="AM150" s="937">
        <v>7.2</v>
      </c>
      <c r="AN150" s="937"/>
    </row>
    <row r="151" spans="2:40" ht="27.4" customHeight="1" x14ac:dyDescent="0.45">
      <c r="B151" s="1067"/>
      <c r="C151" s="1068"/>
      <c r="D151" s="1023" t="s">
        <v>541</v>
      </c>
      <c r="E151" s="1024"/>
      <c r="F151" s="354" t="s">
        <v>542</v>
      </c>
      <c r="G151" s="355" t="s">
        <v>72</v>
      </c>
      <c r="H151" s="355" t="s">
        <v>345</v>
      </c>
      <c r="I151" s="355"/>
      <c r="J151" s="356"/>
      <c r="K151" s="347">
        <v>110</v>
      </c>
      <c r="L151" s="799"/>
      <c r="M151" s="513">
        <v>110</v>
      </c>
      <c r="N151" s="347">
        <v>120</v>
      </c>
      <c r="O151" s="769"/>
      <c r="P151" s="347">
        <v>120</v>
      </c>
      <c r="Q151" s="347"/>
      <c r="R151" s="347">
        <v>120</v>
      </c>
      <c r="S151" s="347"/>
      <c r="T151" s="347">
        <v>110</v>
      </c>
      <c r="U151" s="347"/>
      <c r="V151" s="347">
        <v>110</v>
      </c>
      <c r="W151" s="347">
        <v>110</v>
      </c>
      <c r="X151" s="347">
        <v>110</v>
      </c>
      <c r="Y151" s="347">
        <v>140</v>
      </c>
      <c r="Z151" s="347">
        <v>140</v>
      </c>
      <c r="AA151" s="347">
        <v>140</v>
      </c>
      <c r="AB151" s="347">
        <v>140</v>
      </c>
      <c r="AC151" s="799">
        <v>130</v>
      </c>
      <c r="AD151" s="838">
        <v>110</v>
      </c>
      <c r="AE151" s="820">
        <v>115</v>
      </c>
      <c r="AF151" s="838">
        <v>110</v>
      </c>
      <c r="AG151" s="838">
        <v>105</v>
      </c>
      <c r="AH151" s="918">
        <v>115</v>
      </c>
      <c r="AI151" s="942">
        <v>110</v>
      </c>
      <c r="AJ151" s="942">
        <v>110</v>
      </c>
      <c r="AK151" s="942">
        <v>110</v>
      </c>
      <c r="AL151" s="942"/>
      <c r="AM151" s="942">
        <v>110</v>
      </c>
      <c r="AN151" s="942"/>
    </row>
    <row r="152" spans="2:40" ht="27.4" customHeight="1" x14ac:dyDescent="0.45">
      <c r="B152" s="1067"/>
      <c r="C152" s="1068"/>
      <c r="D152" s="1021"/>
      <c r="E152" s="1022"/>
      <c r="F152" s="359" t="s">
        <v>401</v>
      </c>
      <c r="G152" s="360" t="s">
        <v>77</v>
      </c>
      <c r="H152" s="360" t="s">
        <v>217</v>
      </c>
      <c r="I152" s="360"/>
      <c r="J152" s="361"/>
      <c r="K152" s="352">
        <v>0</v>
      </c>
      <c r="L152" s="1000"/>
      <c r="M152" s="514">
        <v>0</v>
      </c>
      <c r="N152" s="352">
        <v>0</v>
      </c>
      <c r="O152" s="770"/>
      <c r="P152" s="352">
        <v>0</v>
      </c>
      <c r="Q152" s="352"/>
      <c r="R152" s="352">
        <v>0</v>
      </c>
      <c r="S152" s="352"/>
      <c r="T152" s="352">
        <v>0</v>
      </c>
      <c r="U152" s="352"/>
      <c r="V152" s="352">
        <v>0</v>
      </c>
      <c r="W152" s="352">
        <v>0</v>
      </c>
      <c r="X152" s="352">
        <v>0</v>
      </c>
      <c r="Y152" s="352">
        <v>0</v>
      </c>
      <c r="Z152" s="352">
        <v>0</v>
      </c>
      <c r="AA152" s="352">
        <v>0</v>
      </c>
      <c r="AB152" s="352">
        <v>0</v>
      </c>
      <c r="AC152" s="800">
        <v>0</v>
      </c>
      <c r="AD152" s="839">
        <v>0</v>
      </c>
      <c r="AE152" s="822">
        <v>0</v>
      </c>
      <c r="AF152" s="839">
        <v>0</v>
      </c>
      <c r="AG152" s="839">
        <v>0</v>
      </c>
      <c r="AH152" s="919">
        <v>0</v>
      </c>
      <c r="AI152" s="943">
        <v>0</v>
      </c>
      <c r="AJ152" s="943">
        <v>0</v>
      </c>
      <c r="AK152" s="943">
        <v>0</v>
      </c>
      <c r="AL152" s="943"/>
      <c r="AM152" s="943">
        <v>0</v>
      </c>
      <c r="AN152" s="943"/>
    </row>
    <row r="153" spans="2:40" ht="27.4" customHeight="1" x14ac:dyDescent="0.45">
      <c r="B153" s="1067"/>
      <c r="C153" s="1068"/>
      <c r="D153" s="1023" t="s">
        <v>543</v>
      </c>
      <c r="E153" s="1024"/>
      <c r="F153" s="354" t="s">
        <v>544</v>
      </c>
      <c r="G153" s="355" t="s">
        <v>21</v>
      </c>
      <c r="H153" s="355"/>
      <c r="I153" s="355"/>
      <c r="J153" s="356" t="s">
        <v>451</v>
      </c>
      <c r="K153" s="347"/>
      <c r="L153" s="799"/>
      <c r="M153" s="991">
        <v>1</v>
      </c>
      <c r="N153" s="347" t="s">
        <v>452</v>
      </c>
      <c r="O153" s="769"/>
      <c r="P153" s="985">
        <v>1.2</v>
      </c>
      <c r="Q153" s="347"/>
      <c r="R153" s="347" t="s">
        <v>453</v>
      </c>
      <c r="S153" s="347"/>
      <c r="T153" s="347" t="s">
        <v>452</v>
      </c>
      <c r="U153" s="347"/>
      <c r="V153" s="347" t="s">
        <v>452</v>
      </c>
      <c r="W153" s="347" t="s">
        <v>452</v>
      </c>
      <c r="X153" s="347" t="s">
        <v>452</v>
      </c>
      <c r="Y153" s="347" t="s">
        <v>452</v>
      </c>
      <c r="Z153" s="347" t="s">
        <v>452</v>
      </c>
      <c r="AA153" s="347" t="s">
        <v>452</v>
      </c>
      <c r="AB153" s="347" t="s">
        <v>452</v>
      </c>
      <c r="AC153" s="989">
        <v>1</v>
      </c>
      <c r="AD153" s="990">
        <v>2</v>
      </c>
      <c r="AE153" s="984">
        <v>1</v>
      </c>
      <c r="AF153" s="990">
        <v>2</v>
      </c>
      <c r="AG153" s="838" t="s">
        <v>545</v>
      </c>
      <c r="AH153" s="918" t="s">
        <v>21</v>
      </c>
      <c r="AI153" s="942" t="s">
        <v>452</v>
      </c>
      <c r="AJ153" s="942" t="s">
        <v>452</v>
      </c>
      <c r="AK153" s="942" t="s">
        <v>452</v>
      </c>
      <c r="AL153" s="942"/>
      <c r="AM153" s="942" t="s">
        <v>452</v>
      </c>
      <c r="AN153" s="942"/>
    </row>
    <row r="154" spans="2:40" ht="25.5" x14ac:dyDescent="0.45">
      <c r="B154" s="1067"/>
      <c r="C154" s="1068"/>
      <c r="D154" s="1021"/>
      <c r="E154" s="1022"/>
      <c r="F154" s="359" t="s">
        <v>546</v>
      </c>
      <c r="G154" s="360"/>
      <c r="H154" s="360"/>
      <c r="I154" s="360"/>
      <c r="J154" s="361"/>
      <c r="K154" s="520"/>
      <c r="L154" s="1004"/>
      <c r="M154" s="669"/>
      <c r="N154" s="520"/>
      <c r="O154" s="771"/>
      <c r="P154" s="520"/>
      <c r="Q154" s="520"/>
      <c r="R154" s="520"/>
      <c r="S154" s="520"/>
      <c r="T154" s="520" t="s">
        <v>21</v>
      </c>
      <c r="U154" s="520"/>
      <c r="V154" s="520" t="s">
        <v>21</v>
      </c>
      <c r="W154" s="520" t="s">
        <v>21</v>
      </c>
      <c r="X154" s="520"/>
      <c r="Y154" s="520"/>
      <c r="Z154" s="520"/>
      <c r="AA154" s="520"/>
      <c r="AB154" s="520"/>
      <c r="AC154" s="813">
        <v>0</v>
      </c>
      <c r="AD154" s="850"/>
      <c r="AE154" s="826"/>
      <c r="AF154" s="850"/>
      <c r="AG154" s="850"/>
      <c r="AH154" s="930"/>
      <c r="AI154" s="954" t="s">
        <v>452</v>
      </c>
      <c r="AJ154" s="954" t="s">
        <v>21</v>
      </c>
      <c r="AK154" s="954" t="s">
        <v>21</v>
      </c>
      <c r="AL154" s="954"/>
      <c r="AM154" s="954" t="s">
        <v>21</v>
      </c>
      <c r="AN154" s="954"/>
    </row>
    <row r="155" spans="2:40" ht="27.4" customHeight="1" x14ac:dyDescent="0.45">
      <c r="B155" s="1067"/>
      <c r="C155" s="1068"/>
      <c r="D155" s="1019" t="s">
        <v>547</v>
      </c>
      <c r="E155" s="1020"/>
      <c r="F155" s="99" t="s">
        <v>548</v>
      </c>
      <c r="G155" s="57" t="s">
        <v>137</v>
      </c>
      <c r="H155" s="57" t="s">
        <v>345</v>
      </c>
      <c r="I155" s="57"/>
      <c r="J155" s="100"/>
      <c r="K155" s="260">
        <v>6.1</v>
      </c>
      <c r="L155" s="798"/>
      <c r="M155" s="515">
        <v>6.2</v>
      </c>
      <c r="N155" s="260">
        <v>6.18</v>
      </c>
      <c r="O155" s="772"/>
      <c r="P155" s="260">
        <v>6.2</v>
      </c>
      <c r="Q155" s="260"/>
      <c r="R155" s="260">
        <v>6.2</v>
      </c>
      <c r="S155" s="260"/>
      <c r="T155" s="260">
        <v>6.25</v>
      </c>
      <c r="U155" s="260"/>
      <c r="V155" s="260">
        <v>6.22</v>
      </c>
      <c r="W155" s="260">
        <v>6.22</v>
      </c>
      <c r="X155" s="260">
        <v>6.22</v>
      </c>
      <c r="Y155" s="260">
        <v>6.22</v>
      </c>
      <c r="Z155" s="260">
        <v>6.22</v>
      </c>
      <c r="AA155" s="260">
        <v>6.22</v>
      </c>
      <c r="AB155" s="260">
        <v>6.22</v>
      </c>
      <c r="AC155" s="798">
        <v>6.22</v>
      </c>
      <c r="AD155" s="836">
        <v>6.1</v>
      </c>
      <c r="AE155" s="818">
        <v>6.25</v>
      </c>
      <c r="AF155" s="836">
        <v>6.2</v>
      </c>
      <c r="AG155" s="836">
        <v>6.19</v>
      </c>
      <c r="AH155" s="917">
        <v>0</v>
      </c>
      <c r="AI155" s="941">
        <v>6.2</v>
      </c>
      <c r="AJ155" s="941">
        <v>6.25</v>
      </c>
      <c r="AK155" s="941">
        <v>6.2</v>
      </c>
      <c r="AL155" s="941"/>
      <c r="AM155" s="941">
        <v>6.2</v>
      </c>
      <c r="AN155" s="941"/>
    </row>
    <row r="156" spans="2:40" ht="27.4" customHeight="1" x14ac:dyDescent="0.45">
      <c r="B156" s="1067"/>
      <c r="C156" s="1068"/>
      <c r="D156" s="1019"/>
      <c r="E156" s="1020"/>
      <c r="F156" s="87" t="s">
        <v>548</v>
      </c>
      <c r="G156" s="83" t="s">
        <v>137</v>
      </c>
      <c r="H156" s="83" t="s">
        <v>217</v>
      </c>
      <c r="I156" s="83"/>
      <c r="J156" s="88"/>
      <c r="K156" s="246">
        <v>6.23</v>
      </c>
      <c r="L156" s="798"/>
      <c r="M156" s="515">
        <v>6.25</v>
      </c>
      <c r="N156" s="246">
        <v>6.23</v>
      </c>
      <c r="O156" s="772"/>
      <c r="P156" s="246">
        <v>6.25</v>
      </c>
      <c r="Q156" s="246"/>
      <c r="R156" s="246">
        <v>6.21</v>
      </c>
      <c r="S156" s="246"/>
      <c r="T156" s="246">
        <v>6.24</v>
      </c>
      <c r="U156" s="246"/>
      <c r="V156" s="246">
        <v>6.21</v>
      </c>
      <c r="W156" s="246">
        <v>6.2</v>
      </c>
      <c r="X156" s="246">
        <v>6.2</v>
      </c>
      <c r="Y156" s="246">
        <v>6.21</v>
      </c>
      <c r="Z156" s="246">
        <v>6.21</v>
      </c>
      <c r="AA156" s="246">
        <v>6.21</v>
      </c>
      <c r="AB156" s="246">
        <v>6.21</v>
      </c>
      <c r="AC156" s="795">
        <v>6.21</v>
      </c>
      <c r="AD156" s="835">
        <v>6.23</v>
      </c>
      <c r="AE156" s="816">
        <v>6.25</v>
      </c>
      <c r="AF156" s="835">
        <v>6.25</v>
      </c>
      <c r="AG156" s="835">
        <v>6.11</v>
      </c>
      <c r="AH156" s="913">
        <v>0</v>
      </c>
      <c r="AI156" s="937">
        <v>6.13</v>
      </c>
      <c r="AJ156" s="937">
        <v>6.04</v>
      </c>
      <c r="AK156" s="937">
        <v>6.22</v>
      </c>
      <c r="AL156" s="937"/>
      <c r="AM156" s="937">
        <v>6.22</v>
      </c>
      <c r="AN156" s="937"/>
    </row>
    <row r="157" spans="2:40" ht="27.4" customHeight="1" x14ac:dyDescent="0.45">
      <c r="B157" s="1067"/>
      <c r="C157" s="1068"/>
      <c r="D157" s="1019"/>
      <c r="E157" s="1020"/>
      <c r="F157" s="97" t="s">
        <v>549</v>
      </c>
      <c r="G157" s="56" t="s">
        <v>137</v>
      </c>
      <c r="H157" s="56" t="s">
        <v>345</v>
      </c>
      <c r="I157" s="56"/>
      <c r="J157" s="98"/>
      <c r="K157" s="246">
        <v>6.1</v>
      </c>
      <c r="L157" s="798"/>
      <c r="M157" s="515">
        <v>6.2</v>
      </c>
      <c r="N157" s="246">
        <v>6.1</v>
      </c>
      <c r="O157" s="772"/>
      <c r="P157" s="246">
        <v>6.2</v>
      </c>
      <c r="Q157" s="246"/>
      <c r="R157" s="246">
        <v>6.2</v>
      </c>
      <c r="S157" s="246"/>
      <c r="T157" s="246">
        <v>6.25</v>
      </c>
      <c r="U157" s="246"/>
      <c r="V157" s="246">
        <v>6.24</v>
      </c>
      <c r="W157" s="246">
        <v>6.21</v>
      </c>
      <c r="X157" s="246">
        <v>6.21</v>
      </c>
      <c r="Y157" s="246">
        <v>6.22</v>
      </c>
      <c r="Z157" s="246">
        <v>6.22</v>
      </c>
      <c r="AA157" s="246">
        <v>6.22</v>
      </c>
      <c r="AB157" s="246">
        <v>6.22</v>
      </c>
      <c r="AC157" s="795">
        <v>6.3</v>
      </c>
      <c r="AD157" s="835">
        <v>6.1</v>
      </c>
      <c r="AE157" s="816">
        <v>6.25</v>
      </c>
      <c r="AF157" s="835">
        <v>6.2</v>
      </c>
      <c r="AG157" s="835">
        <v>6.2</v>
      </c>
      <c r="AH157" s="913">
        <v>0</v>
      </c>
      <c r="AI157" s="937">
        <v>6.2</v>
      </c>
      <c r="AJ157" s="937">
        <v>6.1</v>
      </c>
      <c r="AK157" s="937">
        <v>6.25</v>
      </c>
      <c r="AL157" s="937"/>
      <c r="AM157" s="937">
        <v>6.25</v>
      </c>
      <c r="AN157" s="937"/>
    </row>
    <row r="158" spans="2:40" ht="27.4" customHeight="1" x14ac:dyDescent="0.45">
      <c r="B158" s="1067"/>
      <c r="C158" s="1068"/>
      <c r="D158" s="1019"/>
      <c r="E158" s="1020"/>
      <c r="F158" s="87" t="s">
        <v>549</v>
      </c>
      <c r="G158" s="83" t="s">
        <v>137</v>
      </c>
      <c r="H158" s="83" t="s">
        <v>217</v>
      </c>
      <c r="I158" s="83"/>
      <c r="J158" s="88"/>
      <c r="K158" s="246">
        <v>6.21</v>
      </c>
      <c r="L158" s="798"/>
      <c r="M158" s="515">
        <v>6.22</v>
      </c>
      <c r="N158" s="246">
        <v>6.21</v>
      </c>
      <c r="O158" s="772"/>
      <c r="P158" s="246">
        <v>6.22</v>
      </c>
      <c r="Q158" s="246"/>
      <c r="R158" s="246">
        <v>6.24</v>
      </c>
      <c r="S158" s="246"/>
      <c r="T158" s="246">
        <v>6.22</v>
      </c>
      <c r="U158" s="246"/>
      <c r="V158" s="246">
        <v>6.23</v>
      </c>
      <c r="W158" s="246">
        <v>6.2</v>
      </c>
      <c r="X158" s="246">
        <v>6.2</v>
      </c>
      <c r="Y158" s="246">
        <v>6.21</v>
      </c>
      <c r="Z158" s="246">
        <v>6.21</v>
      </c>
      <c r="AA158" s="246">
        <v>6.21</v>
      </c>
      <c r="AB158" s="246">
        <v>6.21</v>
      </c>
      <c r="AC158" s="795">
        <v>6.24</v>
      </c>
      <c r="AD158" s="835">
        <v>6.21</v>
      </c>
      <c r="AE158" s="816">
        <v>6.23</v>
      </c>
      <c r="AF158" s="835">
        <v>6.22</v>
      </c>
      <c r="AG158" s="835">
        <v>6.13</v>
      </c>
      <c r="AH158" s="913">
        <v>0</v>
      </c>
      <c r="AI158" s="937">
        <v>6.14</v>
      </c>
      <c r="AJ158" s="937">
        <v>6.07</v>
      </c>
      <c r="AK158" s="937">
        <v>6.21</v>
      </c>
      <c r="AL158" s="937"/>
      <c r="AM158" s="937">
        <v>6.21</v>
      </c>
      <c r="AN158" s="937"/>
    </row>
    <row r="159" spans="2:40" ht="27.4" customHeight="1" x14ac:dyDescent="0.45">
      <c r="B159" s="1067"/>
      <c r="C159" s="1068"/>
      <c r="D159" s="1019"/>
      <c r="E159" s="1020"/>
      <c r="F159" s="97" t="s">
        <v>550</v>
      </c>
      <c r="G159" s="56" t="s">
        <v>137</v>
      </c>
      <c r="H159" s="56" t="s">
        <v>345</v>
      </c>
      <c r="I159" s="56"/>
      <c r="J159" s="98"/>
      <c r="K159" s="246">
        <v>6.1</v>
      </c>
      <c r="L159" s="798"/>
      <c r="M159" s="515">
        <v>6.2</v>
      </c>
      <c r="N159" s="246">
        <v>6.1</v>
      </c>
      <c r="O159" s="772"/>
      <c r="P159" s="246">
        <v>6.2</v>
      </c>
      <c r="Q159" s="246"/>
      <c r="R159" s="246">
        <v>6.2</v>
      </c>
      <c r="S159" s="246"/>
      <c r="T159" s="246">
        <v>6.21</v>
      </c>
      <c r="U159" s="246"/>
      <c r="V159" s="246">
        <v>6.22</v>
      </c>
      <c r="W159" s="246">
        <v>6.22</v>
      </c>
      <c r="X159" s="246">
        <v>6.22</v>
      </c>
      <c r="Y159" s="246">
        <v>6.2</v>
      </c>
      <c r="Z159" s="246">
        <v>6.2</v>
      </c>
      <c r="AA159" s="246">
        <v>6.2</v>
      </c>
      <c r="AB159" s="246">
        <v>6.2</v>
      </c>
      <c r="AC159" s="795">
        <v>6.21</v>
      </c>
      <c r="AD159" s="835">
        <v>6.1</v>
      </c>
      <c r="AE159" s="816">
        <v>6.25</v>
      </c>
      <c r="AF159" s="835">
        <v>6.2</v>
      </c>
      <c r="AG159" s="835">
        <v>6.19</v>
      </c>
      <c r="AH159" s="913">
        <v>0</v>
      </c>
      <c r="AI159" s="937">
        <v>6.2</v>
      </c>
      <c r="AJ159" s="937">
        <v>6.2</v>
      </c>
      <c r="AK159" s="937">
        <v>6.2</v>
      </c>
      <c r="AL159" s="937"/>
      <c r="AM159" s="937">
        <v>6.2</v>
      </c>
      <c r="AN159" s="937"/>
    </row>
    <row r="160" spans="2:40" ht="27.4" customHeight="1" x14ac:dyDescent="0.45">
      <c r="B160" s="1067"/>
      <c r="C160" s="1068"/>
      <c r="D160" s="1019"/>
      <c r="E160" s="1020"/>
      <c r="F160" s="87" t="s">
        <v>551</v>
      </c>
      <c r="G160" s="83" t="s">
        <v>137</v>
      </c>
      <c r="H160" s="83" t="s">
        <v>217</v>
      </c>
      <c r="I160" s="83"/>
      <c r="J160" s="88"/>
      <c r="K160" s="246">
        <v>6.23</v>
      </c>
      <c r="L160" s="798"/>
      <c r="M160" s="515">
        <v>6.2</v>
      </c>
      <c r="N160" s="246">
        <v>6.23</v>
      </c>
      <c r="O160" s="772"/>
      <c r="P160" s="246">
        <v>6.2</v>
      </c>
      <c r="Q160" s="246"/>
      <c r="R160" s="246">
        <v>6.19</v>
      </c>
      <c r="S160" s="246"/>
      <c r="T160" s="246">
        <v>6.21</v>
      </c>
      <c r="U160" s="246"/>
      <c r="V160" s="246">
        <v>6.21</v>
      </c>
      <c r="W160" s="246">
        <v>6.2</v>
      </c>
      <c r="X160" s="246">
        <v>6.2</v>
      </c>
      <c r="Y160" s="246">
        <v>6.19</v>
      </c>
      <c r="Z160" s="246">
        <v>6.19</v>
      </c>
      <c r="AA160" s="246">
        <v>6.19</v>
      </c>
      <c r="AB160" s="246">
        <v>6.19</v>
      </c>
      <c r="AC160" s="795">
        <v>6.2</v>
      </c>
      <c r="AD160" s="835">
        <v>6.23</v>
      </c>
      <c r="AE160" s="816">
        <v>6.22</v>
      </c>
      <c r="AF160" s="835">
        <v>6.2</v>
      </c>
      <c r="AG160" s="835">
        <v>6.12</v>
      </c>
      <c r="AH160" s="913">
        <v>0</v>
      </c>
      <c r="AI160" s="937">
        <v>6.14</v>
      </c>
      <c r="AJ160" s="937">
        <v>6.08</v>
      </c>
      <c r="AK160" s="937">
        <v>6.2</v>
      </c>
      <c r="AL160" s="937"/>
      <c r="AM160" s="937">
        <v>6.2</v>
      </c>
      <c r="AN160" s="937"/>
    </row>
    <row r="161" spans="2:40" ht="27.4" customHeight="1" x14ac:dyDescent="0.45">
      <c r="B161" s="1067"/>
      <c r="C161" s="1068"/>
      <c r="D161" s="1019"/>
      <c r="E161" s="1020"/>
      <c r="F161" s="97" t="s">
        <v>552</v>
      </c>
      <c r="G161" s="56" t="s">
        <v>137</v>
      </c>
      <c r="H161" s="56" t="s">
        <v>345</v>
      </c>
      <c r="I161" s="56"/>
      <c r="J161" s="98"/>
      <c r="K161" s="246">
        <v>6.1</v>
      </c>
      <c r="L161" s="798"/>
      <c r="M161" s="515">
        <v>6.25</v>
      </c>
      <c r="N161" s="246">
        <v>6.1</v>
      </c>
      <c r="O161" s="772"/>
      <c r="P161" s="246">
        <v>6.25</v>
      </c>
      <c r="Q161" s="246"/>
      <c r="R161" s="246">
        <v>6.25</v>
      </c>
      <c r="S161" s="246"/>
      <c r="T161" s="246">
        <v>6.24</v>
      </c>
      <c r="U161" s="246"/>
      <c r="V161" s="246">
        <v>6.23</v>
      </c>
      <c r="W161" s="246">
        <v>6.25</v>
      </c>
      <c r="X161" s="246">
        <v>6.25</v>
      </c>
      <c r="Y161" s="246">
        <v>6.22</v>
      </c>
      <c r="Z161" s="246">
        <v>6.22</v>
      </c>
      <c r="AA161" s="246">
        <v>6.22</v>
      </c>
      <c r="AB161" s="246">
        <v>6.22</v>
      </c>
      <c r="AC161" s="795">
        <v>6.24</v>
      </c>
      <c r="AD161" s="835">
        <v>6.1</v>
      </c>
      <c r="AE161" s="816">
        <v>6.25</v>
      </c>
      <c r="AF161" s="835">
        <v>6.25</v>
      </c>
      <c r="AG161" s="835">
        <v>6.19</v>
      </c>
      <c r="AH161" s="913">
        <v>0</v>
      </c>
      <c r="AI161" s="937">
        <v>6.2</v>
      </c>
      <c r="AJ161" s="937">
        <v>6.2</v>
      </c>
      <c r="AK161" s="937">
        <v>6.24</v>
      </c>
      <c r="AL161" s="937"/>
      <c r="AM161" s="937">
        <v>6.24</v>
      </c>
      <c r="AN161" s="937"/>
    </row>
    <row r="162" spans="2:40" ht="27.4" customHeight="1" x14ac:dyDescent="0.45">
      <c r="B162" s="1067"/>
      <c r="C162" s="1068"/>
      <c r="D162" s="1019"/>
      <c r="E162" s="1020"/>
      <c r="F162" s="87" t="s">
        <v>553</v>
      </c>
      <c r="G162" s="83" t="s">
        <v>137</v>
      </c>
      <c r="H162" s="83" t="s">
        <v>217</v>
      </c>
      <c r="I162" s="83"/>
      <c r="J162" s="88"/>
      <c r="K162" s="246">
        <v>6.24</v>
      </c>
      <c r="L162" s="798"/>
      <c r="M162" s="515">
        <v>6.23</v>
      </c>
      <c r="N162" s="246">
        <v>6.23</v>
      </c>
      <c r="O162" s="772"/>
      <c r="P162" s="246">
        <v>6.23</v>
      </c>
      <c r="Q162" s="246"/>
      <c r="R162" s="246">
        <v>6.24</v>
      </c>
      <c r="S162" s="246"/>
      <c r="T162" s="246">
        <v>6.24</v>
      </c>
      <c r="U162" s="246"/>
      <c r="V162" s="246">
        <v>6.23</v>
      </c>
      <c r="W162" s="246">
        <v>6.2</v>
      </c>
      <c r="X162" s="246">
        <v>6.2</v>
      </c>
      <c r="Y162" s="246">
        <v>6.22</v>
      </c>
      <c r="Z162" s="246">
        <v>6.22</v>
      </c>
      <c r="AA162" s="246">
        <v>6.22</v>
      </c>
      <c r="AB162" s="246">
        <v>6.22</v>
      </c>
      <c r="AC162" s="795">
        <v>6.24</v>
      </c>
      <c r="AD162" s="835">
        <v>6.24</v>
      </c>
      <c r="AE162" s="816">
        <v>6.25</v>
      </c>
      <c r="AF162" s="835">
        <v>6.23</v>
      </c>
      <c r="AG162" s="835">
        <v>6.13</v>
      </c>
      <c r="AH162" s="913">
        <v>0</v>
      </c>
      <c r="AI162" s="937">
        <v>6.15</v>
      </c>
      <c r="AJ162" s="937">
        <v>6.07</v>
      </c>
      <c r="AK162" s="937">
        <v>6.2</v>
      </c>
      <c r="AL162" s="937"/>
      <c r="AM162" s="937">
        <v>6.2</v>
      </c>
      <c r="AN162" s="937"/>
    </row>
    <row r="163" spans="2:40" ht="27.4" customHeight="1" x14ac:dyDescent="0.45">
      <c r="B163" s="1067"/>
      <c r="C163" s="1068"/>
      <c r="D163" s="1019"/>
      <c r="E163" s="1020"/>
      <c r="F163" s="97" t="s">
        <v>554</v>
      </c>
      <c r="G163" s="56" t="s">
        <v>137</v>
      </c>
      <c r="H163" s="56" t="s">
        <v>345</v>
      </c>
      <c r="I163" s="56"/>
      <c r="J163" s="98"/>
      <c r="K163" s="246">
        <v>6.1</v>
      </c>
      <c r="L163" s="798"/>
      <c r="M163" s="411">
        <v>6.2</v>
      </c>
      <c r="N163" s="246">
        <v>6.1</v>
      </c>
      <c r="O163" s="335"/>
      <c r="P163" s="246">
        <v>6.2</v>
      </c>
      <c r="Q163" s="246"/>
      <c r="R163" s="246">
        <v>6.22</v>
      </c>
      <c r="S163" s="246"/>
      <c r="T163" s="246">
        <v>6.21</v>
      </c>
      <c r="U163" s="246"/>
      <c r="V163" s="246">
        <v>6.22</v>
      </c>
      <c r="W163" s="246">
        <v>6.22</v>
      </c>
      <c r="X163" s="246">
        <v>6.22</v>
      </c>
      <c r="Y163" s="246">
        <v>6.2</v>
      </c>
      <c r="Z163" s="246">
        <v>6.2</v>
      </c>
      <c r="AA163" s="246">
        <v>6.2</v>
      </c>
      <c r="AB163" s="246">
        <v>6.2</v>
      </c>
      <c r="AC163" s="795">
        <v>6.21</v>
      </c>
      <c r="AD163" s="835">
        <v>6.1</v>
      </c>
      <c r="AE163" s="816">
        <v>6.25</v>
      </c>
      <c r="AF163" s="835">
        <v>6.2</v>
      </c>
      <c r="AG163" s="835">
        <v>6.19</v>
      </c>
      <c r="AH163" s="913">
        <v>0</v>
      </c>
      <c r="AI163" s="937">
        <v>6.2</v>
      </c>
      <c r="AJ163" s="937">
        <v>6.1</v>
      </c>
      <c r="AK163" s="937">
        <v>6.24</v>
      </c>
      <c r="AL163" s="937"/>
      <c r="AM163" s="937">
        <v>6.24</v>
      </c>
      <c r="AN163" s="937"/>
    </row>
    <row r="164" spans="2:40" ht="27.4" customHeight="1" x14ac:dyDescent="0.45">
      <c r="B164" s="1067"/>
      <c r="C164" s="1068"/>
      <c r="D164" s="1019"/>
      <c r="E164" s="1020"/>
      <c r="F164" s="87" t="s">
        <v>555</v>
      </c>
      <c r="G164" s="83" t="s">
        <v>137</v>
      </c>
      <c r="H164" s="83" t="s">
        <v>217</v>
      </c>
      <c r="I164" s="83"/>
      <c r="J164" s="88"/>
      <c r="K164" s="246">
        <v>6.19</v>
      </c>
      <c r="L164" s="798"/>
      <c r="M164" s="411">
        <v>6.19</v>
      </c>
      <c r="N164" s="246">
        <v>6.2</v>
      </c>
      <c r="O164" s="335"/>
      <c r="P164" s="246">
        <v>6.19</v>
      </c>
      <c r="Q164" s="246"/>
      <c r="R164" s="246">
        <v>6.21</v>
      </c>
      <c r="S164" s="246"/>
      <c r="T164" s="246">
        <v>6.22</v>
      </c>
      <c r="U164" s="246"/>
      <c r="V164" s="246">
        <v>6.21</v>
      </c>
      <c r="W164" s="246">
        <v>6.2</v>
      </c>
      <c r="X164" s="246">
        <v>6.2</v>
      </c>
      <c r="Y164" s="246">
        <v>6.22</v>
      </c>
      <c r="Z164" s="246">
        <v>6.22</v>
      </c>
      <c r="AA164" s="246">
        <v>6.22</v>
      </c>
      <c r="AB164" s="246">
        <v>6.22</v>
      </c>
      <c r="AC164" s="795">
        <v>6.19</v>
      </c>
      <c r="AD164" s="835">
        <v>6.19</v>
      </c>
      <c r="AE164" s="816">
        <v>6.22</v>
      </c>
      <c r="AF164" s="835">
        <v>6.19</v>
      </c>
      <c r="AG164" s="835">
        <v>6.11</v>
      </c>
      <c r="AH164" s="913">
        <v>0</v>
      </c>
      <c r="AI164" s="937">
        <v>6.12</v>
      </c>
      <c r="AJ164" s="937">
        <v>6.07</v>
      </c>
      <c r="AK164" s="937" t="s">
        <v>556</v>
      </c>
      <c r="AL164" s="937"/>
      <c r="AM164" s="937" t="s">
        <v>556</v>
      </c>
      <c r="AN164" s="937"/>
    </row>
    <row r="165" spans="2:40" ht="27.4" customHeight="1" x14ac:dyDescent="0.45">
      <c r="B165" s="1067"/>
      <c r="C165" s="1068"/>
      <c r="D165" s="1019"/>
      <c r="E165" s="1020"/>
      <c r="F165" s="97" t="s">
        <v>557</v>
      </c>
      <c r="G165" s="56" t="s">
        <v>137</v>
      </c>
      <c r="H165" s="56" t="s">
        <v>345</v>
      </c>
      <c r="I165" s="56"/>
      <c r="J165" s="98"/>
      <c r="K165" s="246">
        <v>6.15</v>
      </c>
      <c r="L165" s="798"/>
      <c r="M165" s="411">
        <v>6.25</v>
      </c>
      <c r="N165" s="246">
        <v>6.15</v>
      </c>
      <c r="O165" s="335"/>
      <c r="P165" s="246">
        <v>6.25</v>
      </c>
      <c r="Q165" s="246"/>
      <c r="R165" s="246">
        <v>6.22</v>
      </c>
      <c r="S165" s="246"/>
      <c r="T165" s="246">
        <v>6.23</v>
      </c>
      <c r="U165" s="246"/>
      <c r="V165" s="246">
        <v>6.22</v>
      </c>
      <c r="W165" s="246">
        <v>6.22</v>
      </c>
      <c r="X165" s="246">
        <v>6.22</v>
      </c>
      <c r="Y165" s="246">
        <v>6.17</v>
      </c>
      <c r="Z165" s="246">
        <v>6.17</v>
      </c>
      <c r="AA165" s="246">
        <v>6.17</v>
      </c>
      <c r="AB165" s="246">
        <v>6.17</v>
      </c>
      <c r="AC165" s="795">
        <v>6.22</v>
      </c>
      <c r="AD165" s="835">
        <v>6.15</v>
      </c>
      <c r="AE165" s="816">
        <v>6.3</v>
      </c>
      <c r="AF165" s="835">
        <v>6.25</v>
      </c>
      <c r="AG165" s="835">
        <v>6.2</v>
      </c>
      <c r="AH165" s="913">
        <v>0</v>
      </c>
      <c r="AI165" s="937">
        <v>6.2</v>
      </c>
      <c r="AJ165" s="937">
        <v>6.1</v>
      </c>
      <c r="AK165" s="937">
        <v>6.21</v>
      </c>
      <c r="AL165" s="937"/>
      <c r="AM165" s="937">
        <v>6.21</v>
      </c>
      <c r="AN165" s="937"/>
    </row>
    <row r="166" spans="2:40" ht="27.4" customHeight="1" x14ac:dyDescent="0.45">
      <c r="B166" s="1067"/>
      <c r="C166" s="1068"/>
      <c r="D166" s="1019"/>
      <c r="E166" s="1020"/>
      <c r="F166" s="87" t="s">
        <v>558</v>
      </c>
      <c r="G166" s="83" t="s">
        <v>137</v>
      </c>
      <c r="H166" s="83" t="s">
        <v>217</v>
      </c>
      <c r="I166" s="83"/>
      <c r="J166" s="88"/>
      <c r="K166" s="246">
        <v>6.2</v>
      </c>
      <c r="L166" s="798"/>
      <c r="M166" s="411">
        <v>6.2</v>
      </c>
      <c r="N166" s="246">
        <v>6.2</v>
      </c>
      <c r="O166" s="335"/>
      <c r="P166" s="246">
        <v>6.2</v>
      </c>
      <c r="Q166" s="246"/>
      <c r="R166" s="246">
        <v>6.2</v>
      </c>
      <c r="S166" s="246"/>
      <c r="T166" s="246">
        <v>6.21</v>
      </c>
      <c r="U166" s="246"/>
      <c r="V166" s="246">
        <v>6.2</v>
      </c>
      <c r="W166" s="246">
        <v>6.2</v>
      </c>
      <c r="X166" s="246">
        <v>6.2</v>
      </c>
      <c r="Y166" s="246">
        <v>6.2</v>
      </c>
      <c r="Z166" s="246">
        <v>6.2</v>
      </c>
      <c r="AA166" s="246">
        <v>6.2</v>
      </c>
      <c r="AB166" s="246">
        <v>6.2</v>
      </c>
      <c r="AC166" s="795">
        <v>6.2</v>
      </c>
      <c r="AD166" s="835">
        <v>6.2</v>
      </c>
      <c r="AE166" s="816">
        <v>6.23</v>
      </c>
      <c r="AF166" s="835">
        <v>6.2</v>
      </c>
      <c r="AG166" s="835">
        <v>6.12</v>
      </c>
      <c r="AH166" s="913">
        <v>0</v>
      </c>
      <c r="AI166" s="937">
        <v>6.14</v>
      </c>
      <c r="AJ166" s="937">
        <v>6.05</v>
      </c>
      <c r="AK166" s="937" t="s">
        <v>559</v>
      </c>
      <c r="AL166" s="937"/>
      <c r="AM166" s="937" t="s">
        <v>559</v>
      </c>
      <c r="AN166" s="937"/>
    </row>
    <row r="167" spans="2:40" ht="27.4" customHeight="1" x14ac:dyDescent="0.45">
      <c r="B167" s="1067"/>
      <c r="C167" s="1068"/>
      <c r="D167" s="1019"/>
      <c r="E167" s="1020"/>
      <c r="F167" s="97" t="s">
        <v>560</v>
      </c>
      <c r="G167" s="56" t="s">
        <v>137</v>
      </c>
      <c r="H167" s="56" t="s">
        <v>345</v>
      </c>
      <c r="I167" s="56"/>
      <c r="J167" s="98"/>
      <c r="K167" s="246">
        <v>6.15</v>
      </c>
      <c r="L167" s="798"/>
      <c r="M167" s="411">
        <v>6.15</v>
      </c>
      <c r="N167" s="246">
        <v>6.15</v>
      </c>
      <c r="O167" s="335"/>
      <c r="P167" s="246">
        <v>6.15</v>
      </c>
      <c r="Q167" s="246"/>
      <c r="R167" s="246">
        <v>6.22</v>
      </c>
      <c r="S167" s="246"/>
      <c r="T167" s="246">
        <v>6.25</v>
      </c>
      <c r="U167" s="246"/>
      <c r="V167" s="246">
        <v>6.23</v>
      </c>
      <c r="W167" s="246">
        <v>6.23</v>
      </c>
      <c r="X167" s="246">
        <v>6.23</v>
      </c>
      <c r="Y167" s="246">
        <v>6.25</v>
      </c>
      <c r="Z167" s="246">
        <v>6.25</v>
      </c>
      <c r="AA167" s="246">
        <v>6.25</v>
      </c>
      <c r="AB167" s="246">
        <v>6.25</v>
      </c>
      <c r="AC167" s="795">
        <v>6.3</v>
      </c>
      <c r="AD167" s="835">
        <v>6.15</v>
      </c>
      <c r="AE167" s="816">
        <v>6.3</v>
      </c>
      <c r="AF167" s="835">
        <v>6.15</v>
      </c>
      <c r="AG167" s="835">
        <v>6.2</v>
      </c>
      <c r="AH167" s="913">
        <v>0</v>
      </c>
      <c r="AI167" s="937">
        <v>6.2</v>
      </c>
      <c r="AJ167" s="937">
        <v>6.2</v>
      </c>
      <c r="AK167" s="937">
        <v>6.23</v>
      </c>
      <c r="AL167" s="937"/>
      <c r="AM167" s="937">
        <v>6.23</v>
      </c>
      <c r="AN167" s="937"/>
    </row>
    <row r="168" spans="2:40" ht="27.4" customHeight="1" x14ac:dyDescent="0.45">
      <c r="B168" s="1067"/>
      <c r="C168" s="1068"/>
      <c r="D168" s="1019"/>
      <c r="E168" s="1020"/>
      <c r="F168" s="87" t="s">
        <v>561</v>
      </c>
      <c r="G168" s="83" t="s">
        <v>137</v>
      </c>
      <c r="H168" s="83" t="s">
        <v>217</v>
      </c>
      <c r="I168" s="83"/>
      <c r="J168" s="88"/>
      <c r="K168" s="246">
        <v>6.22</v>
      </c>
      <c r="L168" s="798"/>
      <c r="M168" s="411">
        <v>6.21</v>
      </c>
      <c r="N168" s="246">
        <v>6.26</v>
      </c>
      <c r="O168" s="335"/>
      <c r="P168" s="246">
        <v>6.21</v>
      </c>
      <c r="Q168" s="246"/>
      <c r="R168" s="246">
        <v>6.23</v>
      </c>
      <c r="S168" s="246"/>
      <c r="T168" s="246">
        <v>6.26</v>
      </c>
      <c r="U168" s="246"/>
      <c r="V168" s="246">
        <v>6.23</v>
      </c>
      <c r="W168" s="246">
        <v>6.2</v>
      </c>
      <c r="X168" s="246">
        <v>6.2</v>
      </c>
      <c r="Y168" s="246">
        <v>6.2</v>
      </c>
      <c r="Z168" s="246">
        <v>6.2</v>
      </c>
      <c r="AA168" s="246">
        <v>6.2</v>
      </c>
      <c r="AB168" s="246">
        <v>6.2</v>
      </c>
      <c r="AC168" s="795">
        <v>6.25</v>
      </c>
      <c r="AD168" s="835">
        <v>6.22</v>
      </c>
      <c r="AE168" s="816">
        <v>6.22</v>
      </c>
      <c r="AF168" s="835">
        <v>6.21</v>
      </c>
      <c r="AG168" s="835">
        <v>6.13</v>
      </c>
      <c r="AH168" s="913">
        <v>0</v>
      </c>
      <c r="AI168" s="937">
        <v>6.15</v>
      </c>
      <c r="AJ168" s="937">
        <v>6.05</v>
      </c>
      <c r="AK168" s="937">
        <v>6.23</v>
      </c>
      <c r="AL168" s="937"/>
      <c r="AM168" s="937">
        <v>6.23</v>
      </c>
      <c r="AN168" s="937"/>
    </row>
    <row r="169" spans="2:40" ht="27.4" customHeight="1" x14ac:dyDescent="0.45">
      <c r="B169" s="1067"/>
      <c r="C169" s="1068"/>
      <c r="D169" s="1019"/>
      <c r="E169" s="1020"/>
      <c r="F169" s="97" t="s">
        <v>562</v>
      </c>
      <c r="G169" s="56" t="s">
        <v>137</v>
      </c>
      <c r="H169" s="56" t="s">
        <v>345</v>
      </c>
      <c r="I169" s="56"/>
      <c r="J169" s="98"/>
      <c r="K169" s="246">
        <v>0</v>
      </c>
      <c r="L169" s="798"/>
      <c r="M169" s="411">
        <v>0</v>
      </c>
      <c r="N169" s="246">
        <v>0</v>
      </c>
      <c r="O169" s="335"/>
      <c r="P169" s="246">
        <v>0</v>
      </c>
      <c r="Q169" s="246"/>
      <c r="R169" s="246">
        <v>0</v>
      </c>
      <c r="S169" s="246"/>
      <c r="T169" s="246">
        <v>0</v>
      </c>
      <c r="U169" s="246"/>
      <c r="V169" s="246">
        <v>0</v>
      </c>
      <c r="W169" s="246">
        <v>0</v>
      </c>
      <c r="X169" s="246">
        <v>0</v>
      </c>
      <c r="Y169" s="246">
        <v>0</v>
      </c>
      <c r="Z169" s="246">
        <v>0</v>
      </c>
      <c r="AA169" s="246">
        <v>0</v>
      </c>
      <c r="AB169" s="246">
        <v>0</v>
      </c>
      <c r="AC169" s="795">
        <v>0</v>
      </c>
      <c r="AD169" s="835">
        <v>0</v>
      </c>
      <c r="AE169" s="816">
        <v>0</v>
      </c>
      <c r="AF169" s="835">
        <v>0</v>
      </c>
      <c r="AG169" s="835">
        <v>0</v>
      </c>
      <c r="AH169" s="913">
        <v>0</v>
      </c>
      <c r="AI169" s="937">
        <v>0</v>
      </c>
      <c r="AJ169" s="937">
        <v>0</v>
      </c>
      <c r="AK169" s="937">
        <v>0</v>
      </c>
      <c r="AL169" s="937"/>
      <c r="AM169" s="937">
        <v>0</v>
      </c>
      <c r="AN169" s="937"/>
    </row>
    <row r="170" spans="2:40" ht="27.4" customHeight="1" x14ac:dyDescent="0.45">
      <c r="B170" s="1069"/>
      <c r="C170" s="1070"/>
      <c r="D170" s="1025"/>
      <c r="E170" s="1026"/>
      <c r="F170" s="385" t="s">
        <v>563</v>
      </c>
      <c r="G170" s="386" t="s">
        <v>137</v>
      </c>
      <c r="H170" s="386" t="s">
        <v>217</v>
      </c>
      <c r="I170" s="386"/>
      <c r="J170" s="387"/>
      <c r="K170" s="377">
        <v>0</v>
      </c>
      <c r="L170" s="1002"/>
      <c r="M170" s="416">
        <v>0</v>
      </c>
      <c r="N170" s="377">
        <v>0</v>
      </c>
      <c r="O170" s="376"/>
      <c r="P170" s="377">
        <v>0</v>
      </c>
      <c r="Q170" s="377"/>
      <c r="R170" s="377">
        <v>0</v>
      </c>
      <c r="S170" s="377"/>
      <c r="T170" s="377">
        <v>0</v>
      </c>
      <c r="U170" s="377"/>
      <c r="V170" s="377">
        <v>0</v>
      </c>
      <c r="W170" s="377">
        <v>0</v>
      </c>
      <c r="X170" s="377">
        <v>0</v>
      </c>
      <c r="Y170" s="377">
        <v>0</v>
      </c>
      <c r="Z170" s="377">
        <v>0</v>
      </c>
      <c r="AA170" s="377">
        <v>0</v>
      </c>
      <c r="AB170" s="377">
        <v>0</v>
      </c>
      <c r="AC170" s="810">
        <v>0</v>
      </c>
      <c r="AD170" s="847">
        <v>0</v>
      </c>
      <c r="AE170" s="824">
        <v>0</v>
      </c>
      <c r="AF170" s="847">
        <v>0</v>
      </c>
      <c r="AG170" s="847">
        <v>0</v>
      </c>
      <c r="AH170" s="927">
        <v>0</v>
      </c>
      <c r="AI170" s="951">
        <v>0</v>
      </c>
      <c r="AJ170" s="951">
        <v>0</v>
      </c>
      <c r="AK170" s="951">
        <v>0</v>
      </c>
      <c r="AL170" s="951"/>
      <c r="AM170" s="951">
        <v>0</v>
      </c>
      <c r="AN170" s="951"/>
    </row>
    <row r="171" spans="2:40" ht="27.4" customHeight="1" x14ac:dyDescent="0.45">
      <c r="B171" s="1061" t="s">
        <v>214</v>
      </c>
      <c r="C171" s="1062"/>
      <c r="D171" s="1017" t="s">
        <v>564</v>
      </c>
      <c r="E171" s="1018"/>
      <c r="F171" s="87" t="s">
        <v>565</v>
      </c>
      <c r="G171" s="83" t="s">
        <v>566</v>
      </c>
      <c r="H171" s="83" t="s">
        <v>73</v>
      </c>
      <c r="I171" s="83"/>
      <c r="J171" s="88" t="s">
        <v>60</v>
      </c>
      <c r="K171" s="372">
        <v>1</v>
      </c>
      <c r="L171" s="811"/>
      <c r="M171" s="417">
        <v>1</v>
      </c>
      <c r="N171" s="372">
        <v>1</v>
      </c>
      <c r="O171" s="371"/>
      <c r="P171" s="372">
        <v>1</v>
      </c>
      <c r="Q171" s="372"/>
      <c r="R171" s="372">
        <v>1</v>
      </c>
      <c r="S171" s="372"/>
      <c r="T171" s="372">
        <v>1</v>
      </c>
      <c r="U171" s="372"/>
      <c r="V171" s="372">
        <v>1</v>
      </c>
      <c r="W171" s="372">
        <v>1</v>
      </c>
      <c r="X171" s="372">
        <v>1</v>
      </c>
      <c r="Y171" s="372">
        <v>1</v>
      </c>
      <c r="Z171" s="372">
        <v>1</v>
      </c>
      <c r="AA171" s="372">
        <v>1</v>
      </c>
      <c r="AB171" s="372">
        <v>1</v>
      </c>
      <c r="AC171" s="811">
        <v>1</v>
      </c>
      <c r="AD171" s="848">
        <v>1</v>
      </c>
      <c r="AE171" s="825">
        <v>1</v>
      </c>
      <c r="AF171" s="848">
        <v>1</v>
      </c>
      <c r="AG171" s="848">
        <v>1</v>
      </c>
      <c r="AH171" s="928">
        <v>1</v>
      </c>
      <c r="AI171" s="952">
        <v>1</v>
      </c>
      <c r="AJ171" s="952">
        <v>1</v>
      </c>
      <c r="AK171" s="952">
        <v>1</v>
      </c>
      <c r="AL171" s="952"/>
      <c r="AM171" s="952">
        <v>1</v>
      </c>
      <c r="AN171" s="952"/>
    </row>
    <row r="172" spans="2:40" ht="27.4" customHeight="1" x14ac:dyDescent="0.45">
      <c r="B172" s="1063"/>
      <c r="C172" s="1064"/>
      <c r="D172" s="1019"/>
      <c r="E172" s="1020"/>
      <c r="F172" s="97" t="s">
        <v>567</v>
      </c>
      <c r="G172" s="56" t="s">
        <v>137</v>
      </c>
      <c r="H172" s="56" t="s">
        <v>345</v>
      </c>
      <c r="I172" s="56"/>
      <c r="J172" s="98"/>
      <c r="K172" s="246">
        <v>0.4</v>
      </c>
      <c r="L172" s="798"/>
      <c r="M172" s="411">
        <v>0.4</v>
      </c>
      <c r="N172" s="246">
        <v>0.42</v>
      </c>
      <c r="O172" s="335"/>
      <c r="P172" s="246">
        <v>0.42</v>
      </c>
      <c r="Q172" s="246"/>
      <c r="R172" s="246">
        <v>0.44</v>
      </c>
      <c r="S172" s="246"/>
      <c r="T172" s="246">
        <v>0.43</v>
      </c>
      <c r="U172" s="246"/>
      <c r="V172" s="246">
        <v>0.44</v>
      </c>
      <c r="W172" s="246">
        <v>0.46</v>
      </c>
      <c r="X172" s="246">
        <v>0.46</v>
      </c>
      <c r="Y172" s="246">
        <v>0.46</v>
      </c>
      <c r="Z172" s="246">
        <v>0.46</v>
      </c>
      <c r="AA172" s="246">
        <v>0.46</v>
      </c>
      <c r="AB172" s="246">
        <v>0.46</v>
      </c>
      <c r="AC172" s="795">
        <v>0.46</v>
      </c>
      <c r="AD172" s="835">
        <v>0.4</v>
      </c>
      <c r="AE172" s="816">
        <v>0.46</v>
      </c>
      <c r="AF172" s="835">
        <v>0.4</v>
      </c>
      <c r="AG172" s="835">
        <v>0.38</v>
      </c>
      <c r="AH172" s="913">
        <v>0.45</v>
      </c>
      <c r="AI172" s="937">
        <v>0.39</v>
      </c>
      <c r="AJ172" s="937">
        <v>0.44</v>
      </c>
      <c r="AK172" s="937">
        <v>0.44</v>
      </c>
      <c r="AL172" s="937"/>
      <c r="AM172" s="937">
        <v>0.44</v>
      </c>
      <c r="AN172" s="937"/>
    </row>
    <row r="173" spans="2:40" ht="27.4" customHeight="1" x14ac:dyDescent="0.45">
      <c r="B173" s="1063"/>
      <c r="C173" s="1064"/>
      <c r="D173" s="1019"/>
      <c r="E173" s="1020"/>
      <c r="F173" s="87" t="s">
        <v>568</v>
      </c>
      <c r="G173" s="83" t="s">
        <v>137</v>
      </c>
      <c r="H173" s="83" t="s">
        <v>345</v>
      </c>
      <c r="I173" s="83"/>
      <c r="J173" s="88"/>
      <c r="K173" s="246">
        <v>0.41</v>
      </c>
      <c r="L173" s="798"/>
      <c r="M173" s="411">
        <v>0.4</v>
      </c>
      <c r="N173" s="246">
        <v>0.41</v>
      </c>
      <c r="O173" s="335"/>
      <c r="P173" s="246">
        <v>0.41</v>
      </c>
      <c r="Q173" s="246"/>
      <c r="R173" s="246">
        <v>0.42</v>
      </c>
      <c r="S173" s="246"/>
      <c r="T173" s="246">
        <v>0.42</v>
      </c>
      <c r="U173" s="246"/>
      <c r="V173" s="246">
        <v>0.43</v>
      </c>
      <c r="W173" s="246">
        <v>0.46</v>
      </c>
      <c r="X173" s="246">
        <v>0.46</v>
      </c>
      <c r="Y173" s="246">
        <v>0.46</v>
      </c>
      <c r="Z173" s="246">
        <v>0.46</v>
      </c>
      <c r="AA173" s="246">
        <v>0.46</v>
      </c>
      <c r="AB173" s="246">
        <v>0.46</v>
      </c>
      <c r="AC173" s="795">
        <v>0.46</v>
      </c>
      <c r="AD173" s="835">
        <v>0.41</v>
      </c>
      <c r="AE173" s="816">
        <v>0.47</v>
      </c>
      <c r="AF173" s="835">
        <v>0.4</v>
      </c>
      <c r="AG173" s="835">
        <v>0.39</v>
      </c>
      <c r="AH173" s="913">
        <v>0.46</v>
      </c>
      <c r="AI173" s="937">
        <v>0.39</v>
      </c>
      <c r="AJ173" s="937">
        <v>0.45</v>
      </c>
      <c r="AK173" s="937">
        <v>0.43</v>
      </c>
      <c r="AL173" s="937"/>
      <c r="AM173" s="937">
        <v>0.43</v>
      </c>
      <c r="AN173" s="937"/>
    </row>
    <row r="174" spans="2:40" ht="27.4" customHeight="1" x14ac:dyDescent="0.45">
      <c r="B174" s="1063"/>
      <c r="C174" s="1064"/>
      <c r="D174" s="1019"/>
      <c r="E174" s="1020"/>
      <c r="F174" s="97" t="s">
        <v>569</v>
      </c>
      <c r="G174" s="56" t="s">
        <v>434</v>
      </c>
      <c r="H174" s="56" t="s">
        <v>217</v>
      </c>
      <c r="I174" s="56"/>
      <c r="J174" s="98"/>
      <c r="K174" s="246">
        <v>0.15</v>
      </c>
      <c r="L174" s="798"/>
      <c r="M174" s="411">
        <v>0.1</v>
      </c>
      <c r="N174" s="246">
        <v>0.14799999999999999</v>
      </c>
      <c r="O174" s="335"/>
      <c r="P174" s="246">
        <v>0.27</v>
      </c>
      <c r="Q174" s="246"/>
      <c r="R174" s="246">
        <v>0.3</v>
      </c>
      <c r="S174" s="246"/>
      <c r="T174" s="246">
        <v>0.2</v>
      </c>
      <c r="U174" s="246"/>
      <c r="V174" s="246">
        <v>0.2</v>
      </c>
      <c r="W174" s="246">
        <v>0.311</v>
      </c>
      <c r="X174" s="246">
        <v>0.311</v>
      </c>
      <c r="Y174" s="246">
        <v>0.32800000000000001</v>
      </c>
      <c r="Z174" s="246">
        <v>0.311</v>
      </c>
      <c r="AA174" s="246">
        <v>0.53659999999999997</v>
      </c>
      <c r="AB174" s="246">
        <v>0.311</v>
      </c>
      <c r="AC174" s="795">
        <v>0.16</v>
      </c>
      <c r="AD174" s="835">
        <v>0.15</v>
      </c>
      <c r="AE174" s="816">
        <v>0.35</v>
      </c>
      <c r="AF174" s="835">
        <v>0.1</v>
      </c>
      <c r="AG174" s="835">
        <v>0.55000000000000004</v>
      </c>
      <c r="AH174" s="913">
        <v>0.33</v>
      </c>
      <c r="AI174" s="937">
        <v>0.4</v>
      </c>
      <c r="AJ174" s="937">
        <v>0.3</v>
      </c>
      <c r="AK174" s="937">
        <v>0.4</v>
      </c>
      <c r="AL174" s="937"/>
      <c r="AM174" s="937">
        <v>0.4</v>
      </c>
      <c r="AN174" s="937"/>
    </row>
    <row r="175" spans="2:40" ht="27.4" customHeight="1" x14ac:dyDescent="0.45">
      <c r="B175" s="1063"/>
      <c r="C175" s="1064"/>
      <c r="D175" s="1019"/>
      <c r="E175" s="1020"/>
      <c r="F175" s="87" t="s">
        <v>570</v>
      </c>
      <c r="G175" s="83" t="s">
        <v>137</v>
      </c>
      <c r="H175" s="83" t="s">
        <v>345</v>
      </c>
      <c r="I175" s="83"/>
      <c r="J175" s="88"/>
      <c r="K175" s="246">
        <v>0.42</v>
      </c>
      <c r="L175" s="798"/>
      <c r="M175" s="411">
        <v>0.4</v>
      </c>
      <c r="N175" s="246">
        <v>0.41</v>
      </c>
      <c r="O175" s="335"/>
      <c r="P175" s="246">
        <v>0.41</v>
      </c>
      <c r="Q175" s="246"/>
      <c r="R175" s="246">
        <v>0.42</v>
      </c>
      <c r="S175" s="246"/>
      <c r="T175" s="246">
        <v>0.42</v>
      </c>
      <c r="U175" s="246"/>
      <c r="V175" s="246">
        <v>0.42</v>
      </c>
      <c r="W175" s="246">
        <v>0.45</v>
      </c>
      <c r="X175" s="246">
        <v>0.45</v>
      </c>
      <c r="Y175" s="246">
        <v>0.46</v>
      </c>
      <c r="Z175" s="246">
        <v>0.45</v>
      </c>
      <c r="AA175" s="246">
        <v>0.45</v>
      </c>
      <c r="AB175" s="246">
        <v>0.45</v>
      </c>
      <c r="AC175" s="795">
        <v>0.45</v>
      </c>
      <c r="AD175" s="835">
        <v>0.42</v>
      </c>
      <c r="AE175" s="816">
        <v>0.48</v>
      </c>
      <c r="AF175" s="835">
        <v>0.4</v>
      </c>
      <c r="AG175" s="835">
        <v>0.4</v>
      </c>
      <c r="AH175" s="913">
        <v>0.47</v>
      </c>
      <c r="AI175" s="937" t="s">
        <v>571</v>
      </c>
      <c r="AJ175" s="937">
        <v>0.46</v>
      </c>
      <c r="AK175" s="937">
        <v>0.42</v>
      </c>
      <c r="AL175" s="937"/>
      <c r="AM175" s="937">
        <v>0.42</v>
      </c>
      <c r="AN175" s="937"/>
    </row>
    <row r="176" spans="2:40" ht="27.4" customHeight="1" x14ac:dyDescent="0.45">
      <c r="B176" s="1063"/>
      <c r="C176" s="1064"/>
      <c r="D176" s="1019"/>
      <c r="E176" s="1020"/>
      <c r="F176" s="97" t="s">
        <v>572</v>
      </c>
      <c r="G176" s="56" t="s">
        <v>137</v>
      </c>
      <c r="H176" s="56" t="s">
        <v>491</v>
      </c>
      <c r="I176" s="56"/>
      <c r="J176" s="98"/>
      <c r="K176" s="246">
        <v>0.1</v>
      </c>
      <c r="L176" s="798"/>
      <c r="M176" s="411">
        <v>0.1</v>
      </c>
      <c r="N176" s="246">
        <v>0.1</v>
      </c>
      <c r="O176" s="335"/>
      <c r="P176" s="246">
        <v>0.1</v>
      </c>
      <c r="Q176" s="246"/>
      <c r="R176" s="246">
        <v>0.2</v>
      </c>
      <c r="S176" s="246"/>
      <c r="T176" s="246">
        <v>0.1</v>
      </c>
      <c r="U176" s="246"/>
      <c r="V176" s="246">
        <v>0.1</v>
      </c>
      <c r="W176" s="246">
        <v>0.2</v>
      </c>
      <c r="X176" s="246">
        <v>0.2</v>
      </c>
      <c r="Y176" s="246">
        <v>0.2</v>
      </c>
      <c r="Z176" s="246">
        <v>0.2</v>
      </c>
      <c r="AA176" s="246">
        <v>0.3</v>
      </c>
      <c r="AB176" s="246">
        <v>0.2</v>
      </c>
      <c r="AC176" s="795">
        <v>0.1</v>
      </c>
      <c r="AD176" s="835">
        <v>0.1</v>
      </c>
      <c r="AE176" s="816">
        <v>0.2</v>
      </c>
      <c r="AF176" s="835">
        <v>0.1</v>
      </c>
      <c r="AG176" s="835">
        <v>0.3</v>
      </c>
      <c r="AH176" s="913">
        <v>0.2</v>
      </c>
      <c r="AI176" s="937">
        <v>0.3</v>
      </c>
      <c r="AJ176" s="937">
        <v>0.2</v>
      </c>
      <c r="AK176" s="937">
        <v>0.2</v>
      </c>
      <c r="AL176" s="937"/>
      <c r="AM176" s="937">
        <v>0.2</v>
      </c>
      <c r="AN176" s="937"/>
    </row>
    <row r="177" spans="1:40" ht="27.4" customHeight="1" x14ac:dyDescent="0.45">
      <c r="B177" s="1063"/>
      <c r="C177" s="1064"/>
      <c r="D177" s="1019"/>
      <c r="E177" s="1020"/>
      <c r="F177" s="87" t="s">
        <v>573</v>
      </c>
      <c r="G177" s="83" t="s">
        <v>137</v>
      </c>
      <c r="H177" s="83" t="s">
        <v>345</v>
      </c>
      <c r="I177" s="83"/>
      <c r="J177" s="88"/>
      <c r="K177" s="246">
        <v>0</v>
      </c>
      <c r="L177" s="798"/>
      <c r="M177" s="411">
        <v>0</v>
      </c>
      <c r="N177" s="246">
        <v>0</v>
      </c>
      <c r="O177" s="335"/>
      <c r="P177" s="246">
        <v>0</v>
      </c>
      <c r="Q177" s="246"/>
      <c r="R177" s="246">
        <v>0</v>
      </c>
      <c r="S177" s="246"/>
      <c r="T177" s="246">
        <v>0</v>
      </c>
      <c r="U177" s="246"/>
      <c r="V177" s="246">
        <v>0</v>
      </c>
      <c r="W177" s="246">
        <v>0</v>
      </c>
      <c r="X177" s="246">
        <v>0</v>
      </c>
      <c r="Y177" s="246">
        <v>0</v>
      </c>
      <c r="Z177" s="246">
        <v>0</v>
      </c>
      <c r="AA177" s="246">
        <v>0</v>
      </c>
      <c r="AB177" s="246">
        <v>0</v>
      </c>
      <c r="AC177" s="795">
        <v>0.46</v>
      </c>
      <c r="AD177" s="835">
        <v>0.44</v>
      </c>
      <c r="AE177" s="816">
        <v>0.44</v>
      </c>
      <c r="AF177" s="835">
        <v>0.44</v>
      </c>
      <c r="AG177" s="835">
        <v>0.44</v>
      </c>
      <c r="AH177" s="913">
        <v>0.44</v>
      </c>
      <c r="AI177" s="937">
        <v>0.44</v>
      </c>
      <c r="AJ177" s="937">
        <v>0.44</v>
      </c>
      <c r="AK177" s="937">
        <v>0.42</v>
      </c>
      <c r="AL177" s="937"/>
      <c r="AM177" s="937">
        <v>0.42</v>
      </c>
      <c r="AN177" s="937"/>
    </row>
    <row r="178" spans="1:40" ht="37.9" customHeight="1" x14ac:dyDescent="0.45">
      <c r="B178" s="1063"/>
      <c r="C178" s="1064"/>
      <c r="D178" s="1019"/>
      <c r="E178" s="1020"/>
      <c r="F178" s="97" t="s">
        <v>574</v>
      </c>
      <c r="G178" s="56" t="s">
        <v>21</v>
      </c>
      <c r="H178" s="56"/>
      <c r="I178" s="56" t="s">
        <v>575</v>
      </c>
      <c r="J178" s="98"/>
      <c r="K178" s="351" t="s">
        <v>48</v>
      </c>
      <c r="L178" s="768"/>
      <c r="M178" s="411"/>
      <c r="N178" s="351" t="s">
        <v>48</v>
      </c>
      <c r="O178" s="335"/>
      <c r="P178" s="351" t="s">
        <v>48</v>
      </c>
      <c r="Q178" s="351"/>
      <c r="R178" s="351" t="s">
        <v>48</v>
      </c>
      <c r="S178" s="351"/>
      <c r="T178" s="351" t="s">
        <v>576</v>
      </c>
      <c r="U178" s="351"/>
      <c r="V178" s="351" t="s">
        <v>576</v>
      </c>
      <c r="W178" s="351" t="s">
        <v>48</v>
      </c>
      <c r="X178" s="351" t="s">
        <v>48</v>
      </c>
      <c r="Y178" s="351" t="s">
        <v>48</v>
      </c>
      <c r="Z178" s="351" t="s">
        <v>48</v>
      </c>
      <c r="AA178" s="351" t="s">
        <v>48</v>
      </c>
      <c r="AB178" s="351" t="s">
        <v>48</v>
      </c>
      <c r="AC178" s="803" t="s">
        <v>48</v>
      </c>
      <c r="AD178" s="842" t="s">
        <v>48</v>
      </c>
      <c r="AE178" s="832" t="s">
        <v>48</v>
      </c>
      <c r="AF178" s="842" t="s">
        <v>48</v>
      </c>
      <c r="AG178" s="842" t="s">
        <v>48</v>
      </c>
      <c r="AH178" s="922" t="s">
        <v>48</v>
      </c>
      <c r="AI178" s="946" t="s">
        <v>48</v>
      </c>
      <c r="AJ178" s="946" t="s">
        <v>48</v>
      </c>
      <c r="AK178" s="946" t="s">
        <v>48</v>
      </c>
      <c r="AL178" s="946"/>
      <c r="AM178" s="946" t="s">
        <v>48</v>
      </c>
      <c r="AN178" s="946"/>
    </row>
    <row r="179" spans="1:40" s="494" customFormat="1" ht="27.4" customHeight="1" x14ac:dyDescent="0.45">
      <c r="A179" s="237"/>
      <c r="B179" s="1063"/>
      <c r="C179" s="1064"/>
      <c r="D179" s="1019"/>
      <c r="E179" s="1020"/>
      <c r="F179" s="87" t="s">
        <v>569</v>
      </c>
      <c r="G179" s="83" t="s">
        <v>137</v>
      </c>
      <c r="H179" s="83" t="s">
        <v>73</v>
      </c>
      <c r="I179" s="83"/>
      <c r="J179" s="88"/>
      <c r="K179" s="493"/>
      <c r="L179" s="1005"/>
      <c r="M179" s="667"/>
      <c r="N179" s="493"/>
      <c r="O179" s="773"/>
      <c r="P179" s="493"/>
      <c r="Q179" s="493"/>
      <c r="R179" s="493"/>
      <c r="S179" s="493"/>
      <c r="T179" s="493"/>
      <c r="U179" s="493"/>
      <c r="V179" s="493"/>
      <c r="W179" s="493"/>
      <c r="X179" s="493"/>
      <c r="Y179" s="493"/>
      <c r="Z179" s="493"/>
      <c r="AA179" s="493"/>
      <c r="AB179" s="493"/>
      <c r="AC179" s="814" t="s">
        <v>21</v>
      </c>
      <c r="AD179" s="851"/>
      <c r="AE179" s="827"/>
      <c r="AF179" s="851"/>
      <c r="AG179" s="851"/>
      <c r="AH179" s="931"/>
      <c r="AI179" s="955" t="s">
        <v>21</v>
      </c>
      <c r="AJ179" s="955" t="s">
        <v>21</v>
      </c>
      <c r="AK179" s="955" t="s">
        <v>21</v>
      </c>
      <c r="AL179" s="955"/>
      <c r="AM179" s="955" t="s">
        <v>21</v>
      </c>
      <c r="AN179" s="955"/>
    </row>
    <row r="180" spans="1:40" ht="27.4" customHeight="1" x14ac:dyDescent="0.45">
      <c r="B180" s="1063"/>
      <c r="C180" s="1064"/>
      <c r="D180" s="1019"/>
      <c r="E180" s="1020"/>
      <c r="F180" s="97" t="s">
        <v>577</v>
      </c>
      <c r="G180" s="56" t="s">
        <v>578</v>
      </c>
      <c r="H180" s="56" t="s">
        <v>73</v>
      </c>
      <c r="I180" s="56"/>
      <c r="J180" s="98"/>
      <c r="K180" s="246" t="s">
        <v>579</v>
      </c>
      <c r="L180" s="1008">
        <f>VALUE(LEFT(K180,FIND("D",K180)-1))*24+VALUE(MID(K180,FIND("D",K180)+1,FIND("H",K180)-FIND("D",K180)-1))+VALUE(MID(K180,FIND("H",K180)+1,FIND("M",K180)-FIND("H",K180)-1))/60+VALUE(MID(K180,FIND("M",K180)+1,FIND("S",K180)-FIND("M",K180)-1))/3600</f>
        <v>5446.9705555555547</v>
      </c>
      <c r="M180" s="411" t="s">
        <v>580</v>
      </c>
      <c r="N180" s="896" t="s">
        <v>581</v>
      </c>
      <c r="O180" s="1008">
        <f>VALUE(LEFT(N180,FIND("D",N180)-1))*24+VALUE(MID(N180,FIND("D",N180)+1,FIND("H",N180)-FIND("D",N180)-1))+VALUE(MID(N180,FIND("H",N180)+1,FIND("M",N180)-FIND("H",N180)-1))/60+VALUE(MID(N180,FIND("M",N180)+1,FIND("S",N180)-FIND("M",N180)-1))/3600</f>
        <v>5490.9963888888888</v>
      </c>
      <c r="P180" s="896" t="s">
        <v>582</v>
      </c>
      <c r="Q180" s="246"/>
      <c r="R180" s="896" t="s">
        <v>583</v>
      </c>
      <c r="S180" s="246"/>
      <c r="T180" s="896" t="s">
        <v>584</v>
      </c>
      <c r="U180" s="246"/>
      <c r="V180" s="246"/>
      <c r="W180" s="246">
        <f>233*24+3</f>
        <v>5595</v>
      </c>
      <c r="X180" s="246"/>
      <c r="Y180" s="246">
        <f>24*234+6</f>
        <v>5622</v>
      </c>
      <c r="Z180" s="896" t="s">
        <v>585</v>
      </c>
      <c r="AA180" s="246">
        <f>24*235+12</f>
        <v>5652</v>
      </c>
      <c r="AB180" s="896" t="s">
        <v>586</v>
      </c>
      <c r="AC180" s="795">
        <v>5673</v>
      </c>
      <c r="AD180" s="835"/>
      <c r="AE180" s="816">
        <v>5699.2</v>
      </c>
      <c r="AF180" s="835"/>
      <c r="AG180" s="835"/>
      <c r="AH180" s="913">
        <v>5741.42</v>
      </c>
      <c r="AI180" s="956" t="s">
        <v>587</v>
      </c>
      <c r="AJ180" s="937">
        <v>5809.02</v>
      </c>
      <c r="AK180" s="937">
        <v>5832.09</v>
      </c>
      <c r="AL180" s="937"/>
      <c r="AM180" s="937">
        <v>5832.09</v>
      </c>
      <c r="AN180" s="937"/>
    </row>
    <row r="181" spans="1:40" ht="27.4" customHeight="1" x14ac:dyDescent="0.45">
      <c r="B181" s="1063"/>
      <c r="C181" s="1064"/>
      <c r="D181" s="1019"/>
      <c r="E181" s="1020"/>
      <c r="F181" s="87" t="s">
        <v>588</v>
      </c>
      <c r="G181" s="83" t="s">
        <v>578</v>
      </c>
      <c r="H181" s="83" t="s">
        <v>73</v>
      </c>
      <c r="I181" s="83"/>
      <c r="J181" s="88"/>
      <c r="K181" s="246" t="s">
        <v>589</v>
      </c>
      <c r="L181" s="1008">
        <f>VALUE(LEFT(K181,FIND("D",K181)-1))*24+VALUE(MID(K181,FIND("D",K181)+1,FIND("H",K181)-FIND("D",K181)-1))+VALUE(MID(K181,FIND("H",K181)+1,FIND("M",K181)-FIND("H",K181)-1))/60+VALUE(MID(K181,FIND("M",K181)+1,FIND("S",K181)-FIND("M",K181)-1))/3600</f>
        <v>2372.3852777777774</v>
      </c>
      <c r="M181" s="411" t="s">
        <v>590</v>
      </c>
      <c r="N181" s="896" t="s">
        <v>589</v>
      </c>
      <c r="O181" s="1008">
        <f>VALUE(LEFT(N181,FIND("D",N181)-1))*24+VALUE(MID(N181,FIND("D",N181)+1,FIND("H",N181)-FIND("D",N181)-1))+VALUE(MID(N181,FIND("H",N181)+1,FIND("M",N181)-FIND("H",N181)-1))/60+VALUE(MID(N181,FIND("M",N181)+1,FIND("S",N181)-FIND("M",N181)-1))/3600</f>
        <v>2372.3852777777774</v>
      </c>
      <c r="P181" s="896" t="s">
        <v>591</v>
      </c>
      <c r="Q181" s="246"/>
      <c r="R181" s="896" t="s">
        <v>592</v>
      </c>
      <c r="S181" s="246"/>
      <c r="T181" s="896" t="s">
        <v>593</v>
      </c>
      <c r="U181" s="246"/>
      <c r="V181" s="246"/>
      <c r="W181" s="896">
        <f>98*24+20</f>
        <v>2372</v>
      </c>
      <c r="X181" s="246"/>
      <c r="Y181" s="896">
        <v>2372</v>
      </c>
      <c r="Z181" s="896" t="s">
        <v>594</v>
      </c>
      <c r="AA181" s="896">
        <v>2372</v>
      </c>
      <c r="AB181" s="896" t="s">
        <v>594</v>
      </c>
      <c r="AC181" s="795">
        <v>2372.54</v>
      </c>
      <c r="AD181" s="835"/>
      <c r="AE181" s="816">
        <v>2372.54</v>
      </c>
      <c r="AF181" s="835"/>
      <c r="AG181" s="835"/>
      <c r="AH181" s="913">
        <v>2372.54</v>
      </c>
      <c r="AI181" s="937">
        <v>2372.54</v>
      </c>
      <c r="AJ181" s="937">
        <v>2372.54</v>
      </c>
      <c r="AK181" s="937">
        <v>2372.54</v>
      </c>
      <c r="AL181" s="937"/>
      <c r="AM181" s="937">
        <v>2372.54</v>
      </c>
      <c r="AN181" s="937"/>
    </row>
    <row r="182" spans="1:40" ht="27.4" customHeight="1" x14ac:dyDescent="0.45">
      <c r="B182" s="1063"/>
      <c r="C182" s="1064"/>
      <c r="D182" s="1021"/>
      <c r="E182" s="1022"/>
      <c r="F182" s="348" t="s">
        <v>595</v>
      </c>
      <c r="G182" s="349" t="s">
        <v>115</v>
      </c>
      <c r="H182" s="349" t="s">
        <v>73</v>
      </c>
      <c r="I182" s="349" t="s">
        <v>21</v>
      </c>
      <c r="J182" s="350" t="s">
        <v>21</v>
      </c>
      <c r="K182" s="352">
        <v>752.99</v>
      </c>
      <c r="L182" s="1000"/>
      <c r="M182" s="413">
        <v>752.56</v>
      </c>
      <c r="N182" s="352">
        <v>753.03</v>
      </c>
      <c r="O182" s="351"/>
      <c r="P182" s="352">
        <v>753</v>
      </c>
      <c r="Q182" s="352"/>
      <c r="R182" s="352">
        <v>752.89</v>
      </c>
      <c r="S182" s="352"/>
      <c r="T182" s="352">
        <v>753.05</v>
      </c>
      <c r="U182" s="352"/>
      <c r="V182" s="352">
        <v>752.95</v>
      </c>
      <c r="W182" s="352">
        <v>753.03</v>
      </c>
      <c r="X182" s="352">
        <v>753.1</v>
      </c>
      <c r="Y182" s="352">
        <v>753.07</v>
      </c>
      <c r="Z182" s="352">
        <v>753</v>
      </c>
      <c r="AA182" s="352">
        <v>753.05</v>
      </c>
      <c r="AB182" s="352">
        <v>753</v>
      </c>
      <c r="AC182" s="800">
        <v>753.08</v>
      </c>
      <c r="AD182" s="839">
        <v>752.99</v>
      </c>
      <c r="AE182" s="822">
        <v>753.03</v>
      </c>
      <c r="AF182" s="839">
        <v>752.56</v>
      </c>
      <c r="AG182" s="839">
        <v>753.56</v>
      </c>
      <c r="AH182" s="919">
        <v>752.18</v>
      </c>
      <c r="AI182" s="943">
        <v>753.53</v>
      </c>
      <c r="AJ182" s="943">
        <v>752.53</v>
      </c>
      <c r="AK182" s="943">
        <v>752.97</v>
      </c>
      <c r="AL182" s="943"/>
      <c r="AM182" s="943">
        <v>752.97</v>
      </c>
      <c r="AN182" s="943"/>
    </row>
    <row r="183" spans="1:40" ht="27.4" customHeight="1" x14ac:dyDescent="0.45">
      <c r="B183" s="1063"/>
      <c r="C183" s="1064"/>
      <c r="D183" s="1023" t="s">
        <v>596</v>
      </c>
      <c r="E183" s="1024"/>
      <c r="F183" s="87" t="s">
        <v>565</v>
      </c>
      <c r="G183" s="83" t="s">
        <v>566</v>
      </c>
      <c r="H183" s="83" t="s">
        <v>21</v>
      </c>
      <c r="I183" s="83"/>
      <c r="J183" s="88" t="s">
        <v>60</v>
      </c>
      <c r="K183" s="260">
        <v>1</v>
      </c>
      <c r="L183" s="798"/>
      <c r="M183" s="411">
        <v>1</v>
      </c>
      <c r="N183" s="260">
        <v>2</v>
      </c>
      <c r="O183" s="335"/>
      <c r="P183" s="260">
        <v>2</v>
      </c>
      <c r="Q183" s="260"/>
      <c r="R183" s="260">
        <v>1</v>
      </c>
      <c r="S183" s="260"/>
      <c r="T183" s="260">
        <v>1</v>
      </c>
      <c r="U183" s="260"/>
      <c r="V183" s="260">
        <v>1</v>
      </c>
      <c r="W183" s="260">
        <v>1</v>
      </c>
      <c r="X183" s="260">
        <v>1</v>
      </c>
      <c r="Y183" s="260">
        <v>1</v>
      </c>
      <c r="Z183" s="260">
        <v>1</v>
      </c>
      <c r="AA183" s="260">
        <v>1</v>
      </c>
      <c r="AB183" s="260">
        <v>1</v>
      </c>
      <c r="AC183" s="798">
        <v>1</v>
      </c>
      <c r="AD183" s="836">
        <v>1</v>
      </c>
      <c r="AE183" s="818">
        <v>1</v>
      </c>
      <c r="AF183" s="836">
        <v>1</v>
      </c>
      <c r="AG183" s="836">
        <v>1</v>
      </c>
      <c r="AH183" s="917" t="s">
        <v>21</v>
      </c>
      <c r="AI183" s="941">
        <v>1</v>
      </c>
      <c r="AJ183" s="941">
        <v>1</v>
      </c>
      <c r="AK183" s="941">
        <v>1</v>
      </c>
      <c r="AL183" s="941"/>
      <c r="AM183" s="941">
        <v>1</v>
      </c>
      <c r="AN183" s="941"/>
    </row>
    <row r="184" spans="1:40" ht="27.4" customHeight="1" x14ac:dyDescent="0.45">
      <c r="B184" s="1063"/>
      <c r="C184" s="1064"/>
      <c r="D184" s="1019"/>
      <c r="E184" s="1020"/>
      <c r="F184" s="97" t="s">
        <v>567</v>
      </c>
      <c r="G184" s="56" t="s">
        <v>137</v>
      </c>
      <c r="H184" s="56" t="s">
        <v>345</v>
      </c>
      <c r="I184" s="56"/>
      <c r="J184" s="98"/>
      <c r="K184" s="246">
        <v>0.38</v>
      </c>
      <c r="L184" s="798"/>
      <c r="M184" s="411">
        <v>0.38</v>
      </c>
      <c r="N184" s="246">
        <v>0.26</v>
      </c>
      <c r="O184" s="335"/>
      <c r="P184" s="246">
        <v>0.25</v>
      </c>
      <c r="Q184" s="246"/>
      <c r="R184" s="246">
        <v>0.34</v>
      </c>
      <c r="S184" s="246"/>
      <c r="T184" s="246">
        <v>0.35</v>
      </c>
      <c r="U184" s="246"/>
      <c r="V184" s="246">
        <v>0.34</v>
      </c>
      <c r="W184" s="246">
        <v>0.32</v>
      </c>
      <c r="X184" s="246">
        <v>0.33</v>
      </c>
      <c r="Y184" s="246">
        <v>0.34</v>
      </c>
      <c r="Z184" s="246">
        <v>0.34</v>
      </c>
      <c r="AA184" s="246">
        <v>0.34</v>
      </c>
      <c r="AB184" s="246">
        <v>0.34</v>
      </c>
      <c r="AC184" s="795">
        <v>0.34</v>
      </c>
      <c r="AD184" s="835">
        <v>0.38</v>
      </c>
      <c r="AE184" s="816">
        <v>0.34</v>
      </c>
      <c r="AF184" s="835">
        <v>0.38</v>
      </c>
      <c r="AG184" s="835">
        <v>0.33</v>
      </c>
      <c r="AH184" s="913">
        <v>0</v>
      </c>
      <c r="AI184" s="937">
        <v>0.32</v>
      </c>
      <c r="AJ184" s="937">
        <v>0.34</v>
      </c>
      <c r="AK184" s="937">
        <v>0.34</v>
      </c>
      <c r="AL184" s="937"/>
      <c r="AM184" s="937">
        <v>0.34</v>
      </c>
      <c r="AN184" s="937"/>
    </row>
    <row r="185" spans="1:40" ht="27.4" customHeight="1" x14ac:dyDescent="0.45">
      <c r="B185" s="1063"/>
      <c r="C185" s="1064"/>
      <c r="D185" s="1019"/>
      <c r="E185" s="1020"/>
      <c r="F185" s="87" t="s">
        <v>568</v>
      </c>
      <c r="G185" s="83" t="s">
        <v>137</v>
      </c>
      <c r="H185" s="83" t="s">
        <v>345</v>
      </c>
      <c r="I185" s="83"/>
      <c r="J185" s="88"/>
      <c r="K185" s="246">
        <v>0.38</v>
      </c>
      <c r="L185" s="798"/>
      <c r="M185" s="411">
        <v>0.38</v>
      </c>
      <c r="N185" s="246">
        <v>0.2</v>
      </c>
      <c r="O185" s="335"/>
      <c r="P185" s="246">
        <v>0.2</v>
      </c>
      <c r="Q185" s="246"/>
      <c r="R185" s="246">
        <v>0.31</v>
      </c>
      <c r="S185" s="246"/>
      <c r="T185" s="246">
        <v>0.33</v>
      </c>
      <c r="U185" s="246"/>
      <c r="V185" s="246">
        <v>0.33</v>
      </c>
      <c r="W185" s="246">
        <v>0.31</v>
      </c>
      <c r="X185" s="246">
        <v>0.32</v>
      </c>
      <c r="Y185" s="246">
        <v>0.32</v>
      </c>
      <c r="Z185" s="246">
        <v>0.32</v>
      </c>
      <c r="AA185" s="246">
        <v>0.32</v>
      </c>
      <c r="AB185" s="246">
        <v>0.32</v>
      </c>
      <c r="AC185" s="795">
        <v>0.31</v>
      </c>
      <c r="AD185" s="835">
        <v>0.38</v>
      </c>
      <c r="AE185" s="816">
        <v>0.32</v>
      </c>
      <c r="AF185" s="835">
        <v>0.38</v>
      </c>
      <c r="AG185" s="835">
        <v>0.3</v>
      </c>
      <c r="AH185" s="913">
        <v>0</v>
      </c>
      <c r="AI185" s="937">
        <v>0.31</v>
      </c>
      <c r="AJ185" s="937">
        <v>0.31</v>
      </c>
      <c r="AK185" s="937">
        <v>0.3</v>
      </c>
      <c r="AL185" s="937"/>
      <c r="AM185" s="937">
        <v>0.3</v>
      </c>
      <c r="AN185" s="937"/>
    </row>
    <row r="186" spans="1:40" ht="27.4" customHeight="1" x14ac:dyDescent="0.45">
      <c r="B186" s="1063"/>
      <c r="C186" s="1064"/>
      <c r="D186" s="1019"/>
      <c r="E186" s="1020"/>
      <c r="F186" s="97" t="s">
        <v>569</v>
      </c>
      <c r="G186" s="56" t="s">
        <v>434</v>
      </c>
      <c r="H186" s="56" t="s">
        <v>217</v>
      </c>
      <c r="I186" s="56"/>
      <c r="J186" s="98"/>
      <c r="K186" s="246">
        <v>274.3</v>
      </c>
      <c r="L186" s="798"/>
      <c r="M186" s="411">
        <v>274</v>
      </c>
      <c r="N186" s="246" t="s">
        <v>168</v>
      </c>
      <c r="O186" s="777"/>
      <c r="P186" s="246" t="s">
        <v>168</v>
      </c>
      <c r="Q186" s="246"/>
      <c r="R186" s="246" t="s">
        <v>597</v>
      </c>
      <c r="S186" s="246"/>
      <c r="T186" s="246" t="s">
        <v>598</v>
      </c>
      <c r="U186" s="246"/>
      <c r="V186" s="246" t="s">
        <v>598</v>
      </c>
      <c r="W186" s="246" t="s">
        <v>598</v>
      </c>
      <c r="X186" s="246" t="s">
        <v>597</v>
      </c>
      <c r="Y186" s="246" t="s">
        <v>597</v>
      </c>
      <c r="Z186" s="246" t="s">
        <v>597</v>
      </c>
      <c r="AA186" s="246" t="s">
        <v>597</v>
      </c>
      <c r="AB186" s="246" t="s">
        <v>597</v>
      </c>
      <c r="AC186" s="795" t="s">
        <v>599</v>
      </c>
      <c r="AD186" s="835" t="s">
        <v>597</v>
      </c>
      <c r="AE186" s="816" t="s">
        <v>597</v>
      </c>
      <c r="AF186" s="835" t="s">
        <v>597</v>
      </c>
      <c r="AG186" s="835" t="s">
        <v>597</v>
      </c>
      <c r="AH186" s="913" t="s">
        <v>597</v>
      </c>
      <c r="AI186" s="937" t="s">
        <v>597</v>
      </c>
      <c r="AJ186" s="937" t="s">
        <v>597</v>
      </c>
      <c r="AK186" s="937" t="s">
        <v>597</v>
      </c>
      <c r="AL186" s="937"/>
      <c r="AM186" s="937" t="s">
        <v>597</v>
      </c>
      <c r="AN186" s="937"/>
    </row>
    <row r="187" spans="1:40" ht="27.4" customHeight="1" x14ac:dyDescent="0.45">
      <c r="B187" s="1063"/>
      <c r="C187" s="1064"/>
      <c r="D187" s="1019"/>
      <c r="E187" s="1020"/>
      <c r="F187" s="87" t="s">
        <v>570</v>
      </c>
      <c r="G187" s="83" t="s">
        <v>137</v>
      </c>
      <c r="H187" s="83" t="s">
        <v>345</v>
      </c>
      <c r="I187" s="83"/>
      <c r="J187" s="88"/>
      <c r="K187" s="246">
        <v>0.3</v>
      </c>
      <c r="L187" s="798"/>
      <c r="M187" s="411">
        <v>0.3</v>
      </c>
      <c r="N187" s="246">
        <v>0.2</v>
      </c>
      <c r="O187" s="335"/>
      <c r="P187" s="246">
        <v>0.2</v>
      </c>
      <c r="Q187" s="246"/>
      <c r="R187" s="246">
        <v>0.3</v>
      </c>
      <c r="S187" s="246"/>
      <c r="T187" s="246">
        <v>0.31</v>
      </c>
      <c r="U187" s="246"/>
      <c r="V187" s="246">
        <v>0.32</v>
      </c>
      <c r="W187" s="246">
        <v>0.3</v>
      </c>
      <c r="X187" s="246">
        <v>0.2</v>
      </c>
      <c r="Y187" s="246">
        <v>0.3</v>
      </c>
      <c r="Z187" s="246">
        <v>0.3</v>
      </c>
      <c r="AA187" s="246">
        <v>0.3</v>
      </c>
      <c r="AB187" s="246">
        <v>0.3</v>
      </c>
      <c r="AC187" s="795">
        <v>0.3</v>
      </c>
      <c r="AD187" s="835">
        <v>0.3</v>
      </c>
      <c r="AE187" s="816">
        <v>0.3</v>
      </c>
      <c r="AF187" s="835">
        <v>0.3</v>
      </c>
      <c r="AG187" s="835">
        <v>0.3</v>
      </c>
      <c r="AH187" s="913">
        <v>0</v>
      </c>
      <c r="AI187" s="937">
        <v>0.3</v>
      </c>
      <c r="AJ187" s="937">
        <v>0.3</v>
      </c>
      <c r="AK187" s="937">
        <v>0.3</v>
      </c>
      <c r="AL187" s="937"/>
      <c r="AM187" s="937">
        <v>0.3</v>
      </c>
      <c r="AN187" s="937"/>
    </row>
    <row r="188" spans="1:40" ht="27.4" customHeight="1" x14ac:dyDescent="0.45">
      <c r="B188" s="1063"/>
      <c r="C188" s="1064"/>
      <c r="D188" s="1019"/>
      <c r="E188" s="1020"/>
      <c r="F188" s="97" t="s">
        <v>572</v>
      </c>
      <c r="G188" s="56" t="s">
        <v>137</v>
      </c>
      <c r="H188" s="56" t="s">
        <v>491</v>
      </c>
      <c r="I188" s="56"/>
      <c r="J188" s="98"/>
      <c r="K188" s="246"/>
      <c r="L188" s="798"/>
      <c r="M188" s="411"/>
      <c r="N188" s="246"/>
      <c r="O188" s="777"/>
      <c r="P188" s="246"/>
      <c r="Q188" s="246"/>
      <c r="R188" s="246" t="s">
        <v>597</v>
      </c>
      <c r="S188" s="246"/>
      <c r="T188" s="246" t="s">
        <v>598</v>
      </c>
      <c r="U188" s="246"/>
      <c r="V188" s="246" t="s">
        <v>598</v>
      </c>
      <c r="W188" s="246">
        <v>-0.6</v>
      </c>
      <c r="X188" s="246" t="s">
        <v>597</v>
      </c>
      <c r="Y188" s="246" t="s">
        <v>597</v>
      </c>
      <c r="Z188" s="246" t="s">
        <v>597</v>
      </c>
      <c r="AA188" s="246" t="s">
        <v>597</v>
      </c>
      <c r="AB188" s="246" t="s">
        <v>597</v>
      </c>
      <c r="AC188" s="795" t="s">
        <v>597</v>
      </c>
      <c r="AD188" s="835" t="s">
        <v>597</v>
      </c>
      <c r="AE188" s="816" t="s">
        <v>597</v>
      </c>
      <c r="AF188" s="835" t="s">
        <v>597</v>
      </c>
      <c r="AG188" s="835" t="s">
        <v>597</v>
      </c>
      <c r="AH188" s="913" t="s">
        <v>597</v>
      </c>
      <c r="AI188" s="937" t="s">
        <v>597</v>
      </c>
      <c r="AJ188" s="937" t="s">
        <v>597</v>
      </c>
      <c r="AK188" s="937" t="s">
        <v>597</v>
      </c>
      <c r="AL188" s="937"/>
      <c r="AM188" s="937" t="s">
        <v>597</v>
      </c>
      <c r="AN188" s="937"/>
    </row>
    <row r="189" spans="1:40" ht="27.4" customHeight="1" x14ac:dyDescent="0.45">
      <c r="B189" s="1063"/>
      <c r="C189" s="1064"/>
      <c r="D189" s="1019"/>
      <c r="E189" s="1020"/>
      <c r="F189" s="87" t="s">
        <v>600</v>
      </c>
      <c r="G189" s="83" t="s">
        <v>137</v>
      </c>
      <c r="H189" s="83" t="s">
        <v>345</v>
      </c>
      <c r="I189" s="83"/>
      <c r="J189" s="88"/>
      <c r="K189" s="246">
        <v>0</v>
      </c>
      <c r="L189" s="798"/>
      <c r="M189" s="411">
        <v>0</v>
      </c>
      <c r="N189" s="246">
        <v>0</v>
      </c>
      <c r="O189" s="335"/>
      <c r="P189" s="246">
        <v>0</v>
      </c>
      <c r="Q189" s="246"/>
      <c r="R189" s="246">
        <v>0</v>
      </c>
      <c r="S189" s="246"/>
      <c r="T189" s="246">
        <v>0</v>
      </c>
      <c r="U189" s="246"/>
      <c r="V189" s="246">
        <v>0</v>
      </c>
      <c r="W189" s="246">
        <v>0</v>
      </c>
      <c r="X189" s="246">
        <v>0</v>
      </c>
      <c r="Y189" s="246">
        <v>0</v>
      </c>
      <c r="Z189" s="246">
        <v>0</v>
      </c>
      <c r="AA189" s="246">
        <v>0</v>
      </c>
      <c r="AB189" s="246">
        <v>0</v>
      </c>
      <c r="AC189" s="795">
        <v>0</v>
      </c>
      <c r="AD189" s="835">
        <v>0</v>
      </c>
      <c r="AE189" s="816">
        <v>0</v>
      </c>
      <c r="AF189" s="835">
        <v>0</v>
      </c>
      <c r="AG189" s="835">
        <v>0</v>
      </c>
      <c r="AH189" s="913">
        <v>0</v>
      </c>
      <c r="AI189" s="937">
        <v>0</v>
      </c>
      <c r="AJ189" s="937">
        <v>0</v>
      </c>
      <c r="AK189" s="937">
        <v>0</v>
      </c>
      <c r="AL189" s="937"/>
      <c r="AM189" s="937">
        <v>0</v>
      </c>
      <c r="AN189" s="937"/>
    </row>
    <row r="190" spans="1:40" ht="37.9" customHeight="1" x14ac:dyDescent="0.45">
      <c r="B190" s="1063"/>
      <c r="C190" s="1064"/>
      <c r="D190" s="1019"/>
      <c r="E190" s="1020"/>
      <c r="F190" s="97" t="s">
        <v>574</v>
      </c>
      <c r="G190" s="56" t="s">
        <v>21</v>
      </c>
      <c r="H190" s="56"/>
      <c r="I190" s="56" t="s">
        <v>575</v>
      </c>
      <c r="J190" s="98"/>
      <c r="K190" s="261" t="s">
        <v>48</v>
      </c>
      <c r="L190" s="239"/>
      <c r="M190" s="412" t="s">
        <v>48</v>
      </c>
      <c r="N190" s="261" t="s">
        <v>48</v>
      </c>
      <c r="O190" s="768"/>
      <c r="P190" s="261" t="s">
        <v>48</v>
      </c>
      <c r="Q190" s="261"/>
      <c r="R190" s="261" t="s">
        <v>48</v>
      </c>
      <c r="S190" s="261"/>
      <c r="T190" s="261" t="s">
        <v>48</v>
      </c>
      <c r="U190" s="261"/>
      <c r="V190" s="261" t="s">
        <v>48</v>
      </c>
      <c r="W190" s="261" t="s">
        <v>48</v>
      </c>
      <c r="X190" s="261" t="s">
        <v>48</v>
      </c>
      <c r="Y190" s="261" t="s">
        <v>48</v>
      </c>
      <c r="Z190" s="261" t="s">
        <v>48</v>
      </c>
      <c r="AA190" s="261" t="s">
        <v>48</v>
      </c>
      <c r="AB190" s="261" t="s">
        <v>48</v>
      </c>
      <c r="AC190" s="796" t="s">
        <v>48</v>
      </c>
      <c r="AD190" s="837" t="s">
        <v>48</v>
      </c>
      <c r="AE190" s="817" t="s">
        <v>48</v>
      </c>
      <c r="AF190" s="837" t="s">
        <v>48</v>
      </c>
      <c r="AG190" s="837" t="s">
        <v>48</v>
      </c>
      <c r="AH190" s="914" t="s">
        <v>48</v>
      </c>
      <c r="AI190" s="938" t="s">
        <v>48</v>
      </c>
      <c r="AJ190" s="938" t="s">
        <v>48</v>
      </c>
      <c r="AK190" s="938" t="s">
        <v>48</v>
      </c>
      <c r="AL190" s="938"/>
      <c r="AM190" s="938" t="s">
        <v>48</v>
      </c>
      <c r="AN190" s="938"/>
    </row>
    <row r="191" spans="1:40" ht="27.4" customHeight="1" x14ac:dyDescent="0.45">
      <c r="B191" s="1063"/>
      <c r="C191" s="1064"/>
      <c r="D191" s="1019"/>
      <c r="E191" s="1020"/>
      <c r="F191" s="87" t="s">
        <v>569</v>
      </c>
      <c r="G191" s="83" t="s">
        <v>137</v>
      </c>
      <c r="H191" s="83" t="s">
        <v>73</v>
      </c>
      <c r="I191" s="83"/>
      <c r="J191" s="88"/>
      <c r="K191" s="246"/>
      <c r="L191" s="798"/>
      <c r="M191" s="411"/>
      <c r="N191" s="246"/>
      <c r="O191" s="777"/>
      <c r="P191" s="246"/>
      <c r="Q191" s="246"/>
      <c r="R191" s="246"/>
      <c r="S191" s="246"/>
      <c r="T191" s="246">
        <v>0.13</v>
      </c>
      <c r="U191" s="246"/>
      <c r="V191" s="246">
        <v>0.12</v>
      </c>
      <c r="W191" s="246">
        <v>0.14000000000000001</v>
      </c>
      <c r="X191" s="246">
        <v>0.13900000000000001</v>
      </c>
      <c r="Y191" s="246">
        <v>-0.25</v>
      </c>
      <c r="Z191" s="246">
        <v>-0.25</v>
      </c>
      <c r="AA191" s="246">
        <v>-0.25</v>
      </c>
      <c r="AB191" s="246">
        <v>-0.25</v>
      </c>
      <c r="AC191" s="795"/>
      <c r="AD191" s="835" t="s">
        <v>21</v>
      </c>
      <c r="AE191" s="816">
        <v>0.18</v>
      </c>
      <c r="AF191" s="835" t="s">
        <v>21</v>
      </c>
      <c r="AG191" s="835">
        <v>0.24</v>
      </c>
      <c r="AH191" s="913">
        <v>0</v>
      </c>
      <c r="AI191" s="937">
        <v>0.31</v>
      </c>
      <c r="AJ191" s="937" t="s">
        <v>21</v>
      </c>
      <c r="AK191" s="937" t="s">
        <v>21</v>
      </c>
      <c r="AL191" s="937"/>
      <c r="AM191" s="937" t="s">
        <v>21</v>
      </c>
      <c r="AN191" s="937"/>
    </row>
    <row r="192" spans="1:40" ht="27.4" customHeight="1" x14ac:dyDescent="0.45">
      <c r="B192" s="1063"/>
      <c r="C192" s="1064"/>
      <c r="D192" s="1019"/>
      <c r="E192" s="1020"/>
      <c r="F192" s="97" t="s">
        <v>577</v>
      </c>
      <c r="G192" s="56" t="s">
        <v>578</v>
      </c>
      <c r="H192" s="56" t="s">
        <v>73</v>
      </c>
      <c r="I192" s="56"/>
      <c r="J192" s="98"/>
      <c r="K192" s="246" t="s">
        <v>601</v>
      </c>
      <c r="L192" s="1008">
        <f>VALUE(LEFT(K192,FIND("D",K192)-1))*24+VALUE(MID(K192,FIND("D",K192)+1,FIND("H",K192)-FIND("D",K192)-1))+VALUE(MID(K192,FIND("H",K192)+1,FIND("M",K192)-FIND("H",K192)-1))/60+VALUE(MID(K192,FIND("M",K192)+1,FIND("S",K192)-FIND("M",K192)-1))/3600</f>
        <v>5217.2024999999994</v>
      </c>
      <c r="M192" s="411" t="s">
        <v>602</v>
      </c>
      <c r="N192" s="1010" t="s">
        <v>865</v>
      </c>
      <c r="O192" s="1008">
        <f>VALUE(LEFT(N192,FIND("D",N192)-1))*24+VALUE(MID(N192,FIND("D",N192)+1,FIND("H",N192)-FIND("D",N192)-1))+VALUE(MID(N192,FIND("H",N192)+1,FIND("M",N192)-FIND("H",N192)-1))/60+VALUE(MID(N192,FIND("M",N192)+1,FIND("S",N192)-FIND("M",N192)-1))/3600</f>
        <v>5247.525555555555</v>
      </c>
      <c r="P192" s="896" t="s">
        <v>603</v>
      </c>
      <c r="Q192" s="246"/>
      <c r="R192" s="896" t="s">
        <v>604</v>
      </c>
      <c r="S192" s="246"/>
      <c r="T192" s="896" t="s">
        <v>605</v>
      </c>
      <c r="U192" s="246"/>
      <c r="V192" s="246"/>
      <c r="W192" s="246">
        <f>24*222+5</f>
        <v>5333</v>
      </c>
      <c r="X192" s="246"/>
      <c r="Y192" s="246">
        <f>223*24+8</f>
        <v>5360</v>
      </c>
      <c r="Z192" s="896" t="s">
        <v>606</v>
      </c>
      <c r="AA192" s="246">
        <f>224*24+14</f>
        <v>5390</v>
      </c>
      <c r="AB192" s="896" t="s">
        <v>607</v>
      </c>
      <c r="AC192" s="795">
        <v>5411</v>
      </c>
      <c r="AD192" s="835"/>
      <c r="AE192" s="816">
        <v>5437.31</v>
      </c>
      <c r="AF192" s="835"/>
      <c r="AG192" s="835"/>
      <c r="AH192" s="913">
        <v>5474.85</v>
      </c>
      <c r="AI192" s="958" t="s">
        <v>608</v>
      </c>
      <c r="AJ192" s="937">
        <v>5531.76</v>
      </c>
      <c r="AK192" s="937">
        <v>5554.82</v>
      </c>
      <c r="AL192" s="937"/>
      <c r="AM192" s="937">
        <v>5554.82</v>
      </c>
      <c r="AN192" s="937"/>
    </row>
    <row r="193" spans="2:40" ht="27.4" customHeight="1" x14ac:dyDescent="0.45">
      <c r="B193" s="1063"/>
      <c r="C193" s="1064"/>
      <c r="D193" s="1019"/>
      <c r="E193" s="1020"/>
      <c r="F193" s="87" t="s">
        <v>588</v>
      </c>
      <c r="G193" s="83" t="s">
        <v>578</v>
      </c>
      <c r="H193" s="83" t="s">
        <v>73</v>
      </c>
      <c r="I193" s="83"/>
      <c r="J193" s="88"/>
      <c r="K193" s="246" t="s">
        <v>609</v>
      </c>
      <c r="L193" s="1008">
        <f>VALUE(LEFT(K193,FIND("D",K193)-1))*24+VALUE(MID(K193,FIND("D",K193)+1,FIND("H",K193)-FIND("D",K193)-1))+VALUE(MID(K193,FIND("H",K193)+1,FIND("M",K193)-FIND("H",K193)-1))/60+VALUE(MID(K193,FIND("M",K193)+1,FIND("S",K193)-FIND("M",K193)-1))/3600</f>
        <v>2122.160277777778</v>
      </c>
      <c r="M193" s="411" t="s">
        <v>610</v>
      </c>
      <c r="N193" s="896" t="s">
        <v>864</v>
      </c>
      <c r="O193" s="1008">
        <f>VALUE(LEFT(N193,FIND("D",N193)-1))*24+VALUE(MID(N193,FIND("D",N193)+1,FIND("H",N193)-FIND("D",N193)-1))+VALUE(MID(N193,FIND("H",N193)+1,FIND("M",N193)-FIND("H",N193)-1))/60+VALUE(MID(N193,FIND("M",N193)+1,FIND("S",N193)-FIND("M",N193)-1))/3600</f>
        <v>2135.7727777777782</v>
      </c>
      <c r="P193" s="896" t="s">
        <v>611</v>
      </c>
      <c r="Q193" s="246"/>
      <c r="R193" s="896" t="s">
        <v>612</v>
      </c>
      <c r="S193" s="246"/>
      <c r="T193" s="896" t="s">
        <v>613</v>
      </c>
      <c r="U193" s="246"/>
      <c r="V193" s="246"/>
      <c r="W193" s="246">
        <f>89*24+18</f>
        <v>2154</v>
      </c>
      <c r="X193" s="246"/>
      <c r="Y193" s="246">
        <v>2154</v>
      </c>
      <c r="Z193" s="896" t="s">
        <v>614</v>
      </c>
      <c r="AA193" s="246">
        <v>2154</v>
      </c>
      <c r="AB193" s="896" t="s">
        <v>614</v>
      </c>
      <c r="AC193" s="795">
        <v>2154</v>
      </c>
      <c r="AD193" s="835"/>
      <c r="AE193" s="816">
        <v>2154.38</v>
      </c>
      <c r="AF193" s="835">
        <v>2154.38</v>
      </c>
      <c r="AG193" s="835">
        <v>2154.38</v>
      </c>
      <c r="AH193" s="913">
        <v>2154.38</v>
      </c>
      <c r="AI193" s="956" t="s">
        <v>615</v>
      </c>
      <c r="AJ193" s="937">
        <v>2178.98</v>
      </c>
      <c r="AK193" s="937">
        <v>2178.98</v>
      </c>
      <c r="AL193" s="937"/>
      <c r="AM193" s="937">
        <v>2178.98</v>
      </c>
      <c r="AN193" s="937"/>
    </row>
    <row r="194" spans="2:40" ht="27.4" customHeight="1" x14ac:dyDescent="0.45">
      <c r="B194" s="1063"/>
      <c r="C194" s="1064"/>
      <c r="D194" s="1021"/>
      <c r="E194" s="1022"/>
      <c r="F194" s="97" t="s">
        <v>595</v>
      </c>
      <c r="G194" s="56" t="s">
        <v>115</v>
      </c>
      <c r="H194" s="56" t="s">
        <v>73</v>
      </c>
      <c r="I194" s="56" t="s">
        <v>21</v>
      </c>
      <c r="J194" s="98" t="s">
        <v>21</v>
      </c>
      <c r="K194" s="246">
        <v>752.86</v>
      </c>
      <c r="L194" s="798"/>
      <c r="M194" s="411">
        <v>752.87</v>
      </c>
      <c r="N194" s="246">
        <v>752.9</v>
      </c>
      <c r="O194" s="335"/>
      <c r="P194" s="246">
        <v>753</v>
      </c>
      <c r="Q194" s="246"/>
      <c r="R194" s="246">
        <v>752.9</v>
      </c>
      <c r="S194" s="246"/>
      <c r="T194" s="246">
        <v>752.93</v>
      </c>
      <c r="U194" s="246"/>
      <c r="V194" s="246">
        <v>752.81</v>
      </c>
      <c r="W194" s="246">
        <v>752.91</v>
      </c>
      <c r="X194" s="246">
        <v>753.01</v>
      </c>
      <c r="Y194" s="246">
        <v>752.92</v>
      </c>
      <c r="Z194" s="246">
        <v>753</v>
      </c>
      <c r="AA194" s="246">
        <v>753.05</v>
      </c>
      <c r="AB194" s="246">
        <v>753</v>
      </c>
      <c r="AC194" s="795">
        <v>752.98</v>
      </c>
      <c r="AD194" s="835">
        <v>752.86</v>
      </c>
      <c r="AE194" s="816">
        <v>752.91</v>
      </c>
      <c r="AF194" s="835">
        <v>752.87</v>
      </c>
      <c r="AG194" s="835">
        <v>753.4</v>
      </c>
      <c r="AH194" s="913">
        <v>752.18</v>
      </c>
      <c r="AI194" s="937">
        <v>753.1</v>
      </c>
      <c r="AJ194" s="937">
        <v>752.49</v>
      </c>
      <c r="AK194" s="937">
        <v>752.85</v>
      </c>
      <c r="AL194" s="937"/>
      <c r="AM194" s="937">
        <v>752.85</v>
      </c>
      <c r="AN194" s="937"/>
    </row>
    <row r="195" spans="2:40" ht="27.4" customHeight="1" x14ac:dyDescent="0.45">
      <c r="B195" s="1063"/>
      <c r="C195" s="1064"/>
      <c r="D195" s="1023" t="s">
        <v>616</v>
      </c>
      <c r="E195" s="1024"/>
      <c r="F195" s="343" t="s">
        <v>523</v>
      </c>
      <c r="G195" s="344" t="s">
        <v>21</v>
      </c>
      <c r="H195" s="344" t="s">
        <v>21</v>
      </c>
      <c r="I195" s="344"/>
      <c r="J195" s="345" t="s">
        <v>451</v>
      </c>
      <c r="K195" s="347"/>
      <c r="L195" s="799"/>
      <c r="M195" s="410"/>
      <c r="N195" s="347"/>
      <c r="O195" s="357"/>
      <c r="P195" s="347"/>
      <c r="Q195" s="347"/>
      <c r="R195" s="347"/>
      <c r="S195" s="347"/>
      <c r="T195" s="347">
        <v>1</v>
      </c>
      <c r="U195" s="347"/>
      <c r="V195" s="347">
        <v>1</v>
      </c>
      <c r="W195" s="347">
        <v>1</v>
      </c>
      <c r="X195" s="347">
        <v>1</v>
      </c>
      <c r="Y195" s="347">
        <v>1</v>
      </c>
      <c r="Z195" s="347">
        <v>1</v>
      </c>
      <c r="AA195" s="347">
        <v>1</v>
      </c>
      <c r="AB195" s="347">
        <v>1</v>
      </c>
      <c r="AC195" s="799">
        <v>1</v>
      </c>
      <c r="AD195" s="838">
        <v>1</v>
      </c>
      <c r="AE195" s="820">
        <v>1</v>
      </c>
      <c r="AF195" s="838">
        <v>1</v>
      </c>
      <c r="AG195" s="838">
        <v>1</v>
      </c>
      <c r="AH195" s="918">
        <v>1</v>
      </c>
      <c r="AI195" s="942" t="s">
        <v>21</v>
      </c>
      <c r="AJ195" s="942">
        <v>1</v>
      </c>
      <c r="AK195" s="942">
        <v>1</v>
      </c>
      <c r="AL195" s="942"/>
      <c r="AM195" s="942">
        <v>1</v>
      </c>
      <c r="AN195" s="942"/>
    </row>
    <row r="196" spans="2:40" ht="27.4" customHeight="1" x14ac:dyDescent="0.45">
      <c r="B196" s="1063"/>
      <c r="C196" s="1064"/>
      <c r="D196" s="1019"/>
      <c r="E196" s="1020"/>
      <c r="F196" s="97" t="s">
        <v>617</v>
      </c>
      <c r="G196" s="56" t="s">
        <v>137</v>
      </c>
      <c r="H196" s="56" t="s">
        <v>345</v>
      </c>
      <c r="I196" s="56"/>
      <c r="J196" s="98"/>
      <c r="K196" s="246"/>
      <c r="L196" s="798"/>
      <c r="M196" s="411"/>
      <c r="N196" s="246"/>
      <c r="O196" s="255"/>
      <c r="P196" s="246"/>
      <c r="Q196" s="246"/>
      <c r="R196" s="246"/>
      <c r="S196" s="246"/>
      <c r="T196" s="246"/>
      <c r="U196" s="246"/>
      <c r="V196" s="246"/>
      <c r="W196" s="246">
        <v>0</v>
      </c>
      <c r="X196" s="246">
        <v>0</v>
      </c>
      <c r="Y196" s="246">
        <v>0</v>
      </c>
      <c r="Z196" s="246">
        <v>0</v>
      </c>
      <c r="AA196" s="246">
        <v>0</v>
      </c>
      <c r="AB196" s="246">
        <v>0</v>
      </c>
      <c r="AC196" s="795">
        <v>0</v>
      </c>
      <c r="AD196" s="835">
        <v>0</v>
      </c>
      <c r="AE196" s="816" t="s">
        <v>21</v>
      </c>
      <c r="AF196" s="835">
        <v>0</v>
      </c>
      <c r="AG196" s="835" t="s">
        <v>21</v>
      </c>
      <c r="AH196" s="913" t="s">
        <v>21</v>
      </c>
      <c r="AI196" s="937" t="s">
        <v>21</v>
      </c>
      <c r="AJ196" s="937" t="s">
        <v>21</v>
      </c>
      <c r="AK196" s="937" t="s">
        <v>21</v>
      </c>
      <c r="AL196" s="937"/>
      <c r="AM196" s="937" t="s">
        <v>21</v>
      </c>
      <c r="AN196" s="937"/>
    </row>
    <row r="197" spans="2:40" ht="27.4" customHeight="1" x14ac:dyDescent="0.45">
      <c r="B197" s="1063"/>
      <c r="C197" s="1064"/>
      <c r="D197" s="1021"/>
      <c r="E197" s="1022"/>
      <c r="F197" s="359" t="s">
        <v>595</v>
      </c>
      <c r="G197" s="360" t="s">
        <v>115</v>
      </c>
      <c r="H197" s="360" t="s">
        <v>73</v>
      </c>
      <c r="I197" s="360" t="s">
        <v>21</v>
      </c>
      <c r="J197" s="361" t="s">
        <v>21</v>
      </c>
      <c r="K197" s="352"/>
      <c r="L197" s="1000"/>
      <c r="M197" s="413"/>
      <c r="N197" s="352"/>
      <c r="O197" s="362"/>
      <c r="P197" s="352"/>
      <c r="Q197" s="352"/>
      <c r="R197" s="352"/>
      <c r="S197" s="352"/>
      <c r="T197" s="352">
        <v>753.05</v>
      </c>
      <c r="U197" s="352"/>
      <c r="V197" s="352">
        <v>753.05</v>
      </c>
      <c r="W197" s="352">
        <v>753.03</v>
      </c>
      <c r="X197" s="352">
        <v>753.02</v>
      </c>
      <c r="Y197" s="352">
        <v>753.07</v>
      </c>
      <c r="Z197" s="352">
        <v>753</v>
      </c>
      <c r="AA197" s="352"/>
      <c r="AB197" s="352">
        <v>753</v>
      </c>
      <c r="AC197" s="800">
        <v>753.08</v>
      </c>
      <c r="AD197" s="839">
        <v>753.09</v>
      </c>
      <c r="AE197" s="822">
        <v>753.03</v>
      </c>
      <c r="AF197" s="839">
        <v>753.01</v>
      </c>
      <c r="AG197" s="839">
        <v>753.5</v>
      </c>
      <c r="AH197" s="919">
        <v>752.18</v>
      </c>
      <c r="AI197" s="943">
        <v>753.53</v>
      </c>
      <c r="AJ197" s="943">
        <v>752.49</v>
      </c>
      <c r="AK197" s="943">
        <v>752.85</v>
      </c>
      <c r="AL197" s="943"/>
      <c r="AM197" s="943">
        <v>752.85</v>
      </c>
      <c r="AN197" s="943"/>
    </row>
    <row r="198" spans="2:40" ht="27.4" customHeight="1" x14ac:dyDescent="0.45">
      <c r="B198" s="1063"/>
      <c r="C198" s="1064"/>
      <c r="D198" s="1023" t="s">
        <v>618</v>
      </c>
      <c r="E198" s="1024"/>
      <c r="F198" s="343" t="s">
        <v>619</v>
      </c>
      <c r="G198" s="344" t="s">
        <v>72</v>
      </c>
      <c r="H198" s="344"/>
      <c r="I198" s="344"/>
      <c r="J198" s="345"/>
      <c r="K198" s="347"/>
      <c r="L198" s="799"/>
      <c r="M198" s="410"/>
      <c r="N198" s="347"/>
      <c r="O198" s="346"/>
      <c r="P198" s="347"/>
      <c r="Q198" s="347"/>
      <c r="R198" s="347"/>
      <c r="S198" s="347"/>
      <c r="T198" s="347">
        <v>0</v>
      </c>
      <c r="U198" s="347"/>
      <c r="V198" s="347">
        <v>0</v>
      </c>
      <c r="W198" s="347">
        <v>0</v>
      </c>
      <c r="X198" s="347">
        <v>0</v>
      </c>
      <c r="Y198" s="347">
        <v>0</v>
      </c>
      <c r="Z198" s="347">
        <v>0</v>
      </c>
      <c r="AA198" s="347">
        <v>0</v>
      </c>
      <c r="AB198" s="347">
        <v>0</v>
      </c>
      <c r="AC198" s="799">
        <v>0</v>
      </c>
      <c r="AD198" s="838">
        <v>0</v>
      </c>
      <c r="AE198" s="820">
        <v>0</v>
      </c>
      <c r="AF198" s="838">
        <v>0</v>
      </c>
      <c r="AG198" s="838">
        <v>0</v>
      </c>
      <c r="AH198" s="918">
        <v>0</v>
      </c>
      <c r="AI198" s="942">
        <v>0</v>
      </c>
      <c r="AJ198" s="942">
        <v>0</v>
      </c>
      <c r="AK198" s="942">
        <v>1</v>
      </c>
      <c r="AL198" s="942"/>
      <c r="AM198" s="942">
        <v>1</v>
      </c>
      <c r="AN198" s="942"/>
    </row>
    <row r="199" spans="2:40" ht="27.4" customHeight="1" x14ac:dyDescent="0.45">
      <c r="B199" s="1063"/>
      <c r="C199" s="1064"/>
      <c r="D199" s="1021"/>
      <c r="E199" s="1022"/>
      <c r="F199" s="348" t="s">
        <v>401</v>
      </c>
      <c r="G199" s="349" t="s">
        <v>77</v>
      </c>
      <c r="H199" s="349"/>
      <c r="I199" s="349" t="s">
        <v>620</v>
      </c>
      <c r="J199" s="350" t="s">
        <v>621</v>
      </c>
      <c r="K199" s="352"/>
      <c r="L199" s="1000"/>
      <c r="M199" s="418"/>
      <c r="N199" s="352"/>
      <c r="O199" s="351"/>
      <c r="P199" s="352"/>
      <c r="Q199" s="352"/>
      <c r="R199" s="352"/>
      <c r="S199" s="352"/>
      <c r="T199" s="352" t="s">
        <v>622</v>
      </c>
      <c r="U199" s="352"/>
      <c r="V199" s="352" t="s">
        <v>622</v>
      </c>
      <c r="W199" s="352" t="s">
        <v>623</v>
      </c>
      <c r="X199" s="352"/>
      <c r="Y199" s="352" t="s">
        <v>622</v>
      </c>
      <c r="Z199" s="352" t="s">
        <v>622</v>
      </c>
      <c r="AA199" s="352" t="s">
        <v>622</v>
      </c>
      <c r="AB199" s="352" t="s">
        <v>622</v>
      </c>
      <c r="AC199" s="800" t="s">
        <v>599</v>
      </c>
      <c r="AD199" s="839" t="s">
        <v>622</v>
      </c>
      <c r="AE199" s="822" t="s">
        <v>622</v>
      </c>
      <c r="AF199" s="839" t="s">
        <v>622</v>
      </c>
      <c r="AG199" s="839" t="s">
        <v>622</v>
      </c>
      <c r="AH199" s="919" t="s">
        <v>622</v>
      </c>
      <c r="AI199" s="943" t="s">
        <v>622</v>
      </c>
      <c r="AJ199" s="943" t="s">
        <v>622</v>
      </c>
      <c r="AK199" s="943" t="s">
        <v>622</v>
      </c>
      <c r="AL199" s="943"/>
      <c r="AM199" s="943" t="s">
        <v>622</v>
      </c>
      <c r="AN199" s="943"/>
    </row>
    <row r="200" spans="2:40" ht="27.4" customHeight="1" x14ac:dyDescent="0.45">
      <c r="B200" s="1063"/>
      <c r="C200" s="1064"/>
      <c r="D200" s="1033" t="s">
        <v>624</v>
      </c>
      <c r="E200" s="1034"/>
      <c r="F200" s="103" t="s">
        <v>625</v>
      </c>
      <c r="G200" s="61" t="s">
        <v>137</v>
      </c>
      <c r="H200" s="61" t="s">
        <v>345</v>
      </c>
      <c r="I200" s="61"/>
      <c r="J200" s="104"/>
      <c r="K200" s="352">
        <v>6.2</v>
      </c>
      <c r="L200" s="239"/>
      <c r="M200" s="411">
        <v>6.2</v>
      </c>
      <c r="N200" s="335">
        <v>6.2</v>
      </c>
      <c r="O200" s="335"/>
      <c r="P200" s="335">
        <v>6.2</v>
      </c>
      <c r="Q200" s="335"/>
      <c r="R200" s="335">
        <v>6.2</v>
      </c>
      <c r="S200" s="335"/>
      <c r="T200" s="335">
        <v>6.2</v>
      </c>
      <c r="U200" s="335"/>
      <c r="V200" s="335">
        <v>6.2</v>
      </c>
      <c r="W200" s="335">
        <v>6.4</v>
      </c>
      <c r="X200" s="335">
        <v>6.2</v>
      </c>
      <c r="Y200" s="335">
        <v>6.4</v>
      </c>
      <c r="Z200" s="335">
        <v>6.4</v>
      </c>
      <c r="AA200" s="335">
        <v>6.4</v>
      </c>
      <c r="AB200" s="335">
        <v>6.4</v>
      </c>
      <c r="AC200" s="802">
        <v>6.4</v>
      </c>
      <c r="AD200" s="841">
        <v>6.2</v>
      </c>
      <c r="AE200" s="831">
        <v>6.4</v>
      </c>
      <c r="AF200" s="841">
        <v>6.2</v>
      </c>
      <c r="AG200" s="841">
        <v>6.3</v>
      </c>
      <c r="AH200" s="921">
        <v>6.4</v>
      </c>
      <c r="AI200" s="945">
        <v>6.3</v>
      </c>
      <c r="AJ200" s="945">
        <v>6.3</v>
      </c>
      <c r="AK200" s="945">
        <v>6.4</v>
      </c>
      <c r="AL200" s="945"/>
      <c r="AM200" s="945">
        <v>6.4</v>
      </c>
      <c r="AN200" s="945"/>
    </row>
    <row r="201" spans="2:40" ht="27.4" customHeight="1" x14ac:dyDescent="0.45">
      <c r="B201" s="1063"/>
      <c r="C201" s="1064"/>
      <c r="D201" s="1035"/>
      <c r="E201" s="1036"/>
      <c r="F201" s="97" t="s">
        <v>626</v>
      </c>
      <c r="G201" s="56" t="s">
        <v>137</v>
      </c>
      <c r="H201" s="56" t="s">
        <v>345</v>
      </c>
      <c r="I201" s="56"/>
      <c r="J201" s="98"/>
      <c r="K201" s="246">
        <v>0</v>
      </c>
      <c r="L201" s="798"/>
      <c r="M201" s="411">
        <v>0</v>
      </c>
      <c r="N201" s="335">
        <v>0</v>
      </c>
      <c r="O201" s="335"/>
      <c r="P201" s="335">
        <v>0</v>
      </c>
      <c r="Q201" s="335"/>
      <c r="R201" s="335">
        <v>0</v>
      </c>
      <c r="S201" s="335"/>
      <c r="T201" s="335">
        <v>0</v>
      </c>
      <c r="U201" s="335"/>
      <c r="V201" s="335">
        <v>0</v>
      </c>
      <c r="W201" s="335">
        <v>0</v>
      </c>
      <c r="X201" s="335">
        <v>0</v>
      </c>
      <c r="Y201" s="335">
        <v>0</v>
      </c>
      <c r="Z201" s="335">
        <v>0</v>
      </c>
      <c r="AA201" s="335">
        <v>0</v>
      </c>
      <c r="AB201" s="335">
        <v>0</v>
      </c>
      <c r="AC201" s="802">
        <v>0</v>
      </c>
      <c r="AD201" s="841">
        <v>0</v>
      </c>
      <c r="AE201" s="831">
        <v>0</v>
      </c>
      <c r="AF201" s="841">
        <v>0</v>
      </c>
      <c r="AG201" s="841">
        <v>0</v>
      </c>
      <c r="AH201" s="921">
        <v>6.3</v>
      </c>
      <c r="AI201" s="945">
        <v>0</v>
      </c>
      <c r="AJ201" s="945">
        <v>0</v>
      </c>
      <c r="AK201" s="945">
        <v>0</v>
      </c>
      <c r="AL201" s="945"/>
      <c r="AM201" s="945">
        <v>0</v>
      </c>
      <c r="AN201" s="945"/>
    </row>
    <row r="202" spans="2:40" ht="27.4" customHeight="1" x14ac:dyDescent="0.45">
      <c r="B202" s="1063"/>
      <c r="C202" s="1064"/>
      <c r="D202" s="1035"/>
      <c r="E202" s="1036"/>
      <c r="F202" s="87" t="s">
        <v>627</v>
      </c>
      <c r="G202" s="83" t="s">
        <v>137</v>
      </c>
      <c r="H202" s="83" t="s">
        <v>345</v>
      </c>
      <c r="I202" s="83"/>
      <c r="J202" s="88"/>
      <c r="K202" s="246">
        <v>0</v>
      </c>
      <c r="L202" s="798"/>
      <c r="M202" s="411">
        <v>0</v>
      </c>
      <c r="N202" s="335">
        <v>0</v>
      </c>
      <c r="O202" s="335"/>
      <c r="P202" s="335">
        <v>0</v>
      </c>
      <c r="Q202" s="335"/>
      <c r="R202" s="335">
        <v>0</v>
      </c>
      <c r="S202" s="335"/>
      <c r="T202" s="335">
        <v>0</v>
      </c>
      <c r="U202" s="335"/>
      <c r="V202" s="335">
        <v>0</v>
      </c>
      <c r="W202" s="335">
        <v>0</v>
      </c>
      <c r="X202" s="335">
        <v>0</v>
      </c>
      <c r="Y202" s="335">
        <v>0</v>
      </c>
      <c r="Z202" s="335">
        <v>0</v>
      </c>
      <c r="AA202" s="335">
        <v>0</v>
      </c>
      <c r="AB202" s="335">
        <v>0</v>
      </c>
      <c r="AC202" s="802">
        <v>0</v>
      </c>
      <c r="AD202" s="841">
        <v>0</v>
      </c>
      <c r="AE202" s="831">
        <v>0</v>
      </c>
      <c r="AF202" s="841">
        <v>0</v>
      </c>
      <c r="AG202" s="841">
        <v>0</v>
      </c>
      <c r="AH202" s="921">
        <v>6.3</v>
      </c>
      <c r="AI202" s="945">
        <v>0</v>
      </c>
      <c r="AJ202" s="945">
        <v>0</v>
      </c>
      <c r="AK202" s="945">
        <v>0</v>
      </c>
      <c r="AL202" s="945"/>
      <c r="AM202" s="945">
        <v>0</v>
      </c>
      <c r="AN202" s="945"/>
    </row>
    <row r="203" spans="2:40" ht="27.4" customHeight="1" x14ac:dyDescent="0.45">
      <c r="B203" s="1063"/>
      <c r="C203" s="1064"/>
      <c r="D203" s="1035"/>
      <c r="E203" s="1036"/>
      <c r="F203" s="97" t="s">
        <v>628</v>
      </c>
      <c r="G203" s="56" t="s">
        <v>137</v>
      </c>
      <c r="H203" s="56" t="s">
        <v>345</v>
      </c>
      <c r="I203" s="56"/>
      <c r="J203" s="98"/>
      <c r="K203" s="246">
        <v>0</v>
      </c>
      <c r="L203" s="798"/>
      <c r="M203" s="411">
        <v>0</v>
      </c>
      <c r="N203" s="335">
        <v>0</v>
      </c>
      <c r="O203" s="335"/>
      <c r="P203" s="335">
        <v>0</v>
      </c>
      <c r="Q203" s="335"/>
      <c r="R203" s="335">
        <v>0</v>
      </c>
      <c r="S203" s="335"/>
      <c r="T203" s="335">
        <v>0</v>
      </c>
      <c r="U203" s="335"/>
      <c r="V203" s="335">
        <v>0</v>
      </c>
      <c r="W203" s="335">
        <v>0</v>
      </c>
      <c r="X203" s="335">
        <v>0</v>
      </c>
      <c r="Y203" s="335">
        <v>0</v>
      </c>
      <c r="Z203" s="335">
        <v>0</v>
      </c>
      <c r="AA203" s="335">
        <v>0</v>
      </c>
      <c r="AB203" s="335">
        <v>0</v>
      </c>
      <c r="AC203" s="802">
        <v>0</v>
      </c>
      <c r="AD203" s="841">
        <v>0</v>
      </c>
      <c r="AE203" s="831">
        <v>0</v>
      </c>
      <c r="AF203" s="841">
        <v>0</v>
      </c>
      <c r="AG203" s="841">
        <v>0</v>
      </c>
      <c r="AH203" s="921">
        <v>0</v>
      </c>
      <c r="AI203" s="945">
        <v>0</v>
      </c>
      <c r="AJ203" s="945">
        <v>0</v>
      </c>
      <c r="AK203" s="945">
        <v>0</v>
      </c>
      <c r="AL203" s="945"/>
      <c r="AM203" s="945">
        <v>0</v>
      </c>
      <c r="AN203" s="945"/>
    </row>
    <row r="204" spans="2:40" ht="27.4" customHeight="1" x14ac:dyDescent="0.45">
      <c r="B204" s="1063"/>
      <c r="C204" s="1064"/>
      <c r="D204" s="1035"/>
      <c r="E204" s="1036"/>
      <c r="F204" s="87" t="s">
        <v>629</v>
      </c>
      <c r="G204" s="83" t="s">
        <v>137</v>
      </c>
      <c r="H204" s="83" t="s">
        <v>345</v>
      </c>
      <c r="I204" s="83"/>
      <c r="J204" s="88"/>
      <c r="K204" s="246">
        <v>0</v>
      </c>
      <c r="L204" s="798"/>
      <c r="M204" s="411">
        <v>0</v>
      </c>
      <c r="N204" s="335">
        <v>0</v>
      </c>
      <c r="O204" s="335"/>
      <c r="P204" s="335">
        <v>0</v>
      </c>
      <c r="Q204" s="335"/>
      <c r="R204" s="335">
        <v>0</v>
      </c>
      <c r="S204" s="335"/>
      <c r="T204" s="335">
        <v>0</v>
      </c>
      <c r="U204" s="335"/>
      <c r="V204" s="335">
        <v>0</v>
      </c>
      <c r="W204" s="335">
        <v>0</v>
      </c>
      <c r="X204" s="335">
        <v>0</v>
      </c>
      <c r="Y204" s="335">
        <v>0</v>
      </c>
      <c r="Z204" s="335">
        <v>0</v>
      </c>
      <c r="AA204" s="335">
        <v>0</v>
      </c>
      <c r="AB204" s="335">
        <v>0</v>
      </c>
      <c r="AC204" s="802">
        <v>0</v>
      </c>
      <c r="AD204" s="841">
        <v>0</v>
      </c>
      <c r="AE204" s="831">
        <v>0</v>
      </c>
      <c r="AF204" s="841">
        <v>0</v>
      </c>
      <c r="AG204" s="841">
        <v>0</v>
      </c>
      <c r="AH204" s="921">
        <v>0</v>
      </c>
      <c r="AI204" s="945">
        <v>0</v>
      </c>
      <c r="AJ204" s="945">
        <v>0</v>
      </c>
      <c r="AK204" s="945">
        <v>0</v>
      </c>
      <c r="AL204" s="945"/>
      <c r="AM204" s="945">
        <v>0</v>
      </c>
      <c r="AN204" s="945"/>
    </row>
    <row r="205" spans="2:40" ht="17.25" x14ac:dyDescent="0.45">
      <c r="B205" s="1065"/>
      <c r="C205" s="1066"/>
      <c r="D205" s="1037"/>
      <c r="E205" s="1038"/>
      <c r="F205" s="89" t="s">
        <v>630</v>
      </c>
      <c r="G205" s="90" t="s">
        <v>137</v>
      </c>
      <c r="H205" s="90" t="s">
        <v>345</v>
      </c>
      <c r="I205" s="90"/>
      <c r="J205" s="91"/>
      <c r="K205" s="502">
        <v>0</v>
      </c>
      <c r="L205" s="1007"/>
      <c r="M205" s="907">
        <v>0</v>
      </c>
      <c r="N205" s="907">
        <v>0</v>
      </c>
      <c r="O205" s="907"/>
      <c r="P205" s="907">
        <v>0</v>
      </c>
      <c r="Q205" s="907"/>
      <c r="R205" s="907">
        <v>0</v>
      </c>
      <c r="S205" s="907"/>
      <c r="T205" s="907">
        <v>0</v>
      </c>
      <c r="U205" s="907"/>
      <c r="V205" s="907">
        <v>0</v>
      </c>
      <c r="W205" s="907">
        <v>0</v>
      </c>
      <c r="X205" s="907">
        <v>0</v>
      </c>
      <c r="Y205" s="907">
        <v>0</v>
      </c>
      <c r="Z205" s="907">
        <v>0</v>
      </c>
      <c r="AA205" s="907">
        <v>0</v>
      </c>
      <c r="AB205" s="907">
        <v>0</v>
      </c>
      <c r="AC205" s="911">
        <v>0</v>
      </c>
      <c r="AD205" s="909">
        <v>0</v>
      </c>
      <c r="AE205" s="910">
        <v>0</v>
      </c>
      <c r="AF205" s="909">
        <v>0</v>
      </c>
      <c r="AG205" s="909">
        <v>0</v>
      </c>
      <c r="AH205" s="932">
        <v>0</v>
      </c>
      <c r="AI205" s="957">
        <v>0</v>
      </c>
      <c r="AJ205" s="957">
        <v>0</v>
      </c>
      <c r="AK205" s="957">
        <v>0</v>
      </c>
      <c r="AL205" s="957"/>
      <c r="AM205" s="957">
        <v>0</v>
      </c>
      <c r="AN205" s="957"/>
    </row>
    <row r="206" spans="2:40" ht="27.4" customHeight="1" x14ac:dyDescent="0.45">
      <c r="B206" s="48"/>
      <c r="C206" s="48"/>
      <c r="D206" s="59"/>
      <c r="E206" s="59"/>
      <c r="F206" s="9"/>
      <c r="G206" s="36"/>
      <c r="H206" s="36"/>
      <c r="I206" s="49"/>
      <c r="J206" s="36"/>
    </row>
    <row r="207" spans="2:40" ht="27.4" customHeight="1" x14ac:dyDescent="0.45">
      <c r="B207" s="5"/>
      <c r="C207" s="5"/>
      <c r="D207" s="60"/>
      <c r="E207" s="1013" t="s">
        <v>201</v>
      </c>
      <c r="F207" s="1014"/>
      <c r="G207" s="1014"/>
      <c r="H207" s="1014"/>
      <c r="I207" s="1014"/>
      <c r="J207" s="1014"/>
      <c r="K207" s="1124"/>
      <c r="L207" s="998"/>
      <c r="M207" s="1124"/>
      <c r="N207" s="1124"/>
      <c r="O207" s="1124"/>
      <c r="P207" s="1124"/>
      <c r="Q207" s="1124"/>
      <c r="R207" s="1124"/>
      <c r="S207" s="1124"/>
      <c r="T207" s="1124"/>
      <c r="U207" s="1124"/>
      <c r="V207" s="1124"/>
      <c r="W207" s="1124"/>
      <c r="X207" s="1124"/>
      <c r="Y207" s="1124"/>
      <c r="Z207" s="1124"/>
      <c r="AA207" s="1124"/>
      <c r="AB207" s="1124"/>
      <c r="AC207" s="1124"/>
      <c r="AD207" s="1126"/>
      <c r="AE207" s="1128"/>
      <c r="AF207" s="1126"/>
      <c r="AG207" s="1126"/>
      <c r="AH207" s="1128" t="s">
        <v>631</v>
      </c>
      <c r="AI207" s="1126"/>
      <c r="AJ207" s="1126"/>
      <c r="AK207" s="1126"/>
      <c r="AL207" s="1130"/>
      <c r="AM207" s="1126"/>
      <c r="AN207" s="1130"/>
    </row>
    <row r="208" spans="2:40" ht="27.4" customHeight="1" x14ac:dyDescent="0.45">
      <c r="B208" s="5"/>
      <c r="C208" s="5"/>
      <c r="D208" s="60"/>
      <c r="E208" s="1015"/>
      <c r="F208" s="1016"/>
      <c r="G208" s="1016"/>
      <c r="H208" s="1016"/>
      <c r="I208" s="1016"/>
      <c r="J208" s="1016"/>
      <c r="K208" s="1125"/>
      <c r="L208" s="999"/>
      <c r="M208" s="1125"/>
      <c r="N208" s="1125"/>
      <c r="O208" s="1125"/>
      <c r="P208" s="1125"/>
      <c r="Q208" s="1125"/>
      <c r="R208" s="1125"/>
      <c r="S208" s="1125"/>
      <c r="T208" s="1125"/>
      <c r="U208" s="1125"/>
      <c r="V208" s="1125"/>
      <c r="W208" s="1125"/>
      <c r="X208" s="1125"/>
      <c r="Y208" s="1125"/>
      <c r="Z208" s="1125"/>
      <c r="AA208" s="1125"/>
      <c r="AB208" s="1125"/>
      <c r="AC208" s="1125"/>
      <c r="AD208" s="1127"/>
      <c r="AE208" s="1129"/>
      <c r="AF208" s="1127"/>
      <c r="AG208" s="1127"/>
      <c r="AH208" s="1129"/>
      <c r="AI208" s="1127"/>
      <c r="AJ208" s="1127"/>
      <c r="AK208" s="1127"/>
      <c r="AL208" s="1131"/>
      <c r="AM208" s="1127"/>
      <c r="AN208" s="1131"/>
    </row>
    <row r="209" spans="1:40" s="239" customFormat="1" ht="27.4" customHeight="1" x14ac:dyDescent="0.5">
      <c r="A209" s="238"/>
      <c r="B209" s="5"/>
      <c r="C209" s="5"/>
      <c r="D209" s="118"/>
      <c r="E209" s="1011" t="s">
        <v>123</v>
      </c>
      <c r="F209" s="1012"/>
      <c r="G209" s="1012"/>
      <c r="H209" s="1012"/>
      <c r="I209" s="1012"/>
      <c r="J209" s="1012"/>
      <c r="K209" s="409" t="s">
        <v>336</v>
      </c>
      <c r="L209" s="852"/>
      <c r="M209" s="408" t="s">
        <v>632</v>
      </c>
      <c r="N209" s="409" t="s">
        <v>336</v>
      </c>
      <c r="O209" s="408"/>
      <c r="P209" s="408" t="s">
        <v>633</v>
      </c>
      <c r="Q209" s="408"/>
      <c r="R209" s="409" t="s">
        <v>206</v>
      </c>
      <c r="S209" s="408"/>
      <c r="T209" s="409" t="s">
        <v>206</v>
      </c>
      <c r="U209" s="408"/>
      <c r="V209" s="409" t="s">
        <v>206</v>
      </c>
      <c r="W209" s="408" t="s">
        <v>634</v>
      </c>
      <c r="X209" s="409" t="s">
        <v>206</v>
      </c>
      <c r="Y209" s="408" t="s">
        <v>634</v>
      </c>
      <c r="Z209" s="408" t="s">
        <v>632</v>
      </c>
      <c r="AA209" s="408" t="s">
        <v>634</v>
      </c>
      <c r="AB209" s="408" t="s">
        <v>632</v>
      </c>
      <c r="AC209" s="408" t="s">
        <v>634</v>
      </c>
      <c r="AD209" s="408" t="s">
        <v>635</v>
      </c>
      <c r="AE209" s="895" t="s">
        <v>208</v>
      </c>
      <c r="AF209" s="408" t="s">
        <v>635</v>
      </c>
      <c r="AG209" s="408" t="s">
        <v>635</v>
      </c>
      <c r="AH209" s="895" t="s">
        <v>208</v>
      </c>
      <c r="AI209" s="895" t="s">
        <v>206</v>
      </c>
      <c r="AJ209" s="895" t="s">
        <v>210</v>
      </c>
      <c r="AK209" s="895" t="s">
        <v>210</v>
      </c>
      <c r="AL209" s="408"/>
      <c r="AM209" s="895" t="s">
        <v>210</v>
      </c>
      <c r="AN209" s="408"/>
    </row>
  </sheetData>
  <mergeCells count="90">
    <mergeCell ref="AM5:AN5"/>
    <mergeCell ref="AM207:AM208"/>
    <mergeCell ref="AN207:AN208"/>
    <mergeCell ref="AG5:AH5"/>
    <mergeCell ref="AG207:AG208"/>
    <mergeCell ref="AH207:AH208"/>
    <mergeCell ref="AK5:AL5"/>
    <mergeCell ref="AK207:AK208"/>
    <mergeCell ref="AL207:AL208"/>
    <mergeCell ref="AI207:AI208"/>
    <mergeCell ref="AJ207:AJ208"/>
    <mergeCell ref="AD5:AE5"/>
    <mergeCell ref="AD207:AD208"/>
    <mergeCell ref="AE207:AE208"/>
    <mergeCell ref="AF207:AF208"/>
    <mergeCell ref="AB5:AC5"/>
    <mergeCell ref="AB207:AB208"/>
    <mergeCell ref="AA207:AA208"/>
    <mergeCell ref="Z5:AA5"/>
    <mergeCell ref="Z207:Z208"/>
    <mergeCell ref="AC207:AC208"/>
    <mergeCell ref="S207:S208"/>
    <mergeCell ref="R5:S5"/>
    <mergeCell ref="R207:R208"/>
    <mergeCell ref="T5:U5"/>
    <mergeCell ref="T207:T208"/>
    <mergeCell ref="U207:U208"/>
    <mergeCell ref="X5:Y5"/>
    <mergeCell ref="X207:X208"/>
    <mergeCell ref="Y207:Y208"/>
    <mergeCell ref="V5:W5"/>
    <mergeCell ref="V207:V208"/>
    <mergeCell ref="W207:W208"/>
    <mergeCell ref="K5:M5"/>
    <mergeCell ref="M207:M208"/>
    <mergeCell ref="K207:K208"/>
    <mergeCell ref="P207:P208"/>
    <mergeCell ref="P5:Q5"/>
    <mergeCell ref="N5:O5"/>
    <mergeCell ref="N207:N208"/>
    <mergeCell ref="O207:O208"/>
    <mergeCell ref="Q207:Q208"/>
    <mergeCell ref="D43:E44"/>
    <mergeCell ref="B8:C62"/>
    <mergeCell ref="D13:E17"/>
    <mergeCell ref="D71:E75"/>
    <mergeCell ref="D53:E62"/>
    <mergeCell ref="D45:E52"/>
    <mergeCell ref="D21:E24"/>
    <mergeCell ref="B171:C205"/>
    <mergeCell ref="B110:C170"/>
    <mergeCell ref="D8:E12"/>
    <mergeCell ref="D25:E42"/>
    <mergeCell ref="D76:E79"/>
    <mergeCell ref="B63:C109"/>
    <mergeCell ref="D94:E96"/>
    <mergeCell ref="D67:E70"/>
    <mergeCell ref="D87:E89"/>
    <mergeCell ref="D80:E86"/>
    <mergeCell ref="D90:E93"/>
    <mergeCell ref="D107:E109"/>
    <mergeCell ref="D103:E106"/>
    <mergeCell ref="D97:E102"/>
    <mergeCell ref="D18:E20"/>
    <mergeCell ref="D63:E66"/>
    <mergeCell ref="B1:J1"/>
    <mergeCell ref="B2:J2"/>
    <mergeCell ref="B3:E3"/>
    <mergeCell ref="F3:I3"/>
    <mergeCell ref="B5:C7"/>
    <mergeCell ref="D5:E7"/>
    <mergeCell ref="F5:F7"/>
    <mergeCell ref="G5:G7"/>
    <mergeCell ref="H5:H7"/>
    <mergeCell ref="J5:J7"/>
    <mergeCell ref="I5:I7"/>
    <mergeCell ref="E209:J209"/>
    <mergeCell ref="E207:J208"/>
    <mergeCell ref="D110:E123"/>
    <mergeCell ref="D171:E182"/>
    <mergeCell ref="D183:E194"/>
    <mergeCell ref="D124:E127"/>
    <mergeCell ref="D140:E150"/>
    <mergeCell ref="D155:E170"/>
    <mergeCell ref="D153:E154"/>
    <mergeCell ref="D151:E152"/>
    <mergeCell ref="D128:E139"/>
    <mergeCell ref="D200:E205"/>
    <mergeCell ref="D198:E199"/>
    <mergeCell ref="D195:E197"/>
  </mergeCells>
  <phoneticPr fontId="23" type="noConversion"/>
  <dataValidations disablePrompts="1" count="3">
    <dataValidation type="list" allowBlank="1" showInputMessage="1" showErrorMessage="1" sqref="K58:L58 K55:M55 O55:Q55 S55 U55 W55 Y55" xr:uid="{91EDE339-45E6-4CB6-88AA-726C6279A7DC}">
      <formula1>"1–2, 2–3, 1–3"</formula1>
    </dataValidation>
    <dataValidation type="list" allowBlank="1" showInputMessage="1" showErrorMessage="1" sqref="K209:L209 N209 AE209 AH209:AK209 AM209" xr:uid="{D1315562-9EF7-4D91-BFB8-4F726321728D}">
      <formula1>"C.C, F.M, G.P, I.A, K.T, L.M, L.CH, M.P, M.M"</formula1>
    </dataValidation>
    <dataValidation type="list" allowBlank="1" showInputMessage="1" showErrorMessage="1" sqref="R55 T55 V55 X55 Z55 AB55 AF55:AG55 AD55 AI55:AJ55 AL55:AN55" xr:uid="{4CA8537C-1B8A-4EC6-A49E-9C8660B99AB7}">
      <formula1>"1–2, 2–3, 1–3,1"</formula1>
    </dataValidation>
  </dataValidations>
  <pageMargins left="0.25" right="0.25" top="0.75" bottom="0.75" header="0.3" footer="0.3"/>
  <pageSetup paperSize="9" scale="81" fitToHeight="0" orientation="portrait" horizontalDpi="4294967293" r:id="rId1"/>
  <ignoredErrors>
    <ignoredError sqref="AE55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0D56-309F-42F6-8373-8E9F2CCB719D}">
  <sheetPr codeName="Hoja6">
    <tabColor theme="9" tint="0.39997558519241921"/>
    <pageSetUpPr fitToPage="1"/>
  </sheetPr>
  <dimension ref="A1:AL211"/>
  <sheetViews>
    <sheetView showGridLines="0" zoomScale="60" zoomScaleNormal="60" workbookViewId="0">
      <pane xSplit="10" ySplit="7" topLeftCell="K180" activePane="bottomRight" state="frozen"/>
      <selection pane="topRight"/>
      <selection pane="bottomLeft"/>
      <selection pane="bottomRight" activeCell="O182" sqref="O182:O183"/>
    </sheetView>
  </sheetViews>
  <sheetFormatPr baseColWidth="10" defaultColWidth="10.625" defaultRowHeight="16.149999999999999" customHeight="1" x14ac:dyDescent="0.45"/>
  <cols>
    <col min="1" max="1" width="0.125" style="237" customWidth="1"/>
    <col min="2" max="2" width="2.625" style="3" customWidth="1"/>
    <col min="3" max="3" width="4.625" style="3" customWidth="1"/>
    <col min="4" max="4" width="12.625" style="58" customWidth="1"/>
    <col min="5" max="5" width="11.5" style="58" customWidth="1"/>
    <col min="6" max="6" width="40" style="1" customWidth="1"/>
    <col min="7" max="7" width="10.125" style="1" customWidth="1"/>
    <col min="8" max="8" width="8.875" style="1" customWidth="1"/>
    <col min="9" max="9" width="11.125" style="2" hidden="1" customWidth="1"/>
    <col min="10" max="10" width="10.75" style="2" customWidth="1"/>
    <col min="11" max="11" width="10.625" style="239" customWidth="1"/>
    <col min="12" max="12" width="16.875" style="239" customWidth="1"/>
    <col min="13" max="13" width="10.625" style="239" customWidth="1"/>
    <col min="14" max="14" width="10.625" style="239"/>
    <col min="15" max="15" width="17.3125" style="239" customWidth="1"/>
    <col min="16" max="26" width="10.625" style="239"/>
    <col min="27" max="27" width="10.625" style="898"/>
    <col min="28" max="28" width="10.625" style="239"/>
    <col min="29" max="34" width="10.625" style="240"/>
    <col min="35" max="16384" width="10.625" style="239"/>
  </cols>
  <sheetData>
    <row r="1" spans="1:38" s="237" customFormat="1" ht="52.5" customHeight="1" x14ac:dyDescent="0.4">
      <c r="A1" s="1336" t="s">
        <v>0</v>
      </c>
      <c r="B1" s="1336"/>
      <c r="C1" s="1336"/>
      <c r="D1" s="1336"/>
      <c r="E1" s="1336"/>
      <c r="F1" s="1336"/>
      <c r="G1" s="1336"/>
      <c r="H1" s="1336"/>
      <c r="I1" s="1336"/>
      <c r="J1" s="1336"/>
      <c r="O1" s="237">
        <v>3002.7638888888887</v>
      </c>
      <c r="AA1" s="897"/>
    </row>
    <row r="2" spans="1:38" s="237" customFormat="1" ht="33.75" customHeight="1" x14ac:dyDescent="0.4">
      <c r="B2" s="1040" t="s">
        <v>1</v>
      </c>
      <c r="C2" s="1041"/>
      <c r="D2" s="1041"/>
      <c r="E2" s="1041"/>
      <c r="F2" s="1041" t="s">
        <v>211</v>
      </c>
      <c r="G2" s="1041"/>
      <c r="H2" s="1041" t="s">
        <v>212</v>
      </c>
      <c r="I2" s="1041"/>
      <c r="J2" s="1041"/>
      <c r="O2" s="237">
        <v>5276.6808333333338</v>
      </c>
      <c r="AA2" s="897"/>
    </row>
    <row r="3" spans="1:38" s="237" customFormat="1" ht="39.75" customHeight="1" x14ac:dyDescent="0.4">
      <c r="B3" s="1042" t="s">
        <v>124</v>
      </c>
      <c r="C3" s="1043"/>
      <c r="D3" s="1043"/>
      <c r="E3" s="1043"/>
      <c r="F3" s="1044" t="s">
        <v>636</v>
      </c>
      <c r="G3" s="1044"/>
      <c r="H3" s="1044"/>
      <c r="I3" s="1044"/>
      <c r="J3" s="257" t="s">
        <v>4</v>
      </c>
      <c r="AA3" s="897"/>
    </row>
    <row r="4" spans="1:38" ht="2.25" customHeight="1" thickBot="1" x14ac:dyDescent="0.5">
      <c r="B4" s="191"/>
      <c r="C4" s="191"/>
      <c r="D4" s="191"/>
      <c r="E4" s="191"/>
      <c r="F4" s="195"/>
      <c r="G4" s="195"/>
      <c r="H4" s="196"/>
      <c r="I4" s="196"/>
      <c r="J4" s="196"/>
    </row>
    <row r="5" spans="1:38" ht="27.4" customHeight="1" thickBot="1" x14ac:dyDescent="0.5">
      <c r="A5" s="240"/>
      <c r="B5" s="1048" t="s">
        <v>126</v>
      </c>
      <c r="C5" s="1341"/>
      <c r="D5" s="1045" t="s">
        <v>5</v>
      </c>
      <c r="E5" s="1046"/>
      <c r="F5" s="1051" t="s">
        <v>6</v>
      </c>
      <c r="G5" s="1054" t="s">
        <v>7</v>
      </c>
      <c r="H5" s="1057" t="s">
        <v>339</v>
      </c>
      <c r="I5" s="1054" t="s">
        <v>8</v>
      </c>
      <c r="J5" s="1338" t="s">
        <v>9</v>
      </c>
      <c r="K5" s="1121">
        <v>46144</v>
      </c>
      <c r="L5" s="1122"/>
      <c r="M5" s="1123"/>
      <c r="N5" s="1121">
        <v>46145</v>
      </c>
      <c r="O5" s="1123"/>
      <c r="P5" s="1121">
        <v>46146</v>
      </c>
      <c r="Q5" s="1123"/>
      <c r="R5" s="1121">
        <v>46147</v>
      </c>
      <c r="S5" s="1123"/>
      <c r="T5" s="1121">
        <v>46148</v>
      </c>
      <c r="U5" s="1123"/>
      <c r="V5" s="1121">
        <v>46150</v>
      </c>
      <c r="W5" s="1123"/>
      <c r="X5" s="1121">
        <v>46151</v>
      </c>
      <c r="Y5" s="1123"/>
      <c r="Z5" s="1121">
        <v>46152</v>
      </c>
      <c r="AA5" s="1123"/>
      <c r="AB5" s="903">
        <v>46153</v>
      </c>
      <c r="AC5" s="1121">
        <v>46154</v>
      </c>
      <c r="AD5" s="1123"/>
      <c r="AE5" s="1121">
        <v>46155</v>
      </c>
      <c r="AF5" s="1123"/>
      <c r="AG5" s="1121">
        <v>46156</v>
      </c>
      <c r="AH5" s="1122"/>
      <c r="AI5" s="933">
        <v>46157</v>
      </c>
      <c r="AJ5" s="903">
        <v>46159</v>
      </c>
      <c r="AK5" s="1121">
        <v>46160</v>
      </c>
      <c r="AL5" s="1123"/>
    </row>
    <row r="6" spans="1:38" s="241" customFormat="1" ht="27.4" customHeight="1" thickBot="1" x14ac:dyDescent="0.5">
      <c r="A6" s="240"/>
      <c r="B6" s="1048"/>
      <c r="C6" s="1341"/>
      <c r="D6" s="1047"/>
      <c r="E6" s="1048"/>
      <c r="F6" s="1052"/>
      <c r="G6" s="1055"/>
      <c r="H6" s="1056"/>
      <c r="I6" s="1055"/>
      <c r="J6" s="1339"/>
      <c r="K6" s="110">
        <v>4.1666666666666664E-2</v>
      </c>
      <c r="L6" s="792"/>
      <c r="M6" s="55">
        <v>0.58333333333333337</v>
      </c>
      <c r="N6" s="110">
        <v>0.91666666666666663</v>
      </c>
      <c r="O6" s="55"/>
      <c r="P6" s="110">
        <v>0.66666666666666663</v>
      </c>
      <c r="Q6" s="55"/>
      <c r="R6" s="110">
        <v>0.45833333333333331</v>
      </c>
      <c r="S6" s="55"/>
      <c r="T6" s="110">
        <v>0.66666666666666663</v>
      </c>
      <c r="U6" s="55"/>
      <c r="V6" s="110">
        <v>0.10416666666666667</v>
      </c>
      <c r="W6" s="55"/>
      <c r="X6" s="110">
        <v>0.125</v>
      </c>
      <c r="Y6" s="55">
        <v>0.4375</v>
      </c>
      <c r="Z6" s="110">
        <v>0.125</v>
      </c>
      <c r="AA6" s="899">
        <v>0.70833333333333337</v>
      </c>
      <c r="AB6" s="110">
        <v>4.1666666666666664E-2</v>
      </c>
      <c r="AC6" s="792">
        <v>8.3333333333333329E-2</v>
      </c>
      <c r="AD6" s="110">
        <v>0.66666666666666663</v>
      </c>
      <c r="AE6" s="792">
        <v>0.16666666666666666</v>
      </c>
      <c r="AF6" s="110"/>
      <c r="AG6" s="792">
        <v>0.125</v>
      </c>
      <c r="AH6" s="792">
        <v>0.41666666666666669</v>
      </c>
      <c r="AI6" s="934">
        <v>0.70833333333333337</v>
      </c>
      <c r="AJ6" s="934">
        <v>4.1666666666666664E-2</v>
      </c>
      <c r="AK6" s="934">
        <v>0.125</v>
      </c>
      <c r="AL6" s="934"/>
    </row>
    <row r="7" spans="1:38" s="303" customFormat="1" ht="27.4" customHeight="1" thickBot="1" x14ac:dyDescent="0.45">
      <c r="A7" s="298"/>
      <c r="B7" s="1050"/>
      <c r="C7" s="1342"/>
      <c r="D7" s="1343"/>
      <c r="E7" s="1344"/>
      <c r="F7" s="1345"/>
      <c r="G7" s="1337"/>
      <c r="H7" s="1337"/>
      <c r="I7" s="1337"/>
      <c r="J7" s="1340"/>
      <c r="K7" s="300">
        <v>101.7</v>
      </c>
      <c r="L7" s="300"/>
      <c r="M7" s="300">
        <v>102</v>
      </c>
      <c r="N7" s="300">
        <v>101.7</v>
      </c>
      <c r="O7" s="300"/>
      <c r="P7" s="300">
        <v>101.7</v>
      </c>
      <c r="Q7" s="300"/>
      <c r="R7" s="300">
        <v>101.7</v>
      </c>
      <c r="S7" s="300"/>
      <c r="T7" s="300">
        <v>101.7</v>
      </c>
      <c r="U7" s="300"/>
      <c r="V7" s="300">
        <v>101.7</v>
      </c>
      <c r="W7" s="300"/>
      <c r="X7" s="300">
        <v>101.7</v>
      </c>
      <c r="Y7" s="300" t="s">
        <v>341</v>
      </c>
      <c r="Z7" s="300">
        <v>101.7</v>
      </c>
      <c r="AA7" s="900" t="s">
        <v>637</v>
      </c>
      <c r="AB7" s="300">
        <v>101.7</v>
      </c>
      <c r="AC7" s="793" t="s">
        <v>341</v>
      </c>
      <c r="AD7" s="301">
        <v>102.11</v>
      </c>
      <c r="AE7" s="793" t="s">
        <v>341</v>
      </c>
      <c r="AF7" s="301"/>
      <c r="AG7" s="793" t="s">
        <v>341</v>
      </c>
      <c r="AH7" s="793">
        <v>102.6</v>
      </c>
      <c r="AI7" s="935">
        <v>102</v>
      </c>
      <c r="AJ7" s="935">
        <v>102</v>
      </c>
      <c r="AK7" s="935">
        <v>102</v>
      </c>
      <c r="AL7" s="935"/>
    </row>
    <row r="8" spans="1:38" ht="27.4" customHeight="1" x14ac:dyDescent="0.4">
      <c r="B8" s="1331" t="s">
        <v>638</v>
      </c>
      <c r="C8" s="1115"/>
      <c r="D8" s="1334" t="s">
        <v>343</v>
      </c>
      <c r="E8" s="1335"/>
      <c r="F8" s="381" t="s">
        <v>344</v>
      </c>
      <c r="G8" s="382" t="s">
        <v>27</v>
      </c>
      <c r="H8" s="382" t="s">
        <v>350</v>
      </c>
      <c r="I8" s="382">
        <v>180</v>
      </c>
      <c r="J8" s="383"/>
      <c r="K8" s="509">
        <v>190</v>
      </c>
      <c r="L8" s="879"/>
      <c r="M8" s="384">
        <v>190</v>
      </c>
      <c r="N8" s="509">
        <v>185</v>
      </c>
      <c r="O8" s="384"/>
      <c r="P8" s="509">
        <v>175</v>
      </c>
      <c r="Q8" s="509"/>
      <c r="R8" s="509">
        <v>171</v>
      </c>
      <c r="S8" s="509"/>
      <c r="T8" s="509">
        <v>131</v>
      </c>
      <c r="U8" s="509"/>
      <c r="V8" s="509">
        <v>175</v>
      </c>
      <c r="W8" s="509"/>
      <c r="X8" s="509">
        <v>170</v>
      </c>
      <c r="Y8" s="509">
        <v>170</v>
      </c>
      <c r="Z8" s="509">
        <v>160</v>
      </c>
      <c r="AA8" s="898">
        <v>160</v>
      </c>
      <c r="AB8" s="509">
        <v>160</v>
      </c>
      <c r="AC8" s="794">
        <v>170</v>
      </c>
      <c r="AD8" s="815">
        <v>170</v>
      </c>
      <c r="AE8" s="794">
        <v>170</v>
      </c>
      <c r="AF8" s="815"/>
      <c r="AG8" s="794">
        <v>180</v>
      </c>
      <c r="AH8" s="912">
        <v>150</v>
      </c>
      <c r="AI8" s="936">
        <v>140</v>
      </c>
      <c r="AJ8" s="936">
        <v>180</v>
      </c>
      <c r="AK8" s="936"/>
      <c r="AL8" s="936"/>
    </row>
    <row r="9" spans="1:38" ht="27.4" customHeight="1" x14ac:dyDescent="0.4">
      <c r="B9" s="1332"/>
      <c r="C9" s="1116"/>
      <c r="D9" s="1079"/>
      <c r="E9" s="1080"/>
      <c r="F9" s="97" t="s">
        <v>347</v>
      </c>
      <c r="G9" s="56" t="s">
        <v>48</v>
      </c>
      <c r="H9" s="56" t="s">
        <v>217</v>
      </c>
      <c r="I9" s="56"/>
      <c r="J9" s="98"/>
      <c r="K9" s="246">
        <v>731.6</v>
      </c>
      <c r="L9" s="795"/>
      <c r="M9" s="255">
        <v>735.6</v>
      </c>
      <c r="N9" s="246">
        <v>724.2</v>
      </c>
      <c r="O9" s="255"/>
      <c r="P9" s="246">
        <v>738.8</v>
      </c>
      <c r="Q9" s="246"/>
      <c r="R9" s="246">
        <v>736.9</v>
      </c>
      <c r="S9" s="246"/>
      <c r="T9" s="246">
        <v>720</v>
      </c>
      <c r="U9" s="246"/>
      <c r="V9" s="246">
        <v>740.2</v>
      </c>
      <c r="W9" s="246"/>
      <c r="X9" s="246">
        <v>735.8</v>
      </c>
      <c r="Y9" s="246">
        <v>732.5</v>
      </c>
      <c r="Z9" s="246">
        <v>720.5</v>
      </c>
      <c r="AA9" s="898">
        <v>728</v>
      </c>
      <c r="AB9" s="246">
        <v>735.8</v>
      </c>
      <c r="AC9" s="795">
        <v>731.6</v>
      </c>
      <c r="AD9" s="816">
        <v>733.6</v>
      </c>
      <c r="AE9" s="795">
        <v>735.6</v>
      </c>
      <c r="AF9" s="816"/>
      <c r="AG9" s="795">
        <v>768.1</v>
      </c>
      <c r="AH9" s="913">
        <v>681.6</v>
      </c>
      <c r="AI9" s="937">
        <v>759.2</v>
      </c>
      <c r="AJ9" s="937">
        <v>759</v>
      </c>
      <c r="AK9" s="937">
        <v>676.9</v>
      </c>
      <c r="AL9" s="937"/>
    </row>
    <row r="10" spans="1:38" ht="27.4" customHeight="1" x14ac:dyDescent="0.4">
      <c r="B10" s="1332"/>
      <c r="C10" s="1116"/>
      <c r="D10" s="1079"/>
      <c r="E10" s="1080"/>
      <c r="F10" s="87" t="s">
        <v>45</v>
      </c>
      <c r="G10" s="83" t="s">
        <v>348</v>
      </c>
      <c r="H10" s="83" t="s">
        <v>217</v>
      </c>
      <c r="I10" s="83"/>
      <c r="J10" s="88"/>
      <c r="K10" s="246">
        <v>9.61</v>
      </c>
      <c r="L10" s="795"/>
      <c r="M10" s="255">
        <v>11.06</v>
      </c>
      <c r="N10" s="246">
        <v>7.31</v>
      </c>
      <c r="O10" s="255"/>
      <c r="P10" s="246">
        <v>11.91</v>
      </c>
      <c r="Q10" s="246"/>
      <c r="R10" s="246">
        <v>9.17</v>
      </c>
      <c r="S10" s="246"/>
      <c r="T10" s="246">
        <v>7.5</v>
      </c>
      <c r="U10" s="246"/>
      <c r="V10" s="246">
        <v>8.52</v>
      </c>
      <c r="W10" s="246"/>
      <c r="X10" s="246">
        <v>8.85</v>
      </c>
      <c r="Y10" s="246">
        <v>8.83</v>
      </c>
      <c r="Z10" s="246">
        <v>7.47</v>
      </c>
      <c r="AA10" s="898" t="s">
        <v>639</v>
      </c>
      <c r="AB10" s="246">
        <v>6.54</v>
      </c>
      <c r="AC10" s="795">
        <v>9.61</v>
      </c>
      <c r="AD10" s="816">
        <v>10.68</v>
      </c>
      <c r="AE10" s="795">
        <v>11.06</v>
      </c>
      <c r="AF10" s="816"/>
      <c r="AG10" s="795">
        <v>17.3</v>
      </c>
      <c r="AH10" s="913">
        <v>-1.02</v>
      </c>
      <c r="AI10" s="937">
        <v>16.21</v>
      </c>
      <c r="AJ10" s="937">
        <v>16.28</v>
      </c>
      <c r="AK10" s="937">
        <v>-0.13</v>
      </c>
      <c r="AL10" s="937"/>
    </row>
    <row r="11" spans="1:38" ht="27.4" customHeight="1" x14ac:dyDescent="0.4">
      <c r="B11" s="1332"/>
      <c r="C11" s="1116"/>
      <c r="D11" s="1079"/>
      <c r="E11" s="1080"/>
      <c r="F11" s="97" t="s">
        <v>349</v>
      </c>
      <c r="G11" s="56" t="s">
        <v>48</v>
      </c>
      <c r="H11" s="56" t="s">
        <v>350</v>
      </c>
      <c r="I11" s="56"/>
      <c r="J11" s="98"/>
      <c r="K11" s="246">
        <v>470</v>
      </c>
      <c r="L11" s="795"/>
      <c r="M11" s="255">
        <v>400</v>
      </c>
      <c r="N11" s="246">
        <v>400</v>
      </c>
      <c r="O11" s="255"/>
      <c r="P11" s="246">
        <v>400</v>
      </c>
      <c r="Q11" s="246"/>
      <c r="R11" s="246">
        <v>400</v>
      </c>
      <c r="S11" s="246"/>
      <c r="T11" s="246">
        <v>400</v>
      </c>
      <c r="U11" s="246"/>
      <c r="V11" s="246">
        <v>400</v>
      </c>
      <c r="W11" s="246"/>
      <c r="X11" s="246">
        <v>400</v>
      </c>
      <c r="Y11" s="246">
        <v>380</v>
      </c>
      <c r="Z11" s="246">
        <v>400</v>
      </c>
      <c r="AA11" s="898">
        <v>380</v>
      </c>
      <c r="AB11" s="246">
        <v>400</v>
      </c>
      <c r="AC11" s="795">
        <v>470</v>
      </c>
      <c r="AD11" s="816">
        <v>400</v>
      </c>
      <c r="AE11" s="795">
        <v>400</v>
      </c>
      <c r="AF11" s="816"/>
      <c r="AG11" s="795">
        <v>400</v>
      </c>
      <c r="AH11" s="913">
        <v>350</v>
      </c>
      <c r="AI11" s="937">
        <v>400</v>
      </c>
      <c r="AJ11" s="937">
        <v>400</v>
      </c>
      <c r="AK11" s="937">
        <v>350</v>
      </c>
      <c r="AL11" s="937"/>
    </row>
    <row r="12" spans="1:38" ht="27.4" customHeight="1" thickBot="1" x14ac:dyDescent="0.45">
      <c r="B12" s="1332"/>
      <c r="C12" s="1116"/>
      <c r="D12" s="1081"/>
      <c r="E12" s="1082"/>
      <c r="F12" s="339" t="s">
        <v>351</v>
      </c>
      <c r="G12" s="111" t="s">
        <v>48</v>
      </c>
      <c r="H12" s="111" t="s">
        <v>350</v>
      </c>
      <c r="I12" s="111"/>
      <c r="J12" s="112"/>
      <c r="K12" s="261">
        <v>480</v>
      </c>
      <c r="L12" s="796"/>
      <c r="M12" s="308">
        <v>380</v>
      </c>
      <c r="N12" s="261">
        <v>400</v>
      </c>
      <c r="O12" s="308"/>
      <c r="P12" s="261">
        <v>400</v>
      </c>
      <c r="Q12" s="261"/>
      <c r="R12" s="261">
        <v>400</v>
      </c>
      <c r="S12" s="261"/>
      <c r="T12" s="261">
        <v>400</v>
      </c>
      <c r="U12" s="261"/>
      <c r="V12" s="261">
        <v>400</v>
      </c>
      <c r="W12" s="261"/>
      <c r="X12" s="261">
        <v>400</v>
      </c>
      <c r="Y12" s="261">
        <v>380</v>
      </c>
      <c r="Z12" s="261">
        <v>400</v>
      </c>
      <c r="AA12" s="898">
        <v>380</v>
      </c>
      <c r="AB12" s="261">
        <v>400</v>
      </c>
      <c r="AC12" s="796">
        <v>480</v>
      </c>
      <c r="AD12" s="817">
        <v>390</v>
      </c>
      <c r="AE12" s="796">
        <v>380</v>
      </c>
      <c r="AF12" s="817"/>
      <c r="AG12" s="796">
        <v>400</v>
      </c>
      <c r="AH12" s="914">
        <v>350</v>
      </c>
      <c r="AI12" s="938">
        <v>400</v>
      </c>
      <c r="AJ12" s="938">
        <v>380</v>
      </c>
      <c r="AK12" s="938">
        <v>350</v>
      </c>
      <c r="AL12" s="938"/>
    </row>
    <row r="13" spans="1:38" ht="27.4" customHeight="1" thickTop="1" x14ac:dyDescent="0.4">
      <c r="B13" s="1332"/>
      <c r="C13" s="1116"/>
      <c r="D13" s="1077" t="s">
        <v>352</v>
      </c>
      <c r="E13" s="1078"/>
      <c r="F13" s="354" t="s">
        <v>43</v>
      </c>
      <c r="G13" s="355" t="s">
        <v>12</v>
      </c>
      <c r="H13" s="355" t="s">
        <v>217</v>
      </c>
      <c r="I13" s="355"/>
      <c r="J13" s="356"/>
      <c r="K13" s="495">
        <v>99.64</v>
      </c>
      <c r="L13" s="797"/>
      <c r="M13" s="357">
        <v>101.4</v>
      </c>
      <c r="N13" s="495">
        <v>101.59</v>
      </c>
      <c r="O13" s="357"/>
      <c r="P13" s="495">
        <v>103.92</v>
      </c>
      <c r="Q13" s="495"/>
      <c r="R13" s="495">
        <v>101.24</v>
      </c>
      <c r="S13" s="495"/>
      <c r="T13" s="495">
        <v>101.91</v>
      </c>
      <c r="U13" s="495"/>
      <c r="V13" s="495">
        <v>101.85</v>
      </c>
      <c r="W13" s="495"/>
      <c r="X13" s="495">
        <v>101.15</v>
      </c>
      <c r="Y13" s="495">
        <v>101.81</v>
      </c>
      <c r="Z13" s="495">
        <v>100.48</v>
      </c>
      <c r="AA13" s="898" t="s">
        <v>640</v>
      </c>
      <c r="AB13" s="495">
        <v>102.4</v>
      </c>
      <c r="AC13" s="797">
        <v>99.64</v>
      </c>
      <c r="AD13" s="828">
        <v>101.68</v>
      </c>
      <c r="AE13" s="797">
        <v>101.4</v>
      </c>
      <c r="AF13" s="828"/>
      <c r="AG13" s="797">
        <v>101.68</v>
      </c>
      <c r="AH13" s="915">
        <v>102.56</v>
      </c>
      <c r="AI13" s="939">
        <v>102.5</v>
      </c>
      <c r="AJ13" s="939">
        <v>103.09</v>
      </c>
      <c r="AK13" s="939">
        <v>102.64</v>
      </c>
      <c r="AL13" s="939"/>
    </row>
    <row r="14" spans="1:38" ht="27.4" customHeight="1" x14ac:dyDescent="0.4">
      <c r="B14" s="1332"/>
      <c r="C14" s="1116"/>
      <c r="D14" s="1079"/>
      <c r="E14" s="1080"/>
      <c r="F14" s="87" t="s">
        <v>45</v>
      </c>
      <c r="G14" s="83" t="s">
        <v>348</v>
      </c>
      <c r="H14" s="83" t="s">
        <v>217</v>
      </c>
      <c r="I14" s="83"/>
      <c r="J14" s="88"/>
      <c r="K14" s="247">
        <v>9.3699999999999992</v>
      </c>
      <c r="L14" s="795"/>
      <c r="M14" s="255">
        <v>10.8</v>
      </c>
      <c r="N14" s="247">
        <v>8.11</v>
      </c>
      <c r="O14" s="255"/>
      <c r="P14" s="247">
        <v>11.48</v>
      </c>
      <c r="Q14" s="247"/>
      <c r="R14" s="247">
        <v>8.8699999999999992</v>
      </c>
      <c r="S14" s="247"/>
      <c r="T14" s="247">
        <v>9.07</v>
      </c>
      <c r="U14" s="247"/>
      <c r="V14" s="247">
        <v>8.82</v>
      </c>
      <c r="W14" s="247"/>
      <c r="X14" s="247">
        <v>8.92</v>
      </c>
      <c r="Y14" s="247">
        <v>6.42</v>
      </c>
      <c r="Z14" s="247">
        <v>7.48</v>
      </c>
      <c r="AA14" s="898" t="s">
        <v>641</v>
      </c>
      <c r="AB14" s="247">
        <v>8.92</v>
      </c>
      <c r="AC14" s="795">
        <v>9.3699999999999992</v>
      </c>
      <c r="AD14" s="816">
        <v>9.86</v>
      </c>
      <c r="AE14" s="795">
        <v>10.8</v>
      </c>
      <c r="AF14" s="816"/>
      <c r="AG14" s="795">
        <v>17.62</v>
      </c>
      <c r="AH14" s="913">
        <v>-1.03</v>
      </c>
      <c r="AI14" s="937">
        <v>17.53</v>
      </c>
      <c r="AJ14" s="937">
        <v>18.09</v>
      </c>
      <c r="AK14" s="937">
        <v>2.0699999999999998</v>
      </c>
      <c r="AL14" s="937"/>
    </row>
    <row r="15" spans="1:38" ht="27.4" customHeight="1" x14ac:dyDescent="0.4">
      <c r="B15" s="1332"/>
      <c r="C15" s="1116"/>
      <c r="D15" s="1079"/>
      <c r="E15" s="1080"/>
      <c r="F15" s="97" t="s">
        <v>353</v>
      </c>
      <c r="G15" s="56" t="s">
        <v>354</v>
      </c>
      <c r="H15" s="56" t="s">
        <v>217</v>
      </c>
      <c r="I15" s="56" t="s">
        <v>642</v>
      </c>
      <c r="J15" s="56" t="s">
        <v>642</v>
      </c>
      <c r="K15" s="247">
        <v>13.37</v>
      </c>
      <c r="L15" s="795"/>
      <c r="M15" s="255">
        <v>13.32</v>
      </c>
      <c r="N15" s="247">
        <v>13.27</v>
      </c>
      <c r="O15" s="255"/>
      <c r="P15" s="247">
        <v>13.3</v>
      </c>
      <c r="Q15" s="247"/>
      <c r="R15" s="247">
        <v>13.13</v>
      </c>
      <c r="S15" s="247"/>
      <c r="T15" s="247">
        <v>13.39</v>
      </c>
      <c r="U15" s="247"/>
      <c r="V15" s="247">
        <v>13.26</v>
      </c>
      <c r="W15" s="247"/>
      <c r="X15" s="247">
        <v>13.28</v>
      </c>
      <c r="Y15" s="247">
        <v>13.26</v>
      </c>
      <c r="Z15" s="247">
        <v>13.37</v>
      </c>
      <c r="AA15" s="898" t="s">
        <v>643</v>
      </c>
      <c r="AB15" s="247">
        <v>13.28</v>
      </c>
      <c r="AC15" s="795">
        <v>13.37</v>
      </c>
      <c r="AD15" s="816">
        <v>13.3</v>
      </c>
      <c r="AE15" s="795">
        <v>13.32</v>
      </c>
      <c r="AF15" s="816"/>
      <c r="AG15" s="795">
        <v>13.43</v>
      </c>
      <c r="AH15" s="913">
        <v>13.14</v>
      </c>
      <c r="AI15" s="937">
        <v>13.3</v>
      </c>
      <c r="AJ15" s="937">
        <v>13.3</v>
      </c>
      <c r="AK15" s="937">
        <v>13.9</v>
      </c>
      <c r="AL15" s="937"/>
    </row>
    <row r="16" spans="1:38" ht="27.4" customHeight="1" x14ac:dyDescent="0.4">
      <c r="B16" s="1332"/>
      <c r="C16" s="1116"/>
      <c r="D16" s="1079"/>
      <c r="E16" s="1080"/>
      <c r="F16" s="101" t="s">
        <v>259</v>
      </c>
      <c r="G16" s="62" t="s">
        <v>48</v>
      </c>
      <c r="H16" s="62"/>
      <c r="I16" s="62"/>
      <c r="J16" s="102"/>
      <c r="K16" s="247">
        <v>4466</v>
      </c>
      <c r="L16" s="795"/>
      <c r="M16" s="255">
        <v>4449</v>
      </c>
      <c r="N16" s="247">
        <v>4430</v>
      </c>
      <c r="O16" s="255"/>
      <c r="P16" s="247">
        <v>4462</v>
      </c>
      <c r="Q16" s="247"/>
      <c r="R16" s="247">
        <v>4503</v>
      </c>
      <c r="S16" s="247"/>
      <c r="T16" s="247">
        <v>4394</v>
      </c>
      <c r="U16" s="247"/>
      <c r="V16" s="247">
        <v>4428</v>
      </c>
      <c r="W16" s="247"/>
      <c r="X16" s="247">
        <v>4432</v>
      </c>
      <c r="Y16" s="247">
        <v>4417</v>
      </c>
      <c r="Z16" s="247">
        <v>4335</v>
      </c>
      <c r="AA16" s="898">
        <v>4537</v>
      </c>
      <c r="AB16" s="247">
        <v>4432</v>
      </c>
      <c r="AC16" s="835">
        <v>4466</v>
      </c>
      <c r="AD16" s="816">
        <v>4491</v>
      </c>
      <c r="AE16" s="835">
        <v>4449</v>
      </c>
      <c r="AF16" s="816"/>
      <c r="AG16" s="247">
        <v>4580</v>
      </c>
      <c r="AH16" s="247">
        <v>4555</v>
      </c>
      <c r="AI16" s="247">
        <v>4424</v>
      </c>
      <c r="AJ16" s="247">
        <v>4571</v>
      </c>
      <c r="AK16" s="247">
        <v>4447</v>
      </c>
      <c r="AL16" s="247"/>
    </row>
    <row r="17" spans="2:38" ht="27.4" customHeight="1" thickBot="1" x14ac:dyDescent="0.45">
      <c r="B17" s="1332"/>
      <c r="C17" s="1116"/>
      <c r="D17" s="1081"/>
      <c r="E17" s="1082"/>
      <c r="F17" s="359" t="s">
        <v>355</v>
      </c>
      <c r="G17" s="360"/>
      <c r="H17" s="360"/>
      <c r="I17" s="360"/>
      <c r="J17" s="361" t="s">
        <v>181</v>
      </c>
      <c r="K17" s="363" t="s">
        <v>356</v>
      </c>
      <c r="L17" s="800"/>
      <c r="M17" s="362" t="s">
        <v>356</v>
      </c>
      <c r="N17" s="363" t="s">
        <v>356</v>
      </c>
      <c r="O17" s="362"/>
      <c r="P17" s="363" t="s">
        <v>356</v>
      </c>
      <c r="Q17" s="363"/>
      <c r="R17" s="363" t="s">
        <v>356</v>
      </c>
      <c r="S17" s="363"/>
      <c r="T17" s="363" t="s">
        <v>357</v>
      </c>
      <c r="U17" s="363"/>
      <c r="V17" s="363" t="s">
        <v>356</v>
      </c>
      <c r="W17" s="363"/>
      <c r="X17" s="363" t="s">
        <v>356</v>
      </c>
      <c r="Y17" s="363" t="s">
        <v>357</v>
      </c>
      <c r="Z17" s="363" t="s">
        <v>356</v>
      </c>
      <c r="AA17" s="898" t="s">
        <v>357</v>
      </c>
      <c r="AB17" s="363" t="s">
        <v>356</v>
      </c>
      <c r="AC17" s="853" t="s">
        <v>356</v>
      </c>
      <c r="AD17" s="854" t="s">
        <v>356</v>
      </c>
      <c r="AE17" s="853" t="s">
        <v>356</v>
      </c>
      <c r="AF17" s="829"/>
      <c r="AG17" s="363" t="s">
        <v>356</v>
      </c>
      <c r="AH17" s="363" t="s">
        <v>356</v>
      </c>
      <c r="AI17" s="363" t="s">
        <v>356</v>
      </c>
      <c r="AJ17" s="363" t="s">
        <v>356</v>
      </c>
      <c r="AK17" s="363" t="s">
        <v>356</v>
      </c>
      <c r="AL17" s="363"/>
    </row>
    <row r="18" spans="2:38" ht="27.4" customHeight="1" thickTop="1" x14ac:dyDescent="0.4">
      <c r="B18" s="1332"/>
      <c r="C18" s="1116"/>
      <c r="D18" s="1077" t="s">
        <v>358</v>
      </c>
      <c r="E18" s="1078"/>
      <c r="F18" s="99" t="s">
        <v>359</v>
      </c>
      <c r="G18" s="57" t="s">
        <v>77</v>
      </c>
      <c r="H18" s="57"/>
      <c r="I18" s="57"/>
      <c r="J18" s="100" t="s">
        <v>360</v>
      </c>
      <c r="K18" s="333">
        <v>73.45</v>
      </c>
      <c r="L18" s="798"/>
      <c r="M18" s="305">
        <v>75.58</v>
      </c>
      <c r="N18" s="333">
        <v>70.91</v>
      </c>
      <c r="O18" s="305"/>
      <c r="P18" s="333">
        <v>75</v>
      </c>
      <c r="Q18" s="333"/>
      <c r="R18" s="333">
        <v>74.790000000000006</v>
      </c>
      <c r="S18" s="333"/>
      <c r="T18" s="333">
        <v>73.27</v>
      </c>
      <c r="U18" s="333"/>
      <c r="V18" s="333">
        <v>73.819999999999993</v>
      </c>
      <c r="W18" s="333"/>
      <c r="X18" s="333">
        <v>73.52</v>
      </c>
      <c r="Y18" s="333">
        <v>73.099999999999994</v>
      </c>
      <c r="Z18" s="333">
        <v>75.97</v>
      </c>
      <c r="AA18" s="898" t="s">
        <v>644</v>
      </c>
      <c r="AB18" s="333">
        <v>73.52</v>
      </c>
      <c r="AC18" s="836">
        <v>73.45</v>
      </c>
      <c r="AD18" s="818">
        <v>76</v>
      </c>
      <c r="AE18" s="836">
        <v>75.58</v>
      </c>
      <c r="AF18" s="818"/>
      <c r="AG18" s="333">
        <v>78.599999999999994</v>
      </c>
      <c r="AH18" s="333">
        <v>73.010000000000005</v>
      </c>
      <c r="AI18" s="333">
        <v>76.569999999999993</v>
      </c>
      <c r="AJ18" s="333">
        <v>78.72</v>
      </c>
      <c r="AK18" s="333">
        <v>76.900000000000006</v>
      </c>
      <c r="AL18" s="333"/>
    </row>
    <row r="19" spans="2:38" ht="27.4" customHeight="1" x14ac:dyDescent="0.4">
      <c r="B19" s="1332"/>
      <c r="C19" s="1116"/>
      <c r="D19" s="1079"/>
      <c r="E19" s="1080"/>
      <c r="F19" s="87" t="s">
        <v>361</v>
      </c>
      <c r="G19" s="83" t="s">
        <v>21</v>
      </c>
      <c r="H19" s="83"/>
      <c r="I19" s="83"/>
      <c r="J19" s="88" t="s">
        <v>645</v>
      </c>
      <c r="K19" s="247" t="s">
        <v>439</v>
      </c>
      <c r="L19" s="795"/>
      <c r="M19" s="255" t="s">
        <v>439</v>
      </c>
      <c r="N19" s="247" t="s">
        <v>48</v>
      </c>
      <c r="O19" s="255"/>
      <c r="P19" s="247" t="s">
        <v>48</v>
      </c>
      <c r="Q19" s="247"/>
      <c r="R19" s="247" t="s">
        <v>48</v>
      </c>
      <c r="S19" s="247"/>
      <c r="T19" s="247" t="s">
        <v>439</v>
      </c>
      <c r="U19" s="247"/>
      <c r="V19" s="247" t="s">
        <v>48</v>
      </c>
      <c r="W19" s="247"/>
      <c r="X19" s="247" t="s">
        <v>48</v>
      </c>
      <c r="Y19" s="247" t="s">
        <v>439</v>
      </c>
      <c r="Z19" s="247" t="s">
        <v>356</v>
      </c>
      <c r="AA19" s="898" t="s">
        <v>439</v>
      </c>
      <c r="AB19" s="247" t="s">
        <v>48</v>
      </c>
      <c r="AC19" s="835" t="s">
        <v>48</v>
      </c>
      <c r="AD19" s="816" t="s">
        <v>48</v>
      </c>
      <c r="AE19" s="835" t="s">
        <v>48</v>
      </c>
      <c r="AF19" s="816"/>
      <c r="AG19" s="247" t="s">
        <v>48</v>
      </c>
      <c r="AH19" s="247" t="s">
        <v>48</v>
      </c>
      <c r="AI19" s="247" t="s">
        <v>439</v>
      </c>
      <c r="AJ19" s="247" t="s">
        <v>48</v>
      </c>
      <c r="AK19" s="247" t="s">
        <v>48</v>
      </c>
      <c r="AL19" s="247"/>
    </row>
    <row r="20" spans="2:38" ht="27.4" customHeight="1" thickBot="1" x14ac:dyDescent="0.45">
      <c r="B20" s="1332"/>
      <c r="C20" s="1116"/>
      <c r="D20" s="1081"/>
      <c r="E20" s="1082"/>
      <c r="F20" s="101" t="s">
        <v>366</v>
      </c>
      <c r="G20" s="62" t="s">
        <v>77</v>
      </c>
      <c r="H20" s="62"/>
      <c r="I20" s="62"/>
      <c r="J20" s="102" t="s">
        <v>360</v>
      </c>
      <c r="K20" s="334">
        <v>99.24</v>
      </c>
      <c r="L20" s="796"/>
      <c r="M20" s="308">
        <v>98.58</v>
      </c>
      <c r="N20" s="334">
        <v>98.58</v>
      </c>
      <c r="O20" s="308"/>
      <c r="P20" s="334">
        <v>99</v>
      </c>
      <c r="Q20" s="334"/>
      <c r="R20" s="334">
        <v>98.37</v>
      </c>
      <c r="S20" s="334"/>
      <c r="T20" s="334">
        <v>98.31</v>
      </c>
      <c r="U20" s="334"/>
      <c r="V20" s="334">
        <v>98.42</v>
      </c>
      <c r="W20" s="334"/>
      <c r="X20" s="334">
        <v>98.41</v>
      </c>
      <c r="Y20" s="334">
        <v>99.63</v>
      </c>
      <c r="Z20" s="334">
        <v>99.51</v>
      </c>
      <c r="AA20" s="898" t="s">
        <v>646</v>
      </c>
      <c r="AB20" s="334">
        <v>98.41</v>
      </c>
      <c r="AC20" s="837">
        <v>99.24</v>
      </c>
      <c r="AD20" s="817">
        <v>98.8</v>
      </c>
      <c r="AE20" s="837">
        <v>98.58</v>
      </c>
      <c r="AF20" s="817"/>
      <c r="AG20" s="334">
        <v>99.5</v>
      </c>
      <c r="AH20" s="334">
        <v>98.5</v>
      </c>
      <c r="AI20" s="334">
        <v>98.61</v>
      </c>
      <c r="AJ20" s="334">
        <v>99.72</v>
      </c>
      <c r="AK20" s="334">
        <v>99.3</v>
      </c>
      <c r="AL20" s="334"/>
    </row>
    <row r="21" spans="2:38" ht="27.4" customHeight="1" thickTop="1" x14ac:dyDescent="0.4">
      <c r="B21" s="1332"/>
      <c r="C21" s="1116"/>
      <c r="D21" s="1077" t="s">
        <v>367</v>
      </c>
      <c r="E21" s="1078"/>
      <c r="F21" s="343" t="s">
        <v>368</v>
      </c>
      <c r="G21" s="344" t="s">
        <v>21</v>
      </c>
      <c r="H21" s="344"/>
      <c r="I21" s="344"/>
      <c r="J21" s="345" t="s">
        <v>276</v>
      </c>
      <c r="K21" s="358" t="s">
        <v>200</v>
      </c>
      <c r="L21" s="799"/>
      <c r="M21" s="357" t="s">
        <v>200</v>
      </c>
      <c r="N21" s="358" t="s">
        <v>200</v>
      </c>
      <c r="O21" s="357"/>
      <c r="P21" s="358" t="s">
        <v>200</v>
      </c>
      <c r="Q21" s="358"/>
      <c r="R21" s="358" t="s">
        <v>200</v>
      </c>
      <c r="S21" s="358"/>
      <c r="T21" s="358" t="s">
        <v>200</v>
      </c>
      <c r="U21" s="358"/>
      <c r="V21" s="358" t="s">
        <v>200</v>
      </c>
      <c r="W21" s="358"/>
      <c r="X21" s="358" t="s">
        <v>200</v>
      </c>
      <c r="Y21" s="358" t="s">
        <v>200</v>
      </c>
      <c r="Z21" s="358" t="s">
        <v>200</v>
      </c>
      <c r="AA21" s="898" t="s">
        <v>200</v>
      </c>
      <c r="AB21" s="358" t="s">
        <v>200</v>
      </c>
      <c r="AC21" s="838" t="s">
        <v>200</v>
      </c>
      <c r="AD21" s="820" t="s">
        <v>200</v>
      </c>
      <c r="AE21" s="838" t="s">
        <v>200</v>
      </c>
      <c r="AF21" s="820"/>
      <c r="AG21" s="838" t="s">
        <v>200</v>
      </c>
      <c r="AH21" s="918" t="s">
        <v>200</v>
      </c>
      <c r="AI21" s="942" t="s">
        <v>200</v>
      </c>
      <c r="AJ21" s="942" t="s">
        <v>200</v>
      </c>
      <c r="AK21" s="942" t="s">
        <v>200</v>
      </c>
      <c r="AL21" s="942"/>
    </row>
    <row r="22" spans="2:38" ht="27.4" customHeight="1" x14ac:dyDescent="0.4">
      <c r="B22" s="1332"/>
      <c r="C22" s="1116"/>
      <c r="D22" s="1079"/>
      <c r="E22" s="1080"/>
      <c r="F22" s="97" t="s">
        <v>369</v>
      </c>
      <c r="G22" s="56" t="s">
        <v>21</v>
      </c>
      <c r="H22" s="56"/>
      <c r="I22" s="56"/>
      <c r="J22" s="98" t="s">
        <v>276</v>
      </c>
      <c r="K22" s="247" t="s">
        <v>370</v>
      </c>
      <c r="L22" s="795"/>
      <c r="M22" s="255" t="s">
        <v>200</v>
      </c>
      <c r="N22" s="247" t="s">
        <v>370</v>
      </c>
      <c r="O22" s="255"/>
      <c r="P22" s="247" t="s">
        <v>370</v>
      </c>
      <c r="Q22" s="247"/>
      <c r="R22" s="247" t="s">
        <v>200</v>
      </c>
      <c r="S22" s="247"/>
      <c r="T22" s="247" t="s">
        <v>200</v>
      </c>
      <c r="U22" s="247"/>
      <c r="V22" s="247" t="s">
        <v>200</v>
      </c>
      <c r="W22" s="247"/>
      <c r="X22" s="247" t="s">
        <v>200</v>
      </c>
      <c r="Y22" s="247" t="s">
        <v>200</v>
      </c>
      <c r="Z22" s="247" t="s">
        <v>200</v>
      </c>
      <c r="AA22" s="898" t="s">
        <v>200</v>
      </c>
      <c r="AB22" s="247" t="s">
        <v>200</v>
      </c>
      <c r="AC22" s="835" t="s">
        <v>200</v>
      </c>
      <c r="AD22" s="816" t="s">
        <v>200</v>
      </c>
      <c r="AE22" s="835" t="s">
        <v>200</v>
      </c>
      <c r="AF22" s="816"/>
      <c r="AG22" s="835" t="s">
        <v>200</v>
      </c>
      <c r="AH22" s="913" t="s">
        <v>200</v>
      </c>
      <c r="AI22" s="937" t="s">
        <v>200</v>
      </c>
      <c r="AJ22" s="937" t="s">
        <v>200</v>
      </c>
      <c r="AK22" s="937" t="s">
        <v>200</v>
      </c>
      <c r="AL22" s="937"/>
    </row>
    <row r="23" spans="2:38" ht="25.5" x14ac:dyDescent="0.4">
      <c r="B23" s="1332"/>
      <c r="C23" s="1116"/>
      <c r="D23" s="1079"/>
      <c r="E23" s="1080"/>
      <c r="F23" s="87" t="s">
        <v>371</v>
      </c>
      <c r="G23" s="83"/>
      <c r="H23" s="83"/>
      <c r="I23" s="83"/>
      <c r="J23" s="88" t="s">
        <v>276</v>
      </c>
      <c r="K23" s="247" t="s">
        <v>370</v>
      </c>
      <c r="L23" s="795"/>
      <c r="M23" s="255" t="s">
        <v>200</v>
      </c>
      <c r="N23" s="247" t="s">
        <v>370</v>
      </c>
      <c r="O23" s="255"/>
      <c r="P23" s="247" t="s">
        <v>370</v>
      </c>
      <c r="Q23" s="247"/>
      <c r="R23" s="247" t="s">
        <v>200</v>
      </c>
      <c r="S23" s="247"/>
      <c r="T23" s="247" t="s">
        <v>200</v>
      </c>
      <c r="U23" s="247"/>
      <c r="V23" s="247" t="s">
        <v>200</v>
      </c>
      <c r="W23" s="247"/>
      <c r="X23" s="247" t="s">
        <v>200</v>
      </c>
      <c r="Y23" s="247" t="s">
        <v>200</v>
      </c>
      <c r="Z23" s="247" t="s">
        <v>200</v>
      </c>
      <c r="AA23" s="898" t="s">
        <v>200</v>
      </c>
      <c r="AB23" s="247" t="s">
        <v>200</v>
      </c>
      <c r="AC23" s="835" t="s">
        <v>200</v>
      </c>
      <c r="AD23" s="816" t="s">
        <v>200</v>
      </c>
      <c r="AE23" s="835" t="s">
        <v>200</v>
      </c>
      <c r="AF23" s="816"/>
      <c r="AG23" s="835" t="s">
        <v>200</v>
      </c>
      <c r="AH23" s="913" t="s">
        <v>200</v>
      </c>
      <c r="AI23" s="937" t="s">
        <v>200</v>
      </c>
      <c r="AJ23" s="937" t="s">
        <v>200</v>
      </c>
      <c r="AK23" s="937" t="s">
        <v>200</v>
      </c>
      <c r="AL23" s="937"/>
    </row>
    <row r="24" spans="2:38" ht="27.4" customHeight="1" thickBot="1" x14ac:dyDescent="0.45">
      <c r="B24" s="1332"/>
      <c r="C24" s="1116"/>
      <c r="D24" s="1081"/>
      <c r="E24" s="1082"/>
      <c r="F24" s="348" t="s">
        <v>372</v>
      </c>
      <c r="G24" s="349"/>
      <c r="H24" s="349"/>
      <c r="I24" s="349"/>
      <c r="J24" s="350" t="s">
        <v>276</v>
      </c>
      <c r="K24" s="363" t="s">
        <v>200</v>
      </c>
      <c r="L24" s="800"/>
      <c r="M24" s="362" t="s">
        <v>200</v>
      </c>
      <c r="N24" s="363" t="s">
        <v>370</v>
      </c>
      <c r="O24" s="362"/>
      <c r="P24" s="363" t="s">
        <v>370</v>
      </c>
      <c r="Q24" s="363"/>
      <c r="R24" s="363" t="s">
        <v>200</v>
      </c>
      <c r="S24" s="363"/>
      <c r="T24" s="363" t="s">
        <v>200</v>
      </c>
      <c r="U24" s="363"/>
      <c r="V24" s="363" t="s">
        <v>200</v>
      </c>
      <c r="W24" s="363"/>
      <c r="X24" s="363" t="s">
        <v>200</v>
      </c>
      <c r="Y24" s="363" t="s">
        <v>200</v>
      </c>
      <c r="Z24" s="363" t="s">
        <v>200</v>
      </c>
      <c r="AA24" s="898" t="s">
        <v>200</v>
      </c>
      <c r="AB24" s="363" t="s">
        <v>200</v>
      </c>
      <c r="AC24" s="839" t="s">
        <v>200</v>
      </c>
      <c r="AD24" s="822" t="s">
        <v>200</v>
      </c>
      <c r="AE24" s="839" t="s">
        <v>200</v>
      </c>
      <c r="AF24" s="822"/>
      <c r="AG24" s="839" t="s">
        <v>200</v>
      </c>
      <c r="AH24" s="919" t="s">
        <v>200</v>
      </c>
      <c r="AI24" s="943" t="s">
        <v>200</v>
      </c>
      <c r="AJ24" s="943" t="s">
        <v>200</v>
      </c>
      <c r="AK24" s="943" t="s">
        <v>200</v>
      </c>
      <c r="AL24" s="943"/>
    </row>
    <row r="25" spans="2:38" ht="18" customHeight="1" thickTop="1" x14ac:dyDescent="0.4">
      <c r="B25" s="1332"/>
      <c r="C25" s="1116"/>
      <c r="D25" s="1077" t="s">
        <v>373</v>
      </c>
      <c r="E25" s="1078"/>
      <c r="F25" s="103" t="s">
        <v>374</v>
      </c>
      <c r="G25" s="61" t="s">
        <v>375</v>
      </c>
      <c r="H25" s="61" t="s">
        <v>217</v>
      </c>
      <c r="I25" s="61" t="s">
        <v>647</v>
      </c>
      <c r="J25" s="248"/>
      <c r="K25" s="260">
        <v>134</v>
      </c>
      <c r="L25" s="798"/>
      <c r="M25" s="305">
        <v>133</v>
      </c>
      <c r="N25" s="260">
        <v>124</v>
      </c>
      <c r="O25" s="305"/>
      <c r="P25" s="260">
        <v>119</v>
      </c>
      <c r="Q25" s="260"/>
      <c r="R25" s="260">
        <v>121</v>
      </c>
      <c r="S25" s="260"/>
      <c r="T25" s="260">
        <v>122</v>
      </c>
      <c r="U25" s="260"/>
      <c r="V25" s="260">
        <v>120</v>
      </c>
      <c r="W25" s="260"/>
      <c r="X25" s="260">
        <v>121</v>
      </c>
      <c r="Y25" s="260">
        <v>122</v>
      </c>
      <c r="Z25" s="260">
        <v>127</v>
      </c>
      <c r="AA25" s="898">
        <v>129</v>
      </c>
      <c r="AB25" s="260">
        <v>121</v>
      </c>
      <c r="AC25" s="836">
        <v>134</v>
      </c>
      <c r="AD25" s="818">
        <v>117</v>
      </c>
      <c r="AE25" s="836">
        <v>133</v>
      </c>
      <c r="AF25" s="818"/>
      <c r="AG25" s="836">
        <v>131</v>
      </c>
      <c r="AH25" s="917">
        <v>122</v>
      </c>
      <c r="AI25" s="941">
        <v>116</v>
      </c>
      <c r="AJ25" s="941">
        <v>128</v>
      </c>
      <c r="AK25" s="941">
        <v>126</v>
      </c>
      <c r="AL25" s="941"/>
    </row>
    <row r="26" spans="2:38" ht="27.4" customHeight="1" x14ac:dyDescent="0.4">
      <c r="B26" s="1332"/>
      <c r="C26" s="1116"/>
      <c r="D26" s="1079"/>
      <c r="E26" s="1080"/>
      <c r="F26" s="97" t="s">
        <v>377</v>
      </c>
      <c r="G26" s="56" t="s">
        <v>375</v>
      </c>
      <c r="H26" s="56" t="s">
        <v>217</v>
      </c>
      <c r="I26" s="56" t="s">
        <v>647</v>
      </c>
      <c r="J26" s="249"/>
      <c r="K26" s="246">
        <v>239</v>
      </c>
      <c r="L26" s="795"/>
      <c r="M26" s="255">
        <v>233</v>
      </c>
      <c r="N26" s="246">
        <v>227</v>
      </c>
      <c r="O26" s="255"/>
      <c r="P26" s="246">
        <v>216</v>
      </c>
      <c r="Q26" s="246"/>
      <c r="R26" s="246">
        <v>220</v>
      </c>
      <c r="S26" s="246"/>
      <c r="T26" s="246">
        <v>219</v>
      </c>
      <c r="U26" s="246"/>
      <c r="V26" s="246">
        <v>217</v>
      </c>
      <c r="W26" s="246"/>
      <c r="X26" s="246">
        <v>218</v>
      </c>
      <c r="Y26" s="246">
        <v>222</v>
      </c>
      <c r="Z26" s="246">
        <v>227</v>
      </c>
      <c r="AA26" s="898">
        <v>235</v>
      </c>
      <c r="AB26" s="246">
        <v>218</v>
      </c>
      <c r="AC26" s="835">
        <v>239</v>
      </c>
      <c r="AD26" s="816">
        <v>219</v>
      </c>
      <c r="AE26" s="835">
        <v>233</v>
      </c>
      <c r="AF26" s="816"/>
      <c r="AG26" s="835">
        <v>236</v>
      </c>
      <c r="AH26" s="913">
        <v>217</v>
      </c>
      <c r="AI26" s="937">
        <v>219</v>
      </c>
      <c r="AJ26" s="937">
        <v>232</v>
      </c>
      <c r="AK26" s="937">
        <v>229</v>
      </c>
      <c r="AL26" s="937"/>
    </row>
    <row r="27" spans="2:38" ht="27.4" customHeight="1" x14ac:dyDescent="0.4">
      <c r="B27" s="1332"/>
      <c r="C27" s="1116"/>
      <c r="D27" s="1079"/>
      <c r="E27" s="1080"/>
      <c r="F27" s="87" t="s">
        <v>378</v>
      </c>
      <c r="G27" s="83" t="s">
        <v>375</v>
      </c>
      <c r="H27" s="83" t="s">
        <v>217</v>
      </c>
      <c r="I27" s="83" t="s">
        <v>647</v>
      </c>
      <c r="J27" s="250"/>
      <c r="K27" s="246">
        <v>165</v>
      </c>
      <c r="L27" s="795"/>
      <c r="M27" s="255">
        <v>168</v>
      </c>
      <c r="N27" s="246">
        <v>161</v>
      </c>
      <c r="O27" s="255"/>
      <c r="P27" s="246">
        <v>160</v>
      </c>
      <c r="Q27" s="246"/>
      <c r="R27" s="246">
        <v>159</v>
      </c>
      <c r="S27" s="246"/>
      <c r="T27" s="246">
        <v>161</v>
      </c>
      <c r="U27" s="246"/>
      <c r="V27" s="246">
        <v>160</v>
      </c>
      <c r="W27" s="246"/>
      <c r="X27" s="246">
        <v>158</v>
      </c>
      <c r="Y27" s="246">
        <v>164</v>
      </c>
      <c r="Z27" s="246">
        <v>157</v>
      </c>
      <c r="AA27" s="898">
        <v>164</v>
      </c>
      <c r="AB27" s="246">
        <v>156</v>
      </c>
      <c r="AC27" s="835">
        <v>165</v>
      </c>
      <c r="AD27" s="816">
        <v>161</v>
      </c>
      <c r="AE27" s="835">
        <v>168</v>
      </c>
      <c r="AF27" s="816"/>
      <c r="AG27" s="835">
        <v>166</v>
      </c>
      <c r="AH27" s="913">
        <v>162</v>
      </c>
      <c r="AI27" s="937">
        <v>157</v>
      </c>
      <c r="AJ27" s="937">
        <v>165</v>
      </c>
      <c r="AK27" s="937">
        <v>168</v>
      </c>
      <c r="AL27" s="937"/>
    </row>
    <row r="28" spans="2:38" ht="27.4" customHeight="1" x14ac:dyDescent="0.4">
      <c r="B28" s="1332"/>
      <c r="C28" s="1116"/>
      <c r="D28" s="1079"/>
      <c r="E28" s="1080"/>
      <c r="F28" s="97" t="s">
        <v>379</v>
      </c>
      <c r="G28" s="56" t="s">
        <v>375</v>
      </c>
      <c r="H28" s="56" t="s">
        <v>217</v>
      </c>
      <c r="I28" s="56" t="s">
        <v>647</v>
      </c>
      <c r="J28" s="249"/>
      <c r="K28" s="246">
        <v>229</v>
      </c>
      <c r="L28" s="795"/>
      <c r="M28" s="255">
        <v>227</v>
      </c>
      <c r="N28" s="246">
        <v>218</v>
      </c>
      <c r="O28" s="255"/>
      <c r="P28" s="246">
        <v>218</v>
      </c>
      <c r="Q28" s="246"/>
      <c r="R28" s="246">
        <v>216</v>
      </c>
      <c r="S28" s="246"/>
      <c r="T28" s="246">
        <v>219</v>
      </c>
      <c r="U28" s="246"/>
      <c r="V28" s="246">
        <v>218</v>
      </c>
      <c r="W28" s="246"/>
      <c r="X28" s="246">
        <v>215</v>
      </c>
      <c r="Y28" s="246">
        <v>221</v>
      </c>
      <c r="Z28" s="246">
        <v>219</v>
      </c>
      <c r="AA28" s="898">
        <v>227</v>
      </c>
      <c r="AB28" s="246">
        <v>214</v>
      </c>
      <c r="AC28" s="835">
        <v>229</v>
      </c>
      <c r="AD28" s="816">
        <v>218</v>
      </c>
      <c r="AE28" s="835">
        <v>227</v>
      </c>
      <c r="AF28" s="816"/>
      <c r="AG28" s="835">
        <v>224</v>
      </c>
      <c r="AH28" s="913">
        <v>218</v>
      </c>
      <c r="AI28" s="937">
        <v>215</v>
      </c>
      <c r="AJ28" s="937">
        <v>225</v>
      </c>
      <c r="AK28" s="937">
        <v>222</v>
      </c>
      <c r="AL28" s="937"/>
    </row>
    <row r="29" spans="2:38" ht="27.4" customHeight="1" x14ac:dyDescent="0.4">
      <c r="B29" s="1332"/>
      <c r="C29" s="1116"/>
      <c r="D29" s="1079"/>
      <c r="E29" s="1080"/>
      <c r="F29" s="87" t="s">
        <v>380</v>
      </c>
      <c r="G29" s="83" t="s">
        <v>375</v>
      </c>
      <c r="H29" s="83" t="s">
        <v>217</v>
      </c>
      <c r="I29" s="83" t="s">
        <v>647</v>
      </c>
      <c r="J29" s="250"/>
      <c r="K29" s="246">
        <v>90</v>
      </c>
      <c r="L29" s="795"/>
      <c r="M29" s="255">
        <v>88</v>
      </c>
      <c r="N29" s="246">
        <v>85</v>
      </c>
      <c r="O29" s="255"/>
      <c r="P29" s="246">
        <v>84</v>
      </c>
      <c r="Q29" s="246"/>
      <c r="R29" s="246">
        <v>85</v>
      </c>
      <c r="S29" s="246"/>
      <c r="T29" s="246">
        <v>84</v>
      </c>
      <c r="U29" s="246"/>
      <c r="V29" s="246">
        <v>82</v>
      </c>
      <c r="W29" s="246"/>
      <c r="X29" s="246">
        <v>80</v>
      </c>
      <c r="Y29" s="246">
        <v>85</v>
      </c>
      <c r="Z29" s="246">
        <v>86</v>
      </c>
      <c r="AA29" s="898">
        <v>87</v>
      </c>
      <c r="AB29" s="246">
        <v>80</v>
      </c>
      <c r="AC29" s="835">
        <v>90</v>
      </c>
      <c r="AD29" s="816">
        <v>85</v>
      </c>
      <c r="AE29" s="835">
        <v>88</v>
      </c>
      <c r="AF29" s="816"/>
      <c r="AG29" s="835">
        <v>87</v>
      </c>
      <c r="AH29" s="913">
        <v>84</v>
      </c>
      <c r="AI29" s="937">
        <v>83</v>
      </c>
      <c r="AJ29" s="937">
        <v>87</v>
      </c>
      <c r="AK29" s="937">
        <v>85</v>
      </c>
      <c r="AL29" s="937"/>
    </row>
    <row r="30" spans="2:38" ht="27.4" customHeight="1" x14ac:dyDescent="0.4">
      <c r="B30" s="1332"/>
      <c r="C30" s="1116"/>
      <c r="D30" s="1079"/>
      <c r="E30" s="1080"/>
      <c r="F30" s="97" t="s">
        <v>381</v>
      </c>
      <c r="G30" s="56" t="s">
        <v>375</v>
      </c>
      <c r="H30" s="56" t="s">
        <v>217</v>
      </c>
      <c r="I30" s="56" t="s">
        <v>647</v>
      </c>
      <c r="J30" s="249"/>
      <c r="K30" s="246">
        <v>75</v>
      </c>
      <c r="L30" s="795"/>
      <c r="M30" s="255">
        <v>74</v>
      </c>
      <c r="N30" s="246">
        <v>73</v>
      </c>
      <c r="O30" s="255"/>
      <c r="P30" s="246">
        <v>63</v>
      </c>
      <c r="Q30" s="246"/>
      <c r="R30" s="246">
        <v>71</v>
      </c>
      <c r="S30" s="246"/>
      <c r="T30" s="246">
        <v>75</v>
      </c>
      <c r="U30" s="246"/>
      <c r="V30" s="246">
        <v>72</v>
      </c>
      <c r="W30" s="246"/>
      <c r="X30" s="246">
        <v>71</v>
      </c>
      <c r="Y30" s="246">
        <v>74</v>
      </c>
      <c r="Z30" s="246">
        <v>74</v>
      </c>
      <c r="AA30" s="898">
        <v>73</v>
      </c>
      <c r="AB30" s="246">
        <v>71</v>
      </c>
      <c r="AC30" s="835">
        <v>75</v>
      </c>
      <c r="AD30" s="816">
        <v>74</v>
      </c>
      <c r="AE30" s="835">
        <v>74</v>
      </c>
      <c r="AF30" s="816"/>
      <c r="AG30" s="835">
        <v>75</v>
      </c>
      <c r="AH30" s="913">
        <v>74</v>
      </c>
      <c r="AI30" s="937">
        <v>74</v>
      </c>
      <c r="AJ30" s="937">
        <v>74</v>
      </c>
      <c r="AK30" s="937">
        <v>75</v>
      </c>
      <c r="AL30" s="937"/>
    </row>
    <row r="31" spans="2:38" ht="27.4" customHeight="1" x14ac:dyDescent="0.4">
      <c r="B31" s="1332"/>
      <c r="C31" s="1116"/>
      <c r="D31" s="1079"/>
      <c r="E31" s="1080"/>
      <c r="F31" s="87" t="s">
        <v>382</v>
      </c>
      <c r="G31" s="83" t="s">
        <v>375</v>
      </c>
      <c r="H31" s="83" t="s">
        <v>217</v>
      </c>
      <c r="I31" s="83" t="s">
        <v>648</v>
      </c>
      <c r="J31" s="250"/>
      <c r="K31" s="246">
        <v>12</v>
      </c>
      <c r="L31" s="795"/>
      <c r="M31" s="255">
        <v>12</v>
      </c>
      <c r="N31" s="246">
        <v>12</v>
      </c>
      <c r="O31" s="255"/>
      <c r="P31" s="246">
        <v>12</v>
      </c>
      <c r="Q31" s="246"/>
      <c r="R31" s="246">
        <v>12</v>
      </c>
      <c r="S31" s="246"/>
      <c r="T31" s="246">
        <v>12</v>
      </c>
      <c r="U31" s="246"/>
      <c r="V31" s="246">
        <v>11</v>
      </c>
      <c r="W31" s="246"/>
      <c r="X31" s="246">
        <v>10</v>
      </c>
      <c r="Y31" s="246">
        <v>12</v>
      </c>
      <c r="Z31" s="246">
        <v>13</v>
      </c>
      <c r="AA31" s="898">
        <v>8</v>
      </c>
      <c r="AB31" s="246">
        <v>10</v>
      </c>
      <c r="AC31" s="835">
        <v>12</v>
      </c>
      <c r="AD31" s="816">
        <v>13</v>
      </c>
      <c r="AE31" s="835">
        <v>12</v>
      </c>
      <c r="AF31" s="816"/>
      <c r="AG31" s="835">
        <v>12</v>
      </c>
      <c r="AH31" s="913">
        <v>12</v>
      </c>
      <c r="AI31" s="937">
        <v>12</v>
      </c>
      <c r="AJ31" s="937">
        <v>13</v>
      </c>
      <c r="AK31" s="937">
        <v>13</v>
      </c>
      <c r="AL31" s="937"/>
    </row>
    <row r="32" spans="2:38" ht="27.4" customHeight="1" x14ac:dyDescent="0.4">
      <c r="B32" s="1332"/>
      <c r="C32" s="1116"/>
      <c r="D32" s="1079"/>
      <c r="E32" s="1080"/>
      <c r="F32" s="97" t="s">
        <v>384</v>
      </c>
      <c r="G32" s="56" t="s">
        <v>375</v>
      </c>
      <c r="H32" s="56" t="s">
        <v>217</v>
      </c>
      <c r="I32" s="56" t="s">
        <v>648</v>
      </c>
      <c r="J32" s="249"/>
      <c r="K32" s="246">
        <v>9</v>
      </c>
      <c r="L32" s="795"/>
      <c r="M32" s="255">
        <v>9</v>
      </c>
      <c r="N32" s="246">
        <v>8</v>
      </c>
      <c r="O32" s="255"/>
      <c r="P32" s="246">
        <v>8</v>
      </c>
      <c r="Q32" s="246"/>
      <c r="R32" s="246">
        <v>8</v>
      </c>
      <c r="S32" s="246"/>
      <c r="T32" s="246">
        <v>8</v>
      </c>
      <c r="U32" s="246"/>
      <c r="V32" s="246">
        <v>8</v>
      </c>
      <c r="W32" s="246"/>
      <c r="X32" s="246">
        <v>9</v>
      </c>
      <c r="Y32" s="246">
        <v>13</v>
      </c>
      <c r="Z32" s="246">
        <v>13</v>
      </c>
      <c r="AA32" s="898">
        <v>8</v>
      </c>
      <c r="AB32" s="246">
        <v>9</v>
      </c>
      <c r="AC32" s="835">
        <v>9</v>
      </c>
      <c r="AD32" s="816">
        <v>8</v>
      </c>
      <c r="AE32" s="835">
        <v>9</v>
      </c>
      <c r="AF32" s="816"/>
      <c r="AG32" s="835">
        <v>14</v>
      </c>
      <c r="AH32" s="913">
        <v>8</v>
      </c>
      <c r="AI32" s="937">
        <v>8</v>
      </c>
      <c r="AJ32" s="937">
        <v>9</v>
      </c>
      <c r="AK32" s="937">
        <v>9</v>
      </c>
      <c r="AL32" s="937"/>
    </row>
    <row r="33" spans="2:38" ht="27.4" customHeight="1" x14ac:dyDescent="0.4">
      <c r="B33" s="1332"/>
      <c r="C33" s="1116"/>
      <c r="D33" s="1079"/>
      <c r="E33" s="1080"/>
      <c r="F33" s="87" t="s">
        <v>385</v>
      </c>
      <c r="G33" s="83" t="s">
        <v>375</v>
      </c>
      <c r="H33" s="83" t="s">
        <v>217</v>
      </c>
      <c r="I33" s="83" t="s">
        <v>649</v>
      </c>
      <c r="J33" s="250"/>
      <c r="K33" s="246">
        <v>6</v>
      </c>
      <c r="L33" s="795"/>
      <c r="M33" s="255">
        <v>6</v>
      </c>
      <c r="N33" s="246">
        <v>6</v>
      </c>
      <c r="O33" s="255"/>
      <c r="P33" s="246">
        <v>6</v>
      </c>
      <c r="Q33" s="246"/>
      <c r="R33" s="246">
        <v>5</v>
      </c>
      <c r="S33" s="246"/>
      <c r="T33" s="246">
        <v>6</v>
      </c>
      <c r="U33" s="246"/>
      <c r="V33" s="246">
        <v>5</v>
      </c>
      <c r="W33" s="246"/>
      <c r="X33" s="246">
        <v>5</v>
      </c>
      <c r="Y33" s="246">
        <v>5</v>
      </c>
      <c r="Z33" s="246">
        <v>6</v>
      </c>
      <c r="AA33" s="898">
        <v>5</v>
      </c>
      <c r="AB33" s="246">
        <v>5</v>
      </c>
      <c r="AC33" s="835">
        <v>6</v>
      </c>
      <c r="AD33" s="816">
        <v>5</v>
      </c>
      <c r="AE33" s="835">
        <v>6</v>
      </c>
      <c r="AF33" s="816"/>
      <c r="AG33" s="835">
        <v>10</v>
      </c>
      <c r="AH33" s="913">
        <v>5</v>
      </c>
      <c r="AI33" s="937">
        <v>7</v>
      </c>
      <c r="AJ33" s="937">
        <v>7</v>
      </c>
      <c r="AK33" s="937">
        <v>7</v>
      </c>
      <c r="AL33" s="937"/>
    </row>
    <row r="34" spans="2:38" ht="27.4" customHeight="1" x14ac:dyDescent="0.4">
      <c r="B34" s="1332"/>
      <c r="C34" s="1116"/>
      <c r="D34" s="1079"/>
      <c r="E34" s="1080"/>
      <c r="F34" s="97" t="s">
        <v>387</v>
      </c>
      <c r="G34" s="56" t="s">
        <v>375</v>
      </c>
      <c r="H34" s="56" t="s">
        <v>217</v>
      </c>
      <c r="I34" s="56" t="s">
        <v>648</v>
      </c>
      <c r="J34" s="249"/>
      <c r="K34" s="246">
        <v>2</v>
      </c>
      <c r="L34" s="795"/>
      <c r="M34" s="255">
        <v>2</v>
      </c>
      <c r="N34" s="246">
        <v>2</v>
      </c>
      <c r="O34" s="255"/>
      <c r="P34" s="246">
        <v>2</v>
      </c>
      <c r="Q34" s="246"/>
      <c r="R34" s="246">
        <v>2</v>
      </c>
      <c r="S34" s="246"/>
      <c r="T34" s="246">
        <v>2</v>
      </c>
      <c r="U34" s="246"/>
      <c r="V34" s="246">
        <v>2</v>
      </c>
      <c r="W34" s="246"/>
      <c r="X34" s="246">
        <v>1</v>
      </c>
      <c r="Y34" s="246">
        <v>6</v>
      </c>
      <c r="Z34" s="246">
        <v>2</v>
      </c>
      <c r="AA34" s="898">
        <v>6</v>
      </c>
      <c r="AB34" s="246">
        <v>1</v>
      </c>
      <c r="AC34" s="835">
        <v>2</v>
      </c>
      <c r="AD34" s="816">
        <v>6</v>
      </c>
      <c r="AE34" s="835">
        <v>2</v>
      </c>
      <c r="AF34" s="816"/>
      <c r="AG34" s="835">
        <v>7</v>
      </c>
      <c r="AH34" s="913">
        <v>8</v>
      </c>
      <c r="AI34" s="937">
        <v>7</v>
      </c>
      <c r="AJ34" s="937">
        <v>8</v>
      </c>
      <c r="AK34" s="937">
        <v>7</v>
      </c>
      <c r="AL34" s="937"/>
    </row>
    <row r="35" spans="2:38" ht="27.4" customHeight="1" x14ac:dyDescent="0.4">
      <c r="B35" s="1332"/>
      <c r="C35" s="1116"/>
      <c r="D35" s="1079"/>
      <c r="E35" s="1080"/>
      <c r="F35" s="726" t="s">
        <v>388</v>
      </c>
      <c r="G35" s="83" t="s">
        <v>375</v>
      </c>
      <c r="H35" s="83" t="s">
        <v>217</v>
      </c>
      <c r="I35" s="83" t="s">
        <v>648</v>
      </c>
      <c r="J35" s="250"/>
      <c r="K35" s="246">
        <v>2</v>
      </c>
      <c r="L35" s="795"/>
      <c r="M35" s="255">
        <v>2</v>
      </c>
      <c r="N35" s="246">
        <v>2</v>
      </c>
      <c r="O35" s="255"/>
      <c r="P35" s="246">
        <v>2</v>
      </c>
      <c r="Q35" s="246"/>
      <c r="R35" s="246">
        <v>2</v>
      </c>
      <c r="S35" s="246"/>
      <c r="T35" s="246">
        <v>2</v>
      </c>
      <c r="U35" s="246"/>
      <c r="V35" s="246">
        <v>2</v>
      </c>
      <c r="W35" s="246"/>
      <c r="X35" s="246">
        <v>2</v>
      </c>
      <c r="Y35" s="246">
        <v>8</v>
      </c>
      <c r="Z35" s="246">
        <v>2</v>
      </c>
      <c r="AA35" s="898">
        <v>9</v>
      </c>
      <c r="AB35" s="246">
        <v>2</v>
      </c>
      <c r="AC35" s="835">
        <v>2</v>
      </c>
      <c r="AD35" s="816">
        <v>8</v>
      </c>
      <c r="AE35" s="835">
        <v>2</v>
      </c>
      <c r="AF35" s="816"/>
      <c r="AG35" s="835">
        <v>9</v>
      </c>
      <c r="AH35" s="913">
        <v>10</v>
      </c>
      <c r="AI35" s="937">
        <v>9</v>
      </c>
      <c r="AJ35" s="937">
        <v>3</v>
      </c>
      <c r="AK35" s="937">
        <v>8</v>
      </c>
      <c r="AL35" s="937"/>
    </row>
    <row r="36" spans="2:38" ht="27.4" customHeight="1" x14ac:dyDescent="0.4">
      <c r="B36" s="1332"/>
      <c r="C36" s="1116"/>
      <c r="D36" s="1079"/>
      <c r="E36" s="1080"/>
      <c r="F36" s="727" t="s">
        <v>389</v>
      </c>
      <c r="G36" s="56" t="s">
        <v>375</v>
      </c>
      <c r="H36" s="56" t="s">
        <v>217</v>
      </c>
      <c r="I36" s="56" t="s">
        <v>650</v>
      </c>
      <c r="J36" s="249"/>
      <c r="K36" s="246">
        <v>10</v>
      </c>
      <c r="L36" s="795"/>
      <c r="M36" s="255">
        <v>9</v>
      </c>
      <c r="N36" s="246">
        <v>9</v>
      </c>
      <c r="O36" s="255"/>
      <c r="P36" s="246">
        <v>10</v>
      </c>
      <c r="Q36" s="246"/>
      <c r="R36" s="246">
        <v>10</v>
      </c>
      <c r="S36" s="246"/>
      <c r="T36" s="246">
        <v>10</v>
      </c>
      <c r="U36" s="246"/>
      <c r="V36" s="246">
        <v>9</v>
      </c>
      <c r="W36" s="246"/>
      <c r="X36" s="246">
        <v>10</v>
      </c>
      <c r="Y36" s="246">
        <v>2</v>
      </c>
      <c r="Z36" s="246">
        <v>10</v>
      </c>
      <c r="AA36" s="898">
        <v>2</v>
      </c>
      <c r="AB36" s="246">
        <v>10</v>
      </c>
      <c r="AC36" s="835">
        <v>10</v>
      </c>
      <c r="AD36" s="816">
        <v>2</v>
      </c>
      <c r="AE36" s="835">
        <v>9</v>
      </c>
      <c r="AF36" s="816"/>
      <c r="AG36" s="835">
        <v>2</v>
      </c>
      <c r="AH36" s="913">
        <v>2</v>
      </c>
      <c r="AI36" s="937">
        <v>2</v>
      </c>
      <c r="AJ36" s="937">
        <v>6</v>
      </c>
      <c r="AK36" s="937">
        <v>9</v>
      </c>
      <c r="AL36" s="937"/>
    </row>
    <row r="37" spans="2:38" ht="27.4" customHeight="1" x14ac:dyDescent="0.4">
      <c r="B37" s="1332"/>
      <c r="C37" s="1116"/>
      <c r="D37" s="1079"/>
      <c r="E37" s="1080"/>
      <c r="F37" s="726" t="s">
        <v>391</v>
      </c>
      <c r="G37" s="83" t="s">
        <v>375</v>
      </c>
      <c r="H37" s="83" t="s">
        <v>217</v>
      </c>
      <c r="I37" s="83" t="s">
        <v>650</v>
      </c>
      <c r="J37" s="250"/>
      <c r="K37" s="246">
        <v>3</v>
      </c>
      <c r="L37" s="795"/>
      <c r="M37" s="255">
        <v>3</v>
      </c>
      <c r="N37" s="246">
        <v>3</v>
      </c>
      <c r="O37" s="255"/>
      <c r="P37" s="246">
        <v>3</v>
      </c>
      <c r="Q37" s="246"/>
      <c r="R37" s="246">
        <v>3</v>
      </c>
      <c r="S37" s="246"/>
      <c r="T37" s="246">
        <v>3</v>
      </c>
      <c r="U37" s="246"/>
      <c r="V37" s="246">
        <v>3</v>
      </c>
      <c r="W37" s="246"/>
      <c r="X37" s="246">
        <v>2</v>
      </c>
      <c r="Y37" s="246">
        <v>2</v>
      </c>
      <c r="Z37" s="246">
        <v>3</v>
      </c>
      <c r="AA37" s="898">
        <v>2</v>
      </c>
      <c r="AB37" s="246">
        <v>2</v>
      </c>
      <c r="AC37" s="835">
        <v>3</v>
      </c>
      <c r="AD37" s="816">
        <v>2</v>
      </c>
      <c r="AE37" s="835">
        <v>3</v>
      </c>
      <c r="AF37" s="816"/>
      <c r="AG37" s="835">
        <v>2</v>
      </c>
      <c r="AH37" s="913">
        <v>2</v>
      </c>
      <c r="AI37" s="937">
        <v>1</v>
      </c>
      <c r="AJ37" s="937">
        <v>7</v>
      </c>
      <c r="AK37" s="937">
        <v>2</v>
      </c>
      <c r="AL37" s="937"/>
    </row>
    <row r="38" spans="2:38" ht="27.4" customHeight="1" x14ac:dyDescent="0.4">
      <c r="B38" s="1332"/>
      <c r="C38" s="1116"/>
      <c r="D38" s="1079"/>
      <c r="E38" s="1080"/>
      <c r="F38" s="97" t="s">
        <v>392</v>
      </c>
      <c r="G38" s="56" t="s">
        <v>375</v>
      </c>
      <c r="H38" s="56" t="s">
        <v>217</v>
      </c>
      <c r="I38" s="56" t="s">
        <v>651</v>
      </c>
      <c r="J38" s="249"/>
      <c r="K38" s="246">
        <v>9</v>
      </c>
      <c r="L38" s="795"/>
      <c r="M38" s="255">
        <v>9</v>
      </c>
      <c r="N38" s="246">
        <v>9</v>
      </c>
      <c r="O38" s="255"/>
      <c r="P38" s="246">
        <v>9</v>
      </c>
      <c r="Q38" s="246"/>
      <c r="R38" s="246">
        <v>9</v>
      </c>
      <c r="S38" s="246"/>
      <c r="T38" s="246">
        <v>9</v>
      </c>
      <c r="U38" s="246"/>
      <c r="V38" s="246">
        <v>10</v>
      </c>
      <c r="W38" s="246"/>
      <c r="X38" s="246">
        <v>10</v>
      </c>
      <c r="Y38" s="246">
        <v>10</v>
      </c>
      <c r="Z38" s="246">
        <v>7</v>
      </c>
      <c r="AA38" s="898">
        <v>10</v>
      </c>
      <c r="AB38" s="246">
        <v>10</v>
      </c>
      <c r="AC38" s="835">
        <v>9</v>
      </c>
      <c r="AD38" s="816">
        <v>10</v>
      </c>
      <c r="AE38" s="835">
        <v>9</v>
      </c>
      <c r="AF38" s="816"/>
      <c r="AG38" s="835">
        <v>10</v>
      </c>
      <c r="AH38" s="913">
        <v>9</v>
      </c>
      <c r="AI38" s="937">
        <v>10</v>
      </c>
      <c r="AJ38" s="937">
        <v>2</v>
      </c>
      <c r="AK38" s="937">
        <v>10</v>
      </c>
      <c r="AL38" s="937"/>
    </row>
    <row r="39" spans="2:38" ht="27.4" customHeight="1" x14ac:dyDescent="0.4">
      <c r="B39" s="1332"/>
      <c r="C39" s="1116"/>
      <c r="D39" s="1079"/>
      <c r="E39" s="1080"/>
      <c r="F39" s="87" t="s">
        <v>394</v>
      </c>
      <c r="G39" s="83" t="s">
        <v>375</v>
      </c>
      <c r="H39" s="83" t="s">
        <v>217</v>
      </c>
      <c r="I39" s="83" t="s">
        <v>651</v>
      </c>
      <c r="J39" s="250"/>
      <c r="K39" s="246">
        <v>3</v>
      </c>
      <c r="L39" s="795"/>
      <c r="M39" s="255">
        <v>3</v>
      </c>
      <c r="N39" s="246">
        <v>3</v>
      </c>
      <c r="O39" s="255"/>
      <c r="P39" s="246">
        <v>4</v>
      </c>
      <c r="Q39" s="246"/>
      <c r="R39" s="246">
        <v>3</v>
      </c>
      <c r="S39" s="246"/>
      <c r="T39" s="246">
        <v>3</v>
      </c>
      <c r="U39" s="246"/>
      <c r="V39" s="246">
        <v>3</v>
      </c>
      <c r="W39" s="246"/>
      <c r="X39" s="246">
        <v>3</v>
      </c>
      <c r="Y39" s="246">
        <v>3</v>
      </c>
      <c r="Z39" s="246">
        <v>3</v>
      </c>
      <c r="AA39" s="898">
        <v>3</v>
      </c>
      <c r="AB39" s="246">
        <v>3</v>
      </c>
      <c r="AC39" s="835">
        <v>3</v>
      </c>
      <c r="AD39" s="816">
        <v>3</v>
      </c>
      <c r="AE39" s="835">
        <v>3</v>
      </c>
      <c r="AF39" s="816"/>
      <c r="AG39" s="835">
        <v>3</v>
      </c>
      <c r="AH39" s="913">
        <v>3</v>
      </c>
      <c r="AI39" s="937">
        <v>3</v>
      </c>
      <c r="AJ39" s="937">
        <v>2</v>
      </c>
      <c r="AK39" s="937">
        <v>3</v>
      </c>
      <c r="AL39" s="937"/>
    </row>
    <row r="40" spans="2:38" ht="27.4" customHeight="1" x14ac:dyDescent="0.4">
      <c r="B40" s="1332"/>
      <c r="C40" s="1116"/>
      <c r="D40" s="1079"/>
      <c r="E40" s="1080"/>
      <c r="F40" s="97" t="s">
        <v>395</v>
      </c>
      <c r="G40" s="56" t="s">
        <v>375</v>
      </c>
      <c r="H40" s="56" t="s">
        <v>217</v>
      </c>
      <c r="I40" s="56" t="s">
        <v>651</v>
      </c>
      <c r="J40" s="249"/>
      <c r="K40" s="246">
        <v>6</v>
      </c>
      <c r="L40" s="795"/>
      <c r="M40" s="255">
        <v>6</v>
      </c>
      <c r="N40" s="246">
        <v>6</v>
      </c>
      <c r="O40" s="255"/>
      <c r="P40" s="246">
        <v>6</v>
      </c>
      <c r="Q40" s="246"/>
      <c r="R40" s="246">
        <v>6</v>
      </c>
      <c r="S40" s="246"/>
      <c r="T40" s="246">
        <v>6</v>
      </c>
      <c r="U40" s="246"/>
      <c r="V40" s="246">
        <v>6</v>
      </c>
      <c r="W40" s="246"/>
      <c r="X40" s="246">
        <v>7</v>
      </c>
      <c r="Y40" s="246">
        <v>7</v>
      </c>
      <c r="Z40" s="246">
        <v>9</v>
      </c>
      <c r="AA40" s="898">
        <v>7</v>
      </c>
      <c r="AB40" s="246">
        <v>7</v>
      </c>
      <c r="AC40" s="835">
        <v>6</v>
      </c>
      <c r="AD40" s="816">
        <v>7</v>
      </c>
      <c r="AE40" s="835">
        <v>6</v>
      </c>
      <c r="AF40" s="816"/>
      <c r="AG40" s="835">
        <v>9</v>
      </c>
      <c r="AH40" s="913">
        <v>6</v>
      </c>
      <c r="AI40" s="937">
        <v>9</v>
      </c>
      <c r="AJ40" s="937">
        <v>10</v>
      </c>
      <c r="AK40" s="937">
        <v>9</v>
      </c>
      <c r="AL40" s="937"/>
    </row>
    <row r="41" spans="2:38" ht="27.4" customHeight="1" x14ac:dyDescent="0.4">
      <c r="B41" s="1332"/>
      <c r="C41" s="1116"/>
      <c r="D41" s="1079"/>
      <c r="E41" s="1080"/>
      <c r="F41" s="87" t="s">
        <v>396</v>
      </c>
      <c r="G41" s="83" t="s">
        <v>375</v>
      </c>
      <c r="H41" s="83" t="s">
        <v>217</v>
      </c>
      <c r="I41" s="83" t="s">
        <v>651</v>
      </c>
      <c r="J41" s="250"/>
      <c r="K41" s="246">
        <v>3</v>
      </c>
      <c r="L41" s="795"/>
      <c r="M41" s="255">
        <v>2</v>
      </c>
      <c r="N41" s="246">
        <v>3</v>
      </c>
      <c r="O41" s="255"/>
      <c r="P41" s="246">
        <v>3</v>
      </c>
      <c r="Q41" s="246"/>
      <c r="R41" s="246">
        <v>2</v>
      </c>
      <c r="S41" s="246"/>
      <c r="T41" s="246">
        <v>2</v>
      </c>
      <c r="U41" s="246"/>
      <c r="V41" s="246">
        <v>2</v>
      </c>
      <c r="W41" s="246"/>
      <c r="X41" s="246">
        <v>2</v>
      </c>
      <c r="Y41" s="246">
        <v>4</v>
      </c>
      <c r="Z41" s="246">
        <v>4</v>
      </c>
      <c r="AA41" s="898">
        <v>3</v>
      </c>
      <c r="AB41" s="246">
        <v>2</v>
      </c>
      <c r="AC41" s="835">
        <v>3</v>
      </c>
      <c r="AD41" s="816">
        <v>3</v>
      </c>
      <c r="AE41" s="835">
        <v>2</v>
      </c>
      <c r="AF41" s="816"/>
      <c r="AG41" s="835">
        <v>3</v>
      </c>
      <c r="AH41" s="913">
        <v>3</v>
      </c>
      <c r="AI41" s="937">
        <v>3</v>
      </c>
      <c r="AJ41" s="937">
        <v>3</v>
      </c>
      <c r="AK41" s="937">
        <v>4</v>
      </c>
      <c r="AL41" s="937"/>
    </row>
    <row r="42" spans="2:38" ht="27.4" customHeight="1" x14ac:dyDescent="0.4">
      <c r="B42" s="1332"/>
      <c r="C42" s="1116"/>
      <c r="D42" s="1079"/>
      <c r="E42" s="1080"/>
      <c r="F42" s="97" t="s">
        <v>652</v>
      </c>
      <c r="G42" s="56" t="s">
        <v>375</v>
      </c>
      <c r="H42" s="56" t="s">
        <v>217</v>
      </c>
      <c r="I42" s="56" t="s">
        <v>651</v>
      </c>
      <c r="J42" s="249"/>
      <c r="K42" s="246">
        <v>7</v>
      </c>
      <c r="L42" s="795"/>
      <c r="M42" s="255">
        <v>8</v>
      </c>
      <c r="N42" s="246">
        <v>7</v>
      </c>
      <c r="O42" s="255"/>
      <c r="P42" s="246">
        <v>7</v>
      </c>
      <c r="Q42" s="246"/>
      <c r="R42" s="246">
        <v>7</v>
      </c>
      <c r="S42" s="246"/>
      <c r="T42" s="246">
        <v>7</v>
      </c>
      <c r="U42" s="246"/>
      <c r="V42" s="246">
        <v>8</v>
      </c>
      <c r="W42" s="246"/>
      <c r="X42" s="246">
        <v>7</v>
      </c>
      <c r="Y42" s="246">
        <v>10</v>
      </c>
      <c r="Z42" s="246">
        <v>7</v>
      </c>
      <c r="AA42" s="898">
        <v>7</v>
      </c>
      <c r="AB42" s="246">
        <v>7</v>
      </c>
      <c r="AC42" s="835">
        <v>7</v>
      </c>
      <c r="AD42" s="816">
        <v>6</v>
      </c>
      <c r="AE42" s="835">
        <v>8</v>
      </c>
      <c r="AF42" s="816"/>
      <c r="AG42" s="835">
        <v>8</v>
      </c>
      <c r="AH42" s="913">
        <v>8</v>
      </c>
      <c r="AI42" s="937">
        <v>12</v>
      </c>
      <c r="AJ42" s="937">
        <v>9</v>
      </c>
      <c r="AK42" s="937">
        <v>8</v>
      </c>
      <c r="AL42" s="937"/>
    </row>
    <row r="43" spans="2:38" ht="27.4" customHeight="1" x14ac:dyDescent="0.4">
      <c r="B43" s="1332"/>
      <c r="C43" s="1116"/>
      <c r="D43" s="1079"/>
      <c r="E43" s="1080"/>
      <c r="F43" s="87" t="s">
        <v>653</v>
      </c>
      <c r="G43" s="83" t="s">
        <v>375</v>
      </c>
      <c r="H43" s="83" t="s">
        <v>217</v>
      </c>
      <c r="I43" s="83" t="s">
        <v>651</v>
      </c>
      <c r="J43" s="250"/>
      <c r="K43" s="246">
        <v>8</v>
      </c>
      <c r="L43" s="795"/>
      <c r="M43" s="255">
        <v>10</v>
      </c>
      <c r="N43" s="246">
        <v>9</v>
      </c>
      <c r="O43" s="255"/>
      <c r="P43" s="246">
        <v>9</v>
      </c>
      <c r="Q43" s="246"/>
      <c r="R43" s="246">
        <v>9</v>
      </c>
      <c r="S43" s="246"/>
      <c r="T43" s="246">
        <v>10</v>
      </c>
      <c r="U43" s="246"/>
      <c r="V43" s="246">
        <v>10</v>
      </c>
      <c r="W43" s="246"/>
      <c r="X43" s="246">
        <v>9</v>
      </c>
      <c r="Y43" s="246">
        <v>4</v>
      </c>
      <c r="Z43" s="246">
        <v>9</v>
      </c>
      <c r="AA43" s="898">
        <v>3</v>
      </c>
      <c r="AB43" s="246">
        <v>9</v>
      </c>
      <c r="AC43" s="835">
        <v>8</v>
      </c>
      <c r="AD43" s="816">
        <v>3</v>
      </c>
      <c r="AE43" s="835">
        <v>10</v>
      </c>
      <c r="AF43" s="816"/>
      <c r="AG43" s="835">
        <v>3</v>
      </c>
      <c r="AH43" s="913">
        <v>3</v>
      </c>
      <c r="AI43" s="937">
        <v>3</v>
      </c>
      <c r="AJ43" s="937">
        <v>4</v>
      </c>
      <c r="AK43" s="937">
        <v>3</v>
      </c>
      <c r="AL43" s="937"/>
    </row>
    <row r="44" spans="2:38" ht="27.4" customHeight="1" thickBot="1" x14ac:dyDescent="0.45">
      <c r="B44" s="1332"/>
      <c r="C44" s="1116"/>
      <c r="D44" s="1081"/>
      <c r="E44" s="1082"/>
      <c r="F44" s="101" t="s">
        <v>397</v>
      </c>
      <c r="G44" s="62" t="s">
        <v>398</v>
      </c>
      <c r="H44" s="62" t="s">
        <v>217</v>
      </c>
      <c r="I44" s="62"/>
      <c r="J44" s="102"/>
      <c r="K44" s="261">
        <v>450.4</v>
      </c>
      <c r="L44" s="796"/>
      <c r="M44" s="308">
        <v>449.9</v>
      </c>
      <c r="N44" s="261">
        <v>449.7</v>
      </c>
      <c r="O44" s="308"/>
      <c r="P44" s="261">
        <v>450</v>
      </c>
      <c r="Q44" s="261"/>
      <c r="R44" s="261">
        <v>451.1</v>
      </c>
      <c r="S44" s="261"/>
      <c r="T44" s="261">
        <v>449.8</v>
      </c>
      <c r="U44" s="261"/>
      <c r="V44" s="261">
        <v>450.2</v>
      </c>
      <c r="W44" s="261"/>
      <c r="X44" s="261">
        <v>450.1</v>
      </c>
      <c r="Y44" s="261">
        <v>450.1</v>
      </c>
      <c r="Z44" s="261">
        <v>450.1</v>
      </c>
      <c r="AA44" s="898" t="s">
        <v>654</v>
      </c>
      <c r="AB44" s="261">
        <v>450.1</v>
      </c>
      <c r="AC44" s="837">
        <v>450.4</v>
      </c>
      <c r="AD44" s="817">
        <v>450.3</v>
      </c>
      <c r="AE44" s="837">
        <v>449.9</v>
      </c>
      <c r="AF44" s="817"/>
      <c r="AG44" s="837">
        <v>449.9</v>
      </c>
      <c r="AH44" s="914">
        <v>450.2</v>
      </c>
      <c r="AI44" s="938">
        <v>449.7</v>
      </c>
      <c r="AJ44" s="938">
        <v>448.9</v>
      </c>
      <c r="AK44" s="938">
        <v>450.1</v>
      </c>
      <c r="AL44" s="938"/>
    </row>
    <row r="45" spans="2:38" ht="27.4" customHeight="1" thickTop="1" x14ac:dyDescent="0.4">
      <c r="B45" s="1332"/>
      <c r="C45" s="1116"/>
      <c r="D45" s="1077" t="s">
        <v>399</v>
      </c>
      <c r="E45" s="1078"/>
      <c r="F45" s="343" t="s">
        <v>400</v>
      </c>
      <c r="G45" s="344" t="s">
        <v>72</v>
      </c>
      <c r="H45" s="344" t="s">
        <v>350</v>
      </c>
      <c r="I45" s="344"/>
      <c r="J45" s="345"/>
      <c r="K45" s="347">
        <v>120</v>
      </c>
      <c r="L45" s="799"/>
      <c r="M45" s="357">
        <v>125</v>
      </c>
      <c r="N45" s="347">
        <v>125</v>
      </c>
      <c r="O45" s="357"/>
      <c r="P45" s="347">
        <v>125</v>
      </c>
      <c r="Q45" s="347"/>
      <c r="R45" s="347">
        <v>120</v>
      </c>
      <c r="S45" s="347"/>
      <c r="T45" s="347">
        <v>125</v>
      </c>
      <c r="U45" s="347"/>
      <c r="V45" s="347">
        <v>122</v>
      </c>
      <c r="W45" s="347"/>
      <c r="X45" s="347">
        <v>123</v>
      </c>
      <c r="Y45" s="347">
        <v>130</v>
      </c>
      <c r="Z45" s="347">
        <v>123</v>
      </c>
      <c r="AA45" s="898">
        <v>130</v>
      </c>
      <c r="AB45" s="347">
        <v>123</v>
      </c>
      <c r="AC45" s="838">
        <v>120</v>
      </c>
      <c r="AD45" s="820">
        <v>125</v>
      </c>
      <c r="AE45" s="838">
        <v>125</v>
      </c>
      <c r="AF45" s="820"/>
      <c r="AG45" s="838">
        <v>120</v>
      </c>
      <c r="AH45" s="918">
        <v>125</v>
      </c>
      <c r="AI45" s="942">
        <v>115</v>
      </c>
      <c r="AJ45" s="942">
        <v>125</v>
      </c>
      <c r="AK45" s="942">
        <v>125</v>
      </c>
      <c r="AL45" s="942"/>
    </row>
    <row r="46" spans="2:38" ht="27.4" customHeight="1" thickBot="1" x14ac:dyDescent="0.45">
      <c r="B46" s="1332"/>
      <c r="C46" s="1116"/>
      <c r="D46" s="1081"/>
      <c r="E46" s="1082"/>
      <c r="F46" s="348" t="s">
        <v>401</v>
      </c>
      <c r="G46" s="349" t="s">
        <v>77</v>
      </c>
      <c r="H46" s="349" t="s">
        <v>217</v>
      </c>
      <c r="I46" s="349"/>
      <c r="J46" s="350"/>
      <c r="K46" s="352">
        <v>0</v>
      </c>
      <c r="L46" s="800"/>
      <c r="M46" s="362">
        <v>0</v>
      </c>
      <c r="N46" s="352">
        <v>0</v>
      </c>
      <c r="O46" s="362"/>
      <c r="P46" s="352">
        <v>0</v>
      </c>
      <c r="Q46" s="352"/>
      <c r="R46" s="352">
        <v>0</v>
      </c>
      <c r="S46" s="352"/>
      <c r="T46" s="352">
        <v>0</v>
      </c>
      <c r="U46" s="352"/>
      <c r="V46" s="352">
        <v>0</v>
      </c>
      <c r="W46" s="352"/>
      <c r="X46" s="352">
        <v>0</v>
      </c>
      <c r="Y46" s="352">
        <v>0</v>
      </c>
      <c r="Z46" s="352">
        <v>0</v>
      </c>
      <c r="AA46" s="898" t="s">
        <v>655</v>
      </c>
      <c r="AB46" s="352">
        <v>0</v>
      </c>
      <c r="AC46" s="839">
        <v>0</v>
      </c>
      <c r="AD46" s="822">
        <v>0</v>
      </c>
      <c r="AE46" s="839">
        <v>0</v>
      </c>
      <c r="AF46" s="822"/>
      <c r="AG46" s="839">
        <v>0</v>
      </c>
      <c r="AH46" s="919">
        <v>0</v>
      </c>
      <c r="AI46" s="943">
        <v>0</v>
      </c>
      <c r="AJ46" s="943">
        <v>0</v>
      </c>
      <c r="AK46" s="943">
        <v>0</v>
      </c>
      <c r="AL46" s="943"/>
    </row>
    <row r="47" spans="2:38" ht="18" customHeight="1" thickTop="1" x14ac:dyDescent="0.4">
      <c r="B47" s="1332"/>
      <c r="C47" s="1116"/>
      <c r="D47" s="1077" t="s">
        <v>656</v>
      </c>
      <c r="E47" s="1078"/>
      <c r="F47" s="343" t="s">
        <v>403</v>
      </c>
      <c r="G47" s="344" t="s">
        <v>39</v>
      </c>
      <c r="H47" s="344" t="s">
        <v>350</v>
      </c>
      <c r="I47" s="344" t="s">
        <v>188</v>
      </c>
      <c r="J47" s="345"/>
      <c r="K47" s="347">
        <v>45</v>
      </c>
      <c r="L47" s="799"/>
      <c r="M47" s="346">
        <v>39</v>
      </c>
      <c r="N47" s="347">
        <v>44</v>
      </c>
      <c r="O47" s="346"/>
      <c r="P47" s="346">
        <v>39</v>
      </c>
      <c r="Q47" s="346"/>
      <c r="R47" s="346">
        <v>38</v>
      </c>
      <c r="S47" s="346"/>
      <c r="T47" s="346">
        <v>38</v>
      </c>
      <c r="U47" s="346"/>
      <c r="V47" s="346">
        <v>37</v>
      </c>
      <c r="W47" s="346"/>
      <c r="X47" s="346">
        <v>38</v>
      </c>
      <c r="Y47" s="346">
        <v>39</v>
      </c>
      <c r="Z47" s="346">
        <v>38</v>
      </c>
      <c r="AA47" s="898">
        <v>38</v>
      </c>
      <c r="AB47" s="346">
        <v>38</v>
      </c>
      <c r="AC47" s="840">
        <v>45</v>
      </c>
      <c r="AD47" s="830">
        <v>40</v>
      </c>
      <c r="AE47" s="840">
        <v>39</v>
      </c>
      <c r="AF47" s="830"/>
      <c r="AG47" s="840">
        <v>40</v>
      </c>
      <c r="AH47" s="920"/>
      <c r="AI47" s="944">
        <v>38</v>
      </c>
      <c r="AJ47" s="944">
        <v>38</v>
      </c>
      <c r="AK47" s="944">
        <v>38</v>
      </c>
      <c r="AL47" s="944"/>
    </row>
    <row r="48" spans="2:38" ht="27.4" customHeight="1" x14ac:dyDescent="0.4">
      <c r="B48" s="1332"/>
      <c r="C48" s="1116"/>
      <c r="D48" s="1079"/>
      <c r="E48" s="1080"/>
      <c r="F48" s="97" t="s">
        <v>404</v>
      </c>
      <c r="G48" s="56" t="s">
        <v>39</v>
      </c>
      <c r="H48" s="56" t="s">
        <v>350</v>
      </c>
      <c r="I48" s="56"/>
      <c r="J48" s="98"/>
      <c r="K48" s="246">
        <v>45</v>
      </c>
      <c r="L48" s="798"/>
      <c r="M48" s="335">
        <v>42</v>
      </c>
      <c r="N48" s="246">
        <v>45</v>
      </c>
      <c r="O48" s="335"/>
      <c r="P48" s="335">
        <v>42</v>
      </c>
      <c r="Q48" s="335"/>
      <c r="R48" s="335">
        <v>40</v>
      </c>
      <c r="S48" s="335"/>
      <c r="T48" s="335">
        <v>40</v>
      </c>
      <c r="U48" s="335"/>
      <c r="V48" s="335">
        <v>40</v>
      </c>
      <c r="W48" s="335"/>
      <c r="X48" s="335">
        <v>41</v>
      </c>
      <c r="Y48" s="335">
        <v>41</v>
      </c>
      <c r="Z48" s="335">
        <v>42</v>
      </c>
      <c r="AA48" s="898">
        <v>40</v>
      </c>
      <c r="AB48" s="335">
        <v>41</v>
      </c>
      <c r="AC48" s="841">
        <v>45</v>
      </c>
      <c r="AD48" s="831">
        <v>42</v>
      </c>
      <c r="AE48" s="841">
        <v>42</v>
      </c>
      <c r="AF48" s="831"/>
      <c r="AG48" s="841">
        <v>44</v>
      </c>
      <c r="AH48" s="921"/>
      <c r="AI48" s="945">
        <v>40</v>
      </c>
      <c r="AJ48" s="945">
        <v>41</v>
      </c>
      <c r="AK48" s="945">
        <v>40</v>
      </c>
      <c r="AL48" s="945"/>
    </row>
    <row r="49" spans="2:38" ht="27.4" customHeight="1" x14ac:dyDescent="0.4">
      <c r="B49" s="1332"/>
      <c r="C49" s="1116"/>
      <c r="D49" s="1079"/>
      <c r="E49" s="1080"/>
      <c r="F49" s="87" t="s">
        <v>405</v>
      </c>
      <c r="G49" s="83" t="s">
        <v>39</v>
      </c>
      <c r="H49" s="83" t="s">
        <v>350</v>
      </c>
      <c r="I49" s="83"/>
      <c r="J49" s="88"/>
      <c r="K49" s="246">
        <v>45</v>
      </c>
      <c r="L49" s="798"/>
      <c r="M49" s="335">
        <v>42</v>
      </c>
      <c r="N49" s="246">
        <v>45</v>
      </c>
      <c r="O49" s="335"/>
      <c r="P49" s="335">
        <v>42</v>
      </c>
      <c r="Q49" s="335"/>
      <c r="R49" s="335">
        <v>40</v>
      </c>
      <c r="S49" s="335"/>
      <c r="T49" s="335">
        <v>40</v>
      </c>
      <c r="U49" s="335"/>
      <c r="V49" s="335">
        <v>41</v>
      </c>
      <c r="W49" s="335"/>
      <c r="X49" s="335">
        <v>41</v>
      </c>
      <c r="Y49" s="335">
        <v>41</v>
      </c>
      <c r="Z49" s="335">
        <v>41</v>
      </c>
      <c r="AA49" s="898">
        <v>40</v>
      </c>
      <c r="AB49" s="335">
        <v>41</v>
      </c>
      <c r="AC49" s="841">
        <v>45</v>
      </c>
      <c r="AD49" s="831">
        <v>42</v>
      </c>
      <c r="AE49" s="841">
        <v>42</v>
      </c>
      <c r="AF49" s="831"/>
      <c r="AG49" s="841">
        <v>43</v>
      </c>
      <c r="AH49" s="921"/>
      <c r="AI49" s="945">
        <v>40</v>
      </c>
      <c r="AJ49" s="945">
        <v>41</v>
      </c>
      <c r="AK49" s="945">
        <v>40</v>
      </c>
      <c r="AL49" s="945"/>
    </row>
    <row r="50" spans="2:38" ht="27.4" customHeight="1" x14ac:dyDescent="0.4">
      <c r="B50" s="1332"/>
      <c r="C50" s="1116"/>
      <c r="D50" s="1079"/>
      <c r="E50" s="1080"/>
      <c r="F50" s="97" t="s">
        <v>406</v>
      </c>
      <c r="G50" s="56" t="s">
        <v>39</v>
      </c>
      <c r="H50" s="56" t="s">
        <v>350</v>
      </c>
      <c r="I50" s="56"/>
      <c r="J50" s="98"/>
      <c r="K50" s="246">
        <v>51</v>
      </c>
      <c r="L50" s="798"/>
      <c r="M50" s="335">
        <v>52</v>
      </c>
      <c r="N50" s="246">
        <v>50</v>
      </c>
      <c r="O50" s="335"/>
      <c r="P50" s="335">
        <v>52</v>
      </c>
      <c r="Q50" s="335"/>
      <c r="R50" s="335">
        <v>50</v>
      </c>
      <c r="S50" s="335"/>
      <c r="T50" s="335">
        <v>50</v>
      </c>
      <c r="U50" s="335"/>
      <c r="V50" s="335">
        <v>50</v>
      </c>
      <c r="W50" s="335"/>
      <c r="X50" s="335">
        <v>51</v>
      </c>
      <c r="Y50" s="335">
        <v>51</v>
      </c>
      <c r="Z50" s="335">
        <v>51</v>
      </c>
      <c r="AA50" s="898">
        <v>52</v>
      </c>
      <c r="AB50" s="335">
        <v>51</v>
      </c>
      <c r="AC50" s="841">
        <v>51</v>
      </c>
      <c r="AD50" s="831">
        <v>52</v>
      </c>
      <c r="AE50" s="841">
        <v>52</v>
      </c>
      <c r="AF50" s="831"/>
      <c r="AG50" s="841">
        <v>54</v>
      </c>
      <c r="AH50" s="921"/>
      <c r="AI50" s="945">
        <v>52</v>
      </c>
      <c r="AJ50" s="945">
        <v>51</v>
      </c>
      <c r="AK50" s="945">
        <v>52</v>
      </c>
      <c r="AL50" s="945"/>
    </row>
    <row r="51" spans="2:38" ht="27.4" customHeight="1" x14ac:dyDescent="0.4">
      <c r="B51" s="1332"/>
      <c r="C51" s="1116"/>
      <c r="D51" s="1079"/>
      <c r="E51" s="1080"/>
      <c r="F51" s="87" t="s">
        <v>407</v>
      </c>
      <c r="G51" s="83" t="s">
        <v>39</v>
      </c>
      <c r="H51" s="83" t="s">
        <v>350</v>
      </c>
      <c r="I51" s="83"/>
      <c r="J51" s="88"/>
      <c r="K51" s="246">
        <v>55</v>
      </c>
      <c r="L51" s="798"/>
      <c r="M51" s="335">
        <v>55</v>
      </c>
      <c r="N51" s="246">
        <v>55</v>
      </c>
      <c r="O51" s="335"/>
      <c r="P51" s="335">
        <v>55</v>
      </c>
      <c r="Q51" s="335"/>
      <c r="R51" s="335">
        <v>60</v>
      </c>
      <c r="S51" s="335"/>
      <c r="T51" s="335">
        <v>60</v>
      </c>
      <c r="U51" s="335"/>
      <c r="V51" s="335">
        <v>62</v>
      </c>
      <c r="W51" s="335"/>
      <c r="X51" s="335">
        <v>60</v>
      </c>
      <c r="Y51" s="335">
        <v>60</v>
      </c>
      <c r="Z51" s="335">
        <v>61</v>
      </c>
      <c r="AA51" s="898">
        <v>58</v>
      </c>
      <c r="AB51" s="335">
        <v>60</v>
      </c>
      <c r="AC51" s="841">
        <v>55</v>
      </c>
      <c r="AD51" s="831">
        <v>59</v>
      </c>
      <c r="AE51" s="841">
        <v>55</v>
      </c>
      <c r="AF51" s="831"/>
      <c r="AG51" s="841">
        <v>62</v>
      </c>
      <c r="AH51" s="921"/>
      <c r="AI51" s="945">
        <v>60</v>
      </c>
      <c r="AJ51" s="945">
        <v>60</v>
      </c>
      <c r="AK51" s="945">
        <v>60</v>
      </c>
      <c r="AL51" s="945"/>
    </row>
    <row r="52" spans="2:38" ht="27.4" customHeight="1" x14ac:dyDescent="0.4">
      <c r="B52" s="1332"/>
      <c r="C52" s="1116"/>
      <c r="D52" s="1079"/>
      <c r="E52" s="1080"/>
      <c r="F52" s="97" t="s">
        <v>408</v>
      </c>
      <c r="G52" s="56" t="s">
        <v>39</v>
      </c>
      <c r="H52" s="56" t="s">
        <v>350</v>
      </c>
      <c r="I52" s="56"/>
      <c r="J52" s="98"/>
      <c r="K52" s="246">
        <v>55</v>
      </c>
      <c r="L52" s="798"/>
      <c r="M52" s="335">
        <v>55</v>
      </c>
      <c r="N52" s="246">
        <v>55</v>
      </c>
      <c r="O52" s="335"/>
      <c r="P52" s="335">
        <v>55</v>
      </c>
      <c r="Q52" s="335"/>
      <c r="R52" s="335">
        <v>62</v>
      </c>
      <c r="S52" s="335"/>
      <c r="T52" s="335">
        <v>60</v>
      </c>
      <c r="U52" s="335"/>
      <c r="V52" s="335">
        <v>62</v>
      </c>
      <c r="W52" s="335"/>
      <c r="X52" s="335">
        <v>62</v>
      </c>
      <c r="Y52" s="335">
        <v>60</v>
      </c>
      <c r="Z52" s="335">
        <v>62</v>
      </c>
      <c r="AA52" s="898">
        <v>58</v>
      </c>
      <c r="AB52" s="335">
        <v>62</v>
      </c>
      <c r="AC52" s="841">
        <v>55</v>
      </c>
      <c r="AD52" s="831">
        <v>60</v>
      </c>
      <c r="AE52" s="841">
        <v>55</v>
      </c>
      <c r="AF52" s="831"/>
      <c r="AG52" s="841">
        <v>61</v>
      </c>
      <c r="AH52" s="921"/>
      <c r="AI52" s="945">
        <v>60</v>
      </c>
      <c r="AJ52" s="945">
        <v>62</v>
      </c>
      <c r="AK52" s="945">
        <v>60</v>
      </c>
      <c r="AL52" s="945"/>
    </row>
    <row r="53" spans="2:38" ht="76.5" x14ac:dyDescent="0.4">
      <c r="B53" s="1332"/>
      <c r="C53" s="1116"/>
      <c r="D53" s="1079"/>
      <c r="E53" s="1080"/>
      <c r="F53" s="87" t="s">
        <v>409</v>
      </c>
      <c r="G53" s="83" t="s">
        <v>410</v>
      </c>
      <c r="H53" s="83"/>
      <c r="I53" s="83" t="s">
        <v>411</v>
      </c>
      <c r="J53" s="88" t="s">
        <v>412</v>
      </c>
      <c r="K53" s="246">
        <v>1</v>
      </c>
      <c r="L53" s="798"/>
      <c r="M53" s="335">
        <v>1</v>
      </c>
      <c r="N53" s="246">
        <v>1</v>
      </c>
      <c r="O53" s="335"/>
      <c r="P53" s="335">
        <v>1</v>
      </c>
      <c r="Q53" s="335"/>
      <c r="R53" s="335">
        <v>1</v>
      </c>
      <c r="S53" s="335"/>
      <c r="T53" s="335">
        <v>1</v>
      </c>
      <c r="U53" s="335"/>
      <c r="V53" s="335">
        <v>1</v>
      </c>
      <c r="W53" s="335"/>
      <c r="X53" s="335">
        <v>1</v>
      </c>
      <c r="Y53" s="335">
        <v>1</v>
      </c>
      <c r="Z53" s="335">
        <v>1</v>
      </c>
      <c r="AA53" s="898" t="s">
        <v>370</v>
      </c>
      <c r="AB53" s="335">
        <v>1</v>
      </c>
      <c r="AC53" s="841">
        <v>1</v>
      </c>
      <c r="AD53" s="831">
        <v>1</v>
      </c>
      <c r="AE53" s="841">
        <v>1</v>
      </c>
      <c r="AF53" s="831"/>
      <c r="AG53" s="841">
        <v>1</v>
      </c>
      <c r="AH53" s="921"/>
      <c r="AI53" s="945">
        <v>1</v>
      </c>
      <c r="AJ53" s="945">
        <v>1</v>
      </c>
      <c r="AK53" s="945">
        <v>1</v>
      </c>
      <c r="AL53" s="945"/>
    </row>
    <row r="54" spans="2:38" ht="27.4" customHeight="1" thickBot="1" x14ac:dyDescent="0.45">
      <c r="B54" s="1332"/>
      <c r="C54" s="1116"/>
      <c r="D54" s="1081"/>
      <c r="E54" s="1082"/>
      <c r="F54" s="348" t="s">
        <v>413</v>
      </c>
      <c r="G54" s="349" t="s">
        <v>410</v>
      </c>
      <c r="H54" s="349" t="s">
        <v>350</v>
      </c>
      <c r="I54" s="349" t="s">
        <v>414</v>
      </c>
      <c r="J54" s="350" t="s">
        <v>415</v>
      </c>
      <c r="K54" s="352">
        <v>0.48</v>
      </c>
      <c r="L54" s="1000"/>
      <c r="M54" s="351">
        <v>0.48</v>
      </c>
      <c r="N54" s="352">
        <v>0.48</v>
      </c>
      <c r="O54" s="351"/>
      <c r="P54" s="351">
        <v>0.48</v>
      </c>
      <c r="Q54" s="351"/>
      <c r="R54" s="351">
        <v>0.48</v>
      </c>
      <c r="S54" s="351"/>
      <c r="T54" s="351">
        <v>0.48</v>
      </c>
      <c r="U54" s="351"/>
      <c r="V54" s="351">
        <v>0.48</v>
      </c>
      <c r="W54" s="351"/>
      <c r="X54" s="351">
        <v>0.48</v>
      </c>
      <c r="Y54" s="351">
        <v>0.48</v>
      </c>
      <c r="Z54" s="351">
        <v>0.48</v>
      </c>
      <c r="AA54" s="898" t="s">
        <v>657</v>
      </c>
      <c r="AB54" s="351">
        <v>0.48</v>
      </c>
      <c r="AC54" s="842">
        <v>0.48</v>
      </c>
      <c r="AD54" s="832">
        <v>0.47</v>
      </c>
      <c r="AE54" s="842">
        <v>0.48</v>
      </c>
      <c r="AF54" s="832"/>
      <c r="AG54" s="842">
        <v>0.49</v>
      </c>
      <c r="AH54" s="922"/>
      <c r="AI54" s="946">
        <v>0.48</v>
      </c>
      <c r="AJ54" s="946">
        <v>0.48</v>
      </c>
      <c r="AK54" s="946">
        <v>0.46</v>
      </c>
      <c r="AL54" s="946"/>
    </row>
    <row r="55" spans="2:38" ht="27.4" customHeight="1" thickTop="1" x14ac:dyDescent="0.4">
      <c r="B55" s="1332"/>
      <c r="C55" s="1116"/>
      <c r="D55" s="1077" t="s">
        <v>416</v>
      </c>
      <c r="E55" s="1078"/>
      <c r="F55" s="103" t="s">
        <v>417</v>
      </c>
      <c r="G55" s="61" t="s">
        <v>410</v>
      </c>
      <c r="H55" s="61"/>
      <c r="I55" s="61"/>
      <c r="J55" s="104" t="s">
        <v>276</v>
      </c>
      <c r="K55" s="260" t="s">
        <v>370</v>
      </c>
      <c r="L55" s="798"/>
      <c r="M55" s="335" t="s">
        <v>200</v>
      </c>
      <c r="N55" s="260" t="s">
        <v>200</v>
      </c>
      <c r="O55" s="335"/>
      <c r="P55" s="335" t="s">
        <v>200</v>
      </c>
      <c r="Q55" s="335"/>
      <c r="R55" s="335" t="s">
        <v>200</v>
      </c>
      <c r="S55" s="335"/>
      <c r="T55" s="335" t="s">
        <v>200</v>
      </c>
      <c r="U55" s="335"/>
      <c r="V55" s="335" t="s">
        <v>200</v>
      </c>
      <c r="W55" s="335"/>
      <c r="X55" s="335" t="s">
        <v>200</v>
      </c>
      <c r="Y55" s="335" t="s">
        <v>200</v>
      </c>
      <c r="Z55" s="335" t="s">
        <v>200</v>
      </c>
      <c r="AA55" s="898" t="s">
        <v>200</v>
      </c>
      <c r="AB55" s="335" t="s">
        <v>200</v>
      </c>
      <c r="AC55" s="841" t="s">
        <v>200</v>
      </c>
      <c r="AD55" s="831" t="s">
        <v>200</v>
      </c>
      <c r="AE55" s="841" t="s">
        <v>200</v>
      </c>
      <c r="AF55" s="831"/>
      <c r="AG55" s="841" t="s">
        <v>200</v>
      </c>
      <c r="AH55" s="921"/>
      <c r="AI55" s="945" t="s">
        <v>200</v>
      </c>
      <c r="AJ55" s="945" t="s">
        <v>200</v>
      </c>
      <c r="AK55" s="945" t="s">
        <v>200</v>
      </c>
      <c r="AL55" s="945"/>
    </row>
    <row r="56" spans="2:38" ht="27.4" customHeight="1" x14ac:dyDescent="0.4">
      <c r="B56" s="1332"/>
      <c r="C56" s="1116"/>
      <c r="D56" s="1079"/>
      <c r="E56" s="1080"/>
      <c r="F56" s="97" t="s">
        <v>418</v>
      </c>
      <c r="G56" s="56"/>
      <c r="H56" s="56"/>
      <c r="I56" s="56"/>
      <c r="J56" s="98" t="s">
        <v>181</v>
      </c>
      <c r="K56" s="246" t="s">
        <v>356</v>
      </c>
      <c r="L56" s="798"/>
      <c r="M56" s="335" t="s">
        <v>356</v>
      </c>
      <c r="N56" s="246" t="s">
        <v>419</v>
      </c>
      <c r="O56" s="335"/>
      <c r="P56" s="335" t="s">
        <v>356</v>
      </c>
      <c r="Q56" s="335"/>
      <c r="R56" s="335" t="s">
        <v>356</v>
      </c>
      <c r="S56" s="335"/>
      <c r="T56" s="335" t="s">
        <v>356</v>
      </c>
      <c r="U56" s="335"/>
      <c r="V56" s="335" t="s">
        <v>356</v>
      </c>
      <c r="W56" s="335"/>
      <c r="X56" s="335" t="s">
        <v>356</v>
      </c>
      <c r="Y56" s="335" t="s">
        <v>356</v>
      </c>
      <c r="Z56" s="335" t="s">
        <v>356</v>
      </c>
      <c r="AA56" s="898" t="s">
        <v>356</v>
      </c>
      <c r="AB56" s="335" t="s">
        <v>356</v>
      </c>
      <c r="AC56" s="841" t="s">
        <v>356</v>
      </c>
      <c r="AD56" s="831" t="s">
        <v>356</v>
      </c>
      <c r="AE56" s="841" t="s">
        <v>356</v>
      </c>
      <c r="AF56" s="831"/>
      <c r="AG56" s="841" t="s">
        <v>356</v>
      </c>
      <c r="AH56" s="921"/>
      <c r="AI56" s="945" t="s">
        <v>356</v>
      </c>
      <c r="AJ56" s="945" t="s">
        <v>356</v>
      </c>
      <c r="AK56" s="945" t="s">
        <v>356</v>
      </c>
      <c r="AL56" s="945"/>
    </row>
    <row r="57" spans="2:38" ht="27.4" customHeight="1" x14ac:dyDescent="0.4">
      <c r="B57" s="1332"/>
      <c r="C57" s="1116"/>
      <c r="D57" s="1079"/>
      <c r="E57" s="1080"/>
      <c r="F57" s="87" t="s">
        <v>420</v>
      </c>
      <c r="G57" s="83" t="s">
        <v>410</v>
      </c>
      <c r="H57" s="83"/>
      <c r="I57" s="83"/>
      <c r="J57" s="88"/>
      <c r="K57" s="781" t="s">
        <v>424</v>
      </c>
      <c r="L57" s="1001"/>
      <c r="M57" s="501" t="s">
        <v>658</v>
      </c>
      <c r="N57" s="781" t="s">
        <v>424</v>
      </c>
      <c r="O57" s="336"/>
      <c r="P57" s="501" t="s">
        <v>658</v>
      </c>
      <c r="Q57" s="501"/>
      <c r="R57" s="501" t="s">
        <v>659</v>
      </c>
      <c r="S57" s="501"/>
      <c r="T57" s="501" t="s">
        <v>452</v>
      </c>
      <c r="U57" s="501"/>
      <c r="V57" s="501" t="s">
        <v>659</v>
      </c>
      <c r="W57" s="501"/>
      <c r="X57" s="501" t="s">
        <v>453</v>
      </c>
      <c r="Y57" s="501" t="s">
        <v>452</v>
      </c>
      <c r="Z57" s="501" t="s">
        <v>453</v>
      </c>
      <c r="AA57" s="898" t="s">
        <v>452</v>
      </c>
      <c r="AB57" s="501" t="s">
        <v>453</v>
      </c>
      <c r="AC57" s="871" t="s">
        <v>453</v>
      </c>
      <c r="AD57" s="872" t="s">
        <v>423</v>
      </c>
      <c r="AE57" s="843" t="s">
        <v>660</v>
      </c>
      <c r="AF57" s="819"/>
      <c r="AG57" s="843" t="s">
        <v>660</v>
      </c>
      <c r="AH57" s="923"/>
      <c r="AI57" s="947" t="s">
        <v>423</v>
      </c>
      <c r="AJ57" s="947" t="s">
        <v>423</v>
      </c>
      <c r="AK57" s="947" t="s">
        <v>424</v>
      </c>
      <c r="AL57" s="947"/>
    </row>
    <row r="58" spans="2:38" ht="27.4" customHeight="1" x14ac:dyDescent="0.4">
      <c r="B58" s="1332"/>
      <c r="C58" s="1116"/>
      <c r="D58" s="1079"/>
      <c r="E58" s="1080"/>
      <c r="F58" s="97" t="s">
        <v>425</v>
      </c>
      <c r="G58" s="56" t="s">
        <v>137</v>
      </c>
      <c r="H58" s="56" t="s">
        <v>426</v>
      </c>
      <c r="I58" s="56"/>
      <c r="J58" s="98"/>
      <c r="K58" s="335">
        <v>0.9</v>
      </c>
      <c r="L58" s="335"/>
      <c r="M58" s="335">
        <v>0.16</v>
      </c>
      <c r="N58" s="335">
        <v>0.09</v>
      </c>
      <c r="O58" s="335"/>
      <c r="P58" s="335">
        <v>0.16</v>
      </c>
      <c r="Q58" s="335"/>
      <c r="R58" s="335">
        <v>0.11</v>
      </c>
      <c r="S58" s="335"/>
      <c r="T58" s="335">
        <v>8.7999999999999995E-2</v>
      </c>
      <c r="U58" s="335"/>
      <c r="V58" s="335">
        <v>9.5000000000000001E-2</v>
      </c>
      <c r="W58" s="335"/>
      <c r="X58" s="335">
        <v>0.09</v>
      </c>
      <c r="Y58" s="335">
        <v>0.14000000000000001</v>
      </c>
      <c r="Z58" s="335">
        <v>0.09</v>
      </c>
      <c r="AA58" s="898" t="s">
        <v>661</v>
      </c>
      <c r="AB58" s="335">
        <v>0.09</v>
      </c>
      <c r="AC58" s="841">
        <v>0.9</v>
      </c>
      <c r="AD58" s="831">
        <v>0.06</v>
      </c>
      <c r="AE58" s="841">
        <v>0.16</v>
      </c>
      <c r="AF58" s="831"/>
      <c r="AG58" s="841">
        <v>0.11</v>
      </c>
      <c r="AH58" s="921"/>
      <c r="AI58" s="945">
        <v>0.12</v>
      </c>
      <c r="AJ58" s="945">
        <v>0.9</v>
      </c>
      <c r="AK58" s="945">
        <v>0.14000000000000001</v>
      </c>
      <c r="AL58" s="945"/>
    </row>
    <row r="59" spans="2:38" ht="27.4" customHeight="1" x14ac:dyDescent="0.4">
      <c r="B59" s="1332"/>
      <c r="C59" s="1116"/>
      <c r="D59" s="1079"/>
      <c r="E59" s="1080"/>
      <c r="F59" s="87" t="s">
        <v>425</v>
      </c>
      <c r="G59" s="83" t="s">
        <v>137</v>
      </c>
      <c r="H59" s="83" t="s">
        <v>427</v>
      </c>
      <c r="I59" s="83"/>
      <c r="J59" s="88"/>
      <c r="K59" s="335">
        <v>8.4000000000000005E-2</v>
      </c>
      <c r="L59" s="335"/>
      <c r="M59" s="335"/>
      <c r="N59" s="335">
        <v>0.02</v>
      </c>
      <c r="O59" s="335"/>
      <c r="P59" s="335"/>
      <c r="Q59" s="335"/>
      <c r="R59" s="335">
        <v>8.5999999999999993E-2</v>
      </c>
      <c r="S59" s="335"/>
      <c r="T59" s="335">
        <v>0.11</v>
      </c>
      <c r="U59" s="335"/>
      <c r="V59" s="335">
        <v>0.1</v>
      </c>
      <c r="W59" s="335"/>
      <c r="X59" s="335">
        <v>0.11</v>
      </c>
      <c r="Y59" s="335">
        <v>0.08</v>
      </c>
      <c r="Z59" s="335">
        <v>0.11</v>
      </c>
      <c r="AA59" s="898" t="s">
        <v>662</v>
      </c>
      <c r="AB59" s="335">
        <v>0.11</v>
      </c>
      <c r="AC59" s="841">
        <v>8.4000000000000005E-2</v>
      </c>
      <c r="AD59" s="831">
        <v>8.5999999999999993E-2</v>
      </c>
      <c r="AE59" s="841"/>
      <c r="AF59" s="831"/>
      <c r="AG59" s="841">
        <v>8.5000000000000006E-2</v>
      </c>
      <c r="AH59" s="921"/>
      <c r="AI59" s="945">
        <v>0.86</v>
      </c>
      <c r="AJ59" s="945">
        <v>8.4000000000000005E-2</v>
      </c>
      <c r="AK59" s="945">
        <v>8.2000000000000003E-2</v>
      </c>
      <c r="AL59" s="945"/>
    </row>
    <row r="60" spans="2:38" ht="27.4" customHeight="1" x14ac:dyDescent="0.4">
      <c r="B60" s="1332"/>
      <c r="C60" s="1116"/>
      <c r="D60" s="1079"/>
      <c r="E60" s="1080"/>
      <c r="F60" s="97" t="s">
        <v>428</v>
      </c>
      <c r="G60" s="56" t="s">
        <v>39</v>
      </c>
      <c r="H60" s="56" t="s">
        <v>217</v>
      </c>
      <c r="I60" s="56"/>
      <c r="J60" s="98"/>
      <c r="K60" s="246">
        <v>37.799999999999997</v>
      </c>
      <c r="L60" s="798"/>
      <c r="M60" s="335">
        <v>37.4</v>
      </c>
      <c r="N60" s="335">
        <v>37.1</v>
      </c>
      <c r="O60" s="335"/>
      <c r="P60" s="335">
        <v>37.4</v>
      </c>
      <c r="Q60" s="335"/>
      <c r="R60" s="335">
        <v>36.6</v>
      </c>
      <c r="S60" s="335"/>
      <c r="T60" s="335">
        <v>36.4</v>
      </c>
      <c r="U60" s="335"/>
      <c r="V60" s="335">
        <v>36.200000000000003</v>
      </c>
      <c r="W60" s="335"/>
      <c r="X60" s="335">
        <v>36.1</v>
      </c>
      <c r="Y60" s="335">
        <v>36.1</v>
      </c>
      <c r="Z60" s="335">
        <v>36.1</v>
      </c>
      <c r="AA60" s="898" t="s">
        <v>663</v>
      </c>
      <c r="AB60" s="335">
        <v>36.1</v>
      </c>
      <c r="AC60" s="841">
        <v>37.799999999999997</v>
      </c>
      <c r="AD60" s="831">
        <v>36.700000000000003</v>
      </c>
      <c r="AE60" s="841">
        <v>37.4</v>
      </c>
      <c r="AF60" s="831"/>
      <c r="AG60" s="841">
        <v>38</v>
      </c>
      <c r="AH60" s="921"/>
      <c r="AI60" s="945">
        <v>36.6</v>
      </c>
      <c r="AJ60" s="945">
        <v>37.799999999999997</v>
      </c>
      <c r="AK60" s="945">
        <v>37.5</v>
      </c>
      <c r="AL60" s="945"/>
    </row>
    <row r="61" spans="2:38" ht="27.4" customHeight="1" x14ac:dyDescent="0.4">
      <c r="B61" s="1332"/>
      <c r="C61" s="1116"/>
      <c r="D61" s="1079"/>
      <c r="E61" s="1080"/>
      <c r="F61" s="87" t="s">
        <v>429</v>
      </c>
      <c r="G61" s="83" t="s">
        <v>434</v>
      </c>
      <c r="H61" s="83" t="s">
        <v>217</v>
      </c>
      <c r="I61" s="83"/>
      <c r="J61" s="88"/>
      <c r="K61" s="246">
        <v>70</v>
      </c>
      <c r="L61" s="798"/>
      <c r="M61" s="335">
        <v>68</v>
      </c>
      <c r="N61" s="246">
        <v>67.5</v>
      </c>
      <c r="O61" s="335"/>
      <c r="P61" s="335">
        <v>68</v>
      </c>
      <c r="Q61" s="335"/>
      <c r="R61" s="335">
        <v>67.5</v>
      </c>
      <c r="S61" s="335"/>
      <c r="T61" s="335">
        <v>67.5</v>
      </c>
      <c r="U61" s="335"/>
      <c r="V61" s="335">
        <v>67.5</v>
      </c>
      <c r="W61" s="335"/>
      <c r="X61" s="335">
        <v>67.5</v>
      </c>
      <c r="Y61" s="335">
        <v>67.5</v>
      </c>
      <c r="Z61" s="335">
        <v>67.5</v>
      </c>
      <c r="AA61" s="898">
        <v>48</v>
      </c>
      <c r="AB61" s="335">
        <v>67.5</v>
      </c>
      <c r="AC61" s="841">
        <v>70</v>
      </c>
      <c r="AD61" s="831">
        <v>68</v>
      </c>
      <c r="AE61" s="841">
        <v>68</v>
      </c>
      <c r="AF61" s="831"/>
      <c r="AG61" s="841">
        <v>68</v>
      </c>
      <c r="AH61" s="921"/>
      <c r="AI61" s="945">
        <v>68.5</v>
      </c>
      <c r="AJ61" s="945">
        <v>70</v>
      </c>
      <c r="AK61" s="945">
        <v>68.5</v>
      </c>
      <c r="AL61" s="945"/>
    </row>
    <row r="62" spans="2:38" ht="25.5" x14ac:dyDescent="0.4">
      <c r="B62" s="1332"/>
      <c r="C62" s="1116"/>
      <c r="D62" s="1079"/>
      <c r="E62" s="1080"/>
      <c r="F62" s="97" t="s">
        <v>431</v>
      </c>
      <c r="G62" s="56" t="s">
        <v>137</v>
      </c>
      <c r="H62" s="56" t="s">
        <v>427</v>
      </c>
      <c r="I62" s="56"/>
      <c r="J62" s="98"/>
      <c r="K62" s="246">
        <v>3.7999999999999999E-2</v>
      </c>
      <c r="L62" s="798"/>
      <c r="M62" s="335">
        <v>0.14000000000000001</v>
      </c>
      <c r="N62" s="246">
        <v>3.7999999999999999E-2</v>
      </c>
      <c r="O62" s="335"/>
      <c r="P62" s="335">
        <v>0.14000000000000001</v>
      </c>
      <c r="Q62" s="335"/>
      <c r="R62" s="335">
        <v>3.7999999999999999E-2</v>
      </c>
      <c r="S62" s="335"/>
      <c r="T62" s="335">
        <v>3.7999999999999999E-2</v>
      </c>
      <c r="U62" s="335"/>
      <c r="V62" s="335">
        <v>3.5999999999999997E-2</v>
      </c>
      <c r="W62" s="335"/>
      <c r="X62" s="335">
        <v>3.5999999999999997E-2</v>
      </c>
      <c r="Y62" s="335">
        <v>3.5999999999999997E-2</v>
      </c>
      <c r="Z62" s="335">
        <v>3.5999999999999997E-2</v>
      </c>
      <c r="AA62" s="898" t="s">
        <v>664</v>
      </c>
      <c r="AB62" s="335">
        <v>3.5999999999999997E-2</v>
      </c>
      <c r="AC62" s="841">
        <v>3.7999999999999999E-2</v>
      </c>
      <c r="AD62" s="831">
        <v>3.5999999999999997E-2</v>
      </c>
      <c r="AE62" s="841">
        <v>0.14000000000000001</v>
      </c>
      <c r="AF62" s="831"/>
      <c r="AG62" s="841">
        <v>2.5999999999999999E-2</v>
      </c>
      <c r="AH62" s="921"/>
      <c r="AI62" s="945">
        <v>2.5999999999999999E-2</v>
      </c>
      <c r="AJ62" s="945">
        <v>3.7999999999999999E-2</v>
      </c>
      <c r="AK62" s="945">
        <v>3.7999999999999999E-2</v>
      </c>
      <c r="AL62" s="945"/>
    </row>
    <row r="63" spans="2:38" ht="25.5" x14ac:dyDescent="0.4">
      <c r="B63" s="1332"/>
      <c r="C63" s="1116"/>
      <c r="D63" s="1079"/>
      <c r="E63" s="1080"/>
      <c r="F63" s="87" t="s">
        <v>432</v>
      </c>
      <c r="G63" s="83" t="s">
        <v>665</v>
      </c>
      <c r="H63" s="83" t="s">
        <v>217</v>
      </c>
      <c r="I63" s="83"/>
      <c r="J63" s="88"/>
      <c r="K63" s="246"/>
      <c r="L63" s="798"/>
      <c r="M63" s="335">
        <v>3.7999999999999999E-2</v>
      </c>
      <c r="N63" s="246"/>
      <c r="O63" s="335"/>
      <c r="P63" s="335">
        <v>3.7999999999999999E-2</v>
      </c>
      <c r="Q63" s="335"/>
      <c r="R63" s="335"/>
      <c r="S63" s="335"/>
      <c r="T63" s="335" t="s">
        <v>21</v>
      </c>
      <c r="U63" s="335"/>
      <c r="V63" s="335"/>
      <c r="W63" s="335"/>
      <c r="X63" s="335"/>
      <c r="Y63" s="335">
        <v>0.03</v>
      </c>
      <c r="Z63" s="335"/>
      <c r="AA63" s="898">
        <v>68</v>
      </c>
      <c r="AB63" s="335"/>
      <c r="AC63" s="841"/>
      <c r="AD63" s="831"/>
      <c r="AE63" s="841" t="s">
        <v>21</v>
      </c>
      <c r="AF63" s="831"/>
      <c r="AG63" s="841" t="s">
        <v>21</v>
      </c>
      <c r="AH63" s="921"/>
      <c r="AI63" s="945" t="s">
        <v>21</v>
      </c>
      <c r="AJ63" s="945" t="s">
        <v>21</v>
      </c>
      <c r="AK63" s="945" t="s">
        <v>21</v>
      </c>
      <c r="AL63" s="945"/>
    </row>
    <row r="64" spans="2:38" ht="27.4" customHeight="1" thickBot="1" x14ac:dyDescent="0.45">
      <c r="B64" s="1333"/>
      <c r="C64" s="1117"/>
      <c r="D64" s="1327"/>
      <c r="E64" s="1328"/>
      <c r="F64" s="388" t="s">
        <v>433</v>
      </c>
      <c r="G64" s="389" t="s">
        <v>434</v>
      </c>
      <c r="H64" s="389" t="s">
        <v>350</v>
      </c>
      <c r="I64" s="389"/>
      <c r="J64" s="390"/>
      <c r="K64" s="377">
        <v>50</v>
      </c>
      <c r="L64" s="1002"/>
      <c r="M64" s="376">
        <v>50</v>
      </c>
      <c r="N64" s="377">
        <v>50</v>
      </c>
      <c r="O64" s="335"/>
      <c r="P64" s="376">
        <v>50</v>
      </c>
      <c r="Q64" s="376"/>
      <c r="R64" s="376">
        <v>0.48</v>
      </c>
      <c r="S64" s="376"/>
      <c r="T64" s="376">
        <v>48</v>
      </c>
      <c r="U64" s="376"/>
      <c r="V64" s="376">
        <v>48</v>
      </c>
      <c r="W64" s="376"/>
      <c r="X64" s="376">
        <v>48</v>
      </c>
      <c r="Y64" s="376">
        <v>48</v>
      </c>
      <c r="Z64" s="376">
        <v>48</v>
      </c>
      <c r="AA64" s="898" t="s">
        <v>666</v>
      </c>
      <c r="AB64" s="376">
        <v>48</v>
      </c>
      <c r="AC64" s="841">
        <v>50</v>
      </c>
      <c r="AD64" s="831">
        <v>50</v>
      </c>
      <c r="AE64" s="841">
        <v>50</v>
      </c>
      <c r="AF64" s="831"/>
      <c r="AG64" s="841">
        <v>49</v>
      </c>
      <c r="AH64" s="921"/>
      <c r="AI64" s="945">
        <v>49</v>
      </c>
      <c r="AJ64" s="945">
        <v>48</v>
      </c>
      <c r="AK64" s="945">
        <v>50</v>
      </c>
      <c r="AL64" s="945"/>
    </row>
    <row r="65" spans="2:38" ht="27.4" customHeight="1" thickTop="1" x14ac:dyDescent="0.4">
      <c r="B65" s="1346" t="s">
        <v>435</v>
      </c>
      <c r="C65" s="1347"/>
      <c r="D65" s="1073" t="s">
        <v>436</v>
      </c>
      <c r="E65" s="1105"/>
      <c r="F65" s="381" t="s">
        <v>437</v>
      </c>
      <c r="G65" s="382"/>
      <c r="H65" s="382"/>
      <c r="I65" s="382"/>
      <c r="J65" s="383" t="s">
        <v>438</v>
      </c>
      <c r="K65" s="372"/>
      <c r="L65" s="811"/>
      <c r="M65" s="371" t="s">
        <v>48</v>
      </c>
      <c r="N65" s="371" t="s">
        <v>48</v>
      </c>
      <c r="O65" s="371"/>
      <c r="P65" s="371" t="s">
        <v>48</v>
      </c>
      <c r="Q65" s="371"/>
      <c r="R65" s="371" t="s">
        <v>48</v>
      </c>
      <c r="S65" s="371"/>
      <c r="T65" s="371" t="s">
        <v>48</v>
      </c>
      <c r="U65" s="371"/>
      <c r="V65" s="371" t="s">
        <v>48</v>
      </c>
      <c r="W65" s="371"/>
      <c r="X65" s="371" t="s">
        <v>48</v>
      </c>
      <c r="Y65" s="371" t="s">
        <v>48</v>
      </c>
      <c r="Z65" s="371" t="s">
        <v>48</v>
      </c>
      <c r="AA65" s="898" t="s">
        <v>667</v>
      </c>
      <c r="AB65" s="371" t="s">
        <v>48</v>
      </c>
      <c r="AC65" s="844" t="s">
        <v>48</v>
      </c>
      <c r="AD65" s="833" t="s">
        <v>667</v>
      </c>
      <c r="AE65" s="844" t="s">
        <v>48</v>
      </c>
      <c r="AF65" s="833"/>
      <c r="AG65" s="844" t="s">
        <v>48</v>
      </c>
      <c r="AH65" s="924" t="s">
        <v>48</v>
      </c>
      <c r="AI65" s="948" t="s">
        <v>48</v>
      </c>
      <c r="AJ65" s="948" t="s">
        <v>48</v>
      </c>
      <c r="AK65" s="948" t="s">
        <v>48</v>
      </c>
      <c r="AL65" s="948"/>
    </row>
    <row r="66" spans="2:38" ht="27.4" customHeight="1" x14ac:dyDescent="0.4">
      <c r="B66" s="1348"/>
      <c r="C66" s="1347"/>
      <c r="D66" s="1073"/>
      <c r="E66" s="1105"/>
      <c r="F66" s="97" t="s">
        <v>440</v>
      </c>
      <c r="G66" s="56" t="s">
        <v>137</v>
      </c>
      <c r="H66" s="56"/>
      <c r="I66" s="56"/>
      <c r="J66" s="98"/>
      <c r="K66" s="246"/>
      <c r="L66" s="798"/>
      <c r="M66" s="335">
        <v>0.7</v>
      </c>
      <c r="N66" s="335">
        <v>0.7</v>
      </c>
      <c r="O66" s="335"/>
      <c r="P66" s="335">
        <v>0.7</v>
      </c>
      <c r="Q66" s="335"/>
      <c r="R66" s="335">
        <v>0.78</v>
      </c>
      <c r="S66" s="335"/>
      <c r="T66" s="335">
        <v>0.78</v>
      </c>
      <c r="U66" s="335"/>
      <c r="V66" s="335">
        <v>0.77</v>
      </c>
      <c r="W66" s="335"/>
      <c r="X66" s="335">
        <v>0.77</v>
      </c>
      <c r="Y66" s="335">
        <v>0.73</v>
      </c>
      <c r="Z66" s="335">
        <v>0.77</v>
      </c>
      <c r="AA66" s="898" t="s">
        <v>668</v>
      </c>
      <c r="AB66" s="335">
        <v>0.77</v>
      </c>
      <c r="AC66" s="841">
        <v>0.7</v>
      </c>
      <c r="AD66" s="831">
        <v>0.69</v>
      </c>
      <c r="AE66" s="841">
        <v>0.7</v>
      </c>
      <c r="AF66" s="831"/>
      <c r="AG66" s="841">
        <v>0.76</v>
      </c>
      <c r="AH66" s="921">
        <v>0.73</v>
      </c>
      <c r="AI66" s="945">
        <v>0.7</v>
      </c>
      <c r="AJ66" s="945">
        <v>0.7</v>
      </c>
      <c r="AK66" s="945">
        <v>0.78</v>
      </c>
      <c r="AL66" s="945"/>
    </row>
    <row r="67" spans="2:38" ht="27.4" customHeight="1" x14ac:dyDescent="0.4">
      <c r="B67" s="1348"/>
      <c r="C67" s="1347"/>
      <c r="D67" s="1073"/>
      <c r="E67" s="1105"/>
      <c r="F67" s="87" t="s">
        <v>441</v>
      </c>
      <c r="G67" s="83" t="s">
        <v>137</v>
      </c>
      <c r="H67" s="83"/>
      <c r="I67" s="83"/>
      <c r="J67" s="88"/>
      <c r="K67" s="246"/>
      <c r="L67" s="798"/>
      <c r="M67" s="335">
        <v>0</v>
      </c>
      <c r="N67" s="335">
        <v>0</v>
      </c>
      <c r="O67" s="335"/>
      <c r="P67" s="335">
        <v>0</v>
      </c>
      <c r="Q67" s="335"/>
      <c r="R67" s="335">
        <v>0</v>
      </c>
      <c r="S67" s="335"/>
      <c r="T67" s="335">
        <v>0</v>
      </c>
      <c r="U67" s="335"/>
      <c r="V67" s="335">
        <v>0</v>
      </c>
      <c r="W67" s="335"/>
      <c r="X67" s="335">
        <v>0</v>
      </c>
      <c r="Y67" s="335">
        <v>0</v>
      </c>
      <c r="Z67" s="335">
        <v>0</v>
      </c>
      <c r="AA67" s="898">
        <v>0</v>
      </c>
      <c r="AB67" s="335">
        <v>0</v>
      </c>
      <c r="AC67" s="841">
        <v>0</v>
      </c>
      <c r="AD67" s="831">
        <v>0</v>
      </c>
      <c r="AE67" s="841">
        <v>0</v>
      </c>
      <c r="AF67" s="831"/>
      <c r="AG67" s="841">
        <v>0</v>
      </c>
      <c r="AH67" s="921">
        <v>0</v>
      </c>
      <c r="AI67" s="945">
        <v>0</v>
      </c>
      <c r="AJ67" s="945">
        <v>0</v>
      </c>
      <c r="AK67" s="945">
        <v>0</v>
      </c>
      <c r="AL67" s="945"/>
    </row>
    <row r="68" spans="2:38" ht="27.4" customHeight="1" thickBot="1" x14ac:dyDescent="0.45">
      <c r="B68" s="1348"/>
      <c r="C68" s="1347"/>
      <c r="D68" s="1073"/>
      <c r="E68" s="1105"/>
      <c r="F68" s="348" t="s">
        <v>442</v>
      </c>
      <c r="G68" s="349" t="s">
        <v>137</v>
      </c>
      <c r="H68" s="349"/>
      <c r="I68" s="349"/>
      <c r="J68" s="350"/>
      <c r="K68" s="352"/>
      <c r="L68" s="1000"/>
      <c r="M68" s="351">
        <v>0</v>
      </c>
      <c r="N68" s="351">
        <v>0</v>
      </c>
      <c r="O68" s="351"/>
      <c r="P68" s="351">
        <v>0</v>
      </c>
      <c r="Q68" s="351"/>
      <c r="R68" s="351">
        <v>0</v>
      </c>
      <c r="S68" s="351"/>
      <c r="T68" s="351">
        <v>0</v>
      </c>
      <c r="U68" s="351"/>
      <c r="V68" s="351">
        <v>0</v>
      </c>
      <c r="W68" s="351"/>
      <c r="X68" s="351">
        <v>0</v>
      </c>
      <c r="Y68" s="351">
        <v>0</v>
      </c>
      <c r="Z68" s="351">
        <v>0</v>
      </c>
      <c r="AA68" s="898">
        <v>0</v>
      </c>
      <c r="AB68" s="351">
        <v>0</v>
      </c>
      <c r="AC68" s="842">
        <v>0</v>
      </c>
      <c r="AD68" s="832">
        <v>0</v>
      </c>
      <c r="AE68" s="842">
        <v>0</v>
      </c>
      <c r="AF68" s="832"/>
      <c r="AG68" s="842">
        <v>0</v>
      </c>
      <c r="AH68" s="922">
        <v>0</v>
      </c>
      <c r="AI68" s="946">
        <v>0</v>
      </c>
      <c r="AJ68" s="946">
        <v>0</v>
      </c>
      <c r="AK68" s="946">
        <v>0</v>
      </c>
      <c r="AL68" s="946"/>
    </row>
    <row r="69" spans="2:38" ht="27.4" customHeight="1" thickTop="1" x14ac:dyDescent="0.4">
      <c r="B69" s="1348"/>
      <c r="C69" s="1347"/>
      <c r="D69" s="1362" t="s">
        <v>443</v>
      </c>
      <c r="E69" s="1095"/>
      <c r="F69" s="343" t="s">
        <v>444</v>
      </c>
      <c r="G69" s="344" t="s">
        <v>39</v>
      </c>
      <c r="H69" s="344" t="s">
        <v>217</v>
      </c>
      <c r="I69" s="344" t="s">
        <v>445</v>
      </c>
      <c r="J69" s="345"/>
      <c r="K69" s="347">
        <v>36.200000000000003</v>
      </c>
      <c r="L69" s="799"/>
      <c r="M69" s="497">
        <v>35.700000000000003</v>
      </c>
      <c r="N69" s="347">
        <v>35.700000000000003</v>
      </c>
      <c r="O69" s="346"/>
      <c r="P69" s="347">
        <v>35.1</v>
      </c>
      <c r="Q69" s="347"/>
      <c r="R69" s="347">
        <v>35.299999999999997</v>
      </c>
      <c r="S69" s="347"/>
      <c r="T69" s="347">
        <v>35.1</v>
      </c>
      <c r="U69" s="347"/>
      <c r="V69" s="347">
        <v>35.200000000000003</v>
      </c>
      <c r="W69" s="347"/>
      <c r="X69" s="347">
        <v>35.299999999999997</v>
      </c>
      <c r="Y69" s="347">
        <v>35.5</v>
      </c>
      <c r="Z69" s="347">
        <v>35.9</v>
      </c>
      <c r="AA69" s="898" t="s">
        <v>669</v>
      </c>
      <c r="AB69" s="347">
        <v>35.299999999999997</v>
      </c>
      <c r="AC69" s="838">
        <v>36.200000000000003</v>
      </c>
      <c r="AD69" s="820">
        <v>35.200000000000003</v>
      </c>
      <c r="AE69" s="838">
        <v>35.700000000000003</v>
      </c>
      <c r="AF69" s="820"/>
      <c r="AG69" s="838">
        <v>36.1</v>
      </c>
      <c r="AH69" s="918">
        <v>35.299999999999997</v>
      </c>
      <c r="AI69" s="942">
        <v>35.200000000000003</v>
      </c>
      <c r="AJ69" s="942">
        <v>35.9</v>
      </c>
      <c r="AK69" s="942">
        <v>35.700000000000003</v>
      </c>
      <c r="AL69" s="942"/>
    </row>
    <row r="70" spans="2:38" ht="27.4" customHeight="1" x14ac:dyDescent="0.4">
      <c r="B70" s="1348"/>
      <c r="C70" s="1347"/>
      <c r="D70" s="1356"/>
      <c r="E70" s="1097"/>
      <c r="F70" s="97" t="s">
        <v>446</v>
      </c>
      <c r="G70" s="56" t="s">
        <v>39</v>
      </c>
      <c r="H70" s="56"/>
      <c r="I70" s="56"/>
      <c r="J70" s="98"/>
      <c r="K70" s="246">
        <v>36</v>
      </c>
      <c r="L70" s="795"/>
      <c r="M70" s="245">
        <v>35.4</v>
      </c>
      <c r="N70" s="246">
        <v>35.4</v>
      </c>
      <c r="O70" s="335"/>
      <c r="P70" s="246">
        <v>34.9</v>
      </c>
      <c r="Q70" s="246"/>
      <c r="R70" s="246">
        <v>35.1</v>
      </c>
      <c r="S70" s="246"/>
      <c r="T70" s="246">
        <v>35</v>
      </c>
      <c r="U70" s="246"/>
      <c r="V70" s="246">
        <v>35.1</v>
      </c>
      <c r="W70" s="246"/>
      <c r="X70" s="246">
        <v>35.200000000000003</v>
      </c>
      <c r="Y70" s="246">
        <v>35.299999999999997</v>
      </c>
      <c r="Z70" s="246">
        <v>35.6</v>
      </c>
      <c r="AA70" s="898" t="s">
        <v>670</v>
      </c>
      <c r="AB70" s="246">
        <v>35.200000000000003</v>
      </c>
      <c r="AC70" s="835">
        <v>36</v>
      </c>
      <c r="AD70" s="816">
        <v>35</v>
      </c>
      <c r="AE70" s="835">
        <v>35.4</v>
      </c>
      <c r="AF70" s="816"/>
      <c r="AG70" s="835">
        <v>35.799999999999997</v>
      </c>
      <c r="AH70" s="913">
        <v>35.1</v>
      </c>
      <c r="AI70" s="937">
        <v>35</v>
      </c>
      <c r="AJ70" s="937">
        <v>35.6</v>
      </c>
      <c r="AK70" s="937">
        <v>35.4</v>
      </c>
      <c r="AL70" s="937"/>
    </row>
    <row r="71" spans="2:38" ht="27.4" customHeight="1" x14ac:dyDescent="0.4">
      <c r="B71" s="1348"/>
      <c r="C71" s="1347"/>
      <c r="D71" s="1356"/>
      <c r="E71" s="1097"/>
      <c r="F71" s="87" t="s">
        <v>447</v>
      </c>
      <c r="G71" s="83" t="s">
        <v>39</v>
      </c>
      <c r="H71" s="83"/>
      <c r="I71" s="83"/>
      <c r="J71" s="88"/>
      <c r="K71" s="246">
        <v>35.6</v>
      </c>
      <c r="L71" s="795"/>
      <c r="M71" s="245">
        <v>35</v>
      </c>
      <c r="N71" s="246">
        <v>35</v>
      </c>
      <c r="O71" s="335"/>
      <c r="P71" s="246">
        <v>34.5</v>
      </c>
      <c r="Q71" s="246"/>
      <c r="R71" s="246">
        <v>34.6</v>
      </c>
      <c r="S71" s="246"/>
      <c r="T71" s="246">
        <v>34.5</v>
      </c>
      <c r="U71" s="246"/>
      <c r="V71" s="246">
        <v>34.799999999999997</v>
      </c>
      <c r="W71" s="246"/>
      <c r="X71" s="246">
        <v>34.6</v>
      </c>
      <c r="Y71" s="246">
        <v>34.799999999999997</v>
      </c>
      <c r="Z71" s="246">
        <v>35.1</v>
      </c>
      <c r="AA71" s="898" t="s">
        <v>671</v>
      </c>
      <c r="AB71" s="246">
        <v>34.6</v>
      </c>
      <c r="AC71" s="835">
        <v>35.6</v>
      </c>
      <c r="AD71" s="816">
        <v>34.5</v>
      </c>
      <c r="AE71" s="835">
        <v>35</v>
      </c>
      <c r="AF71" s="816"/>
      <c r="AG71" s="835">
        <v>35.4</v>
      </c>
      <c r="AH71" s="913">
        <v>34.700000000000003</v>
      </c>
      <c r="AI71" s="937">
        <v>34.299999999999997</v>
      </c>
      <c r="AJ71" s="937">
        <v>35.1</v>
      </c>
      <c r="AK71" s="937">
        <v>35</v>
      </c>
      <c r="AL71" s="937"/>
    </row>
    <row r="72" spans="2:38" ht="27.4" customHeight="1" thickBot="1" x14ac:dyDescent="0.45">
      <c r="B72" s="1348"/>
      <c r="C72" s="1347"/>
      <c r="D72" s="1357"/>
      <c r="E72" s="1099"/>
      <c r="F72" s="348" t="s">
        <v>448</v>
      </c>
      <c r="G72" s="349" t="s">
        <v>39</v>
      </c>
      <c r="H72" s="349"/>
      <c r="I72" s="349"/>
      <c r="J72" s="350"/>
      <c r="K72" s="352">
        <v>16.3</v>
      </c>
      <c r="L72" s="800"/>
      <c r="M72" s="353">
        <v>15.4</v>
      </c>
      <c r="N72" s="352">
        <v>15.3</v>
      </c>
      <c r="O72" s="768"/>
      <c r="P72" s="352">
        <v>14.5</v>
      </c>
      <c r="Q72" s="352"/>
      <c r="R72" s="352">
        <v>14.6</v>
      </c>
      <c r="S72" s="352"/>
      <c r="T72" s="352">
        <v>14.6</v>
      </c>
      <c r="U72" s="352"/>
      <c r="V72" s="352">
        <v>14.2</v>
      </c>
      <c r="W72" s="352"/>
      <c r="X72" s="352">
        <v>13.5</v>
      </c>
      <c r="Y72" s="352">
        <v>15</v>
      </c>
      <c r="Z72" s="352">
        <v>15.5</v>
      </c>
      <c r="AA72" s="898" t="s">
        <v>672</v>
      </c>
      <c r="AB72" s="352">
        <v>13.5</v>
      </c>
      <c r="AC72" s="837">
        <v>16.3</v>
      </c>
      <c r="AD72" s="817">
        <v>14.6</v>
      </c>
      <c r="AE72" s="837">
        <v>15.4</v>
      </c>
      <c r="AF72" s="817"/>
      <c r="AG72" s="837">
        <v>16</v>
      </c>
      <c r="AH72" s="914">
        <v>14.6</v>
      </c>
      <c r="AI72" s="938">
        <v>14.6</v>
      </c>
      <c r="AJ72" s="938">
        <v>15.5</v>
      </c>
      <c r="AK72" s="938">
        <v>15.2</v>
      </c>
      <c r="AL72" s="938"/>
    </row>
    <row r="73" spans="2:38" ht="27.4" customHeight="1" thickTop="1" x14ac:dyDescent="0.4">
      <c r="B73" s="1348"/>
      <c r="C73" s="1347"/>
      <c r="D73" s="1363" t="s">
        <v>449</v>
      </c>
      <c r="E73" s="1084"/>
      <c r="F73" s="103" t="s">
        <v>450</v>
      </c>
      <c r="G73" s="61" t="s">
        <v>21</v>
      </c>
      <c r="H73" s="61"/>
      <c r="I73" s="61"/>
      <c r="J73" s="104" t="s">
        <v>451</v>
      </c>
      <c r="K73" s="260" t="s">
        <v>673</v>
      </c>
      <c r="L73" s="798"/>
      <c r="M73" s="668">
        <v>2</v>
      </c>
      <c r="N73" s="260" t="s">
        <v>673</v>
      </c>
      <c r="O73" s="776"/>
      <c r="P73" s="260">
        <v>1.2</v>
      </c>
      <c r="Q73" s="260"/>
      <c r="R73" s="260" t="s">
        <v>453</v>
      </c>
      <c r="S73" s="260"/>
      <c r="T73" s="260" t="s">
        <v>452</v>
      </c>
      <c r="U73" s="260"/>
      <c r="V73" s="260" t="s">
        <v>453</v>
      </c>
      <c r="W73" s="260"/>
      <c r="X73" s="260" t="s">
        <v>453</v>
      </c>
      <c r="Y73" s="260" t="s">
        <v>452</v>
      </c>
      <c r="Z73" s="260">
        <v>1.2</v>
      </c>
      <c r="AB73" s="260" t="s">
        <v>453</v>
      </c>
      <c r="AC73" s="845" t="s">
        <v>673</v>
      </c>
      <c r="AD73" s="821" t="s">
        <v>545</v>
      </c>
      <c r="AE73" s="845">
        <v>2</v>
      </c>
      <c r="AF73" s="821"/>
      <c r="AG73" s="845" t="s">
        <v>21</v>
      </c>
      <c r="AH73" s="925" t="s">
        <v>452</v>
      </c>
      <c r="AI73" s="949" t="s">
        <v>452</v>
      </c>
      <c r="AJ73" s="949" t="s">
        <v>452</v>
      </c>
      <c r="AK73" s="949" t="s">
        <v>452</v>
      </c>
      <c r="AL73" s="949"/>
    </row>
    <row r="74" spans="2:38" ht="27.4" customHeight="1" x14ac:dyDescent="0.4">
      <c r="B74" s="1348"/>
      <c r="C74" s="1347"/>
      <c r="D74" s="1358"/>
      <c r="E74" s="1084"/>
      <c r="F74" s="97" t="s">
        <v>457</v>
      </c>
      <c r="G74" s="56" t="s">
        <v>39</v>
      </c>
      <c r="H74" s="56"/>
      <c r="I74" s="56"/>
      <c r="J74" s="98"/>
      <c r="K74" s="246">
        <v>39.5</v>
      </c>
      <c r="L74" s="795"/>
      <c r="M74" s="245">
        <v>39.1</v>
      </c>
      <c r="N74" s="246">
        <v>39.1</v>
      </c>
      <c r="O74" s="335"/>
      <c r="P74" s="246">
        <v>38.799999999999997</v>
      </c>
      <c r="Q74" s="246"/>
      <c r="R74" s="246">
        <v>38.799999999999997</v>
      </c>
      <c r="S74" s="246"/>
      <c r="T74" s="246">
        <v>38.799999999999997</v>
      </c>
      <c r="U74" s="246"/>
      <c r="V74" s="246">
        <v>38.5</v>
      </c>
      <c r="W74" s="246"/>
      <c r="X74" s="246">
        <v>37.5</v>
      </c>
      <c r="Y74" s="246">
        <v>39</v>
      </c>
      <c r="Z74" s="246">
        <v>39.200000000000003</v>
      </c>
      <c r="AA74" s="898" t="s">
        <v>674</v>
      </c>
      <c r="AB74" s="246">
        <v>37.5</v>
      </c>
      <c r="AC74" s="835">
        <v>39.5</v>
      </c>
      <c r="AD74" s="816">
        <v>38.799999999999997</v>
      </c>
      <c r="AE74" s="835">
        <v>39.1</v>
      </c>
      <c r="AF74" s="816"/>
      <c r="AG74" s="835">
        <v>39.4</v>
      </c>
      <c r="AH74" s="913">
        <v>38.799999999999997</v>
      </c>
      <c r="AI74" s="937">
        <v>38.799999999999997</v>
      </c>
      <c r="AJ74" s="937">
        <v>39.299999999999997</v>
      </c>
      <c r="AK74" s="937">
        <v>39.1</v>
      </c>
      <c r="AL74" s="937"/>
    </row>
    <row r="75" spans="2:38" ht="27.4" customHeight="1" x14ac:dyDescent="0.4">
      <c r="B75" s="1348"/>
      <c r="C75" s="1347"/>
      <c r="D75" s="1358"/>
      <c r="E75" s="1084"/>
      <c r="F75" s="87" t="s">
        <v>458</v>
      </c>
      <c r="G75" s="83" t="s">
        <v>39</v>
      </c>
      <c r="H75" s="83"/>
      <c r="I75" s="83"/>
      <c r="J75" s="88"/>
      <c r="K75" s="246">
        <v>41.8</v>
      </c>
      <c r="L75" s="795"/>
      <c r="M75" s="245">
        <v>41.4</v>
      </c>
      <c r="N75" s="246">
        <v>41.4</v>
      </c>
      <c r="O75" s="335"/>
      <c r="P75" s="246">
        <v>41.1</v>
      </c>
      <c r="Q75" s="246"/>
      <c r="R75" s="246">
        <v>41.2</v>
      </c>
      <c r="S75" s="246"/>
      <c r="T75" s="246">
        <v>41.2</v>
      </c>
      <c r="U75" s="246"/>
      <c r="V75" s="246">
        <v>41</v>
      </c>
      <c r="W75" s="246"/>
      <c r="X75" s="246">
        <v>40</v>
      </c>
      <c r="Y75" s="246">
        <v>41.4</v>
      </c>
      <c r="Z75" s="246">
        <v>41.6</v>
      </c>
      <c r="AA75" s="898" t="s">
        <v>675</v>
      </c>
      <c r="AB75" s="246">
        <v>40</v>
      </c>
      <c r="AC75" s="835">
        <v>41.8</v>
      </c>
      <c r="AD75" s="816">
        <v>41.1</v>
      </c>
      <c r="AE75" s="835">
        <v>41.4</v>
      </c>
      <c r="AF75" s="816"/>
      <c r="AG75" s="835">
        <v>41.8</v>
      </c>
      <c r="AH75" s="913">
        <v>41.2</v>
      </c>
      <c r="AI75" s="937">
        <v>41.1</v>
      </c>
      <c r="AJ75" s="937">
        <v>41.6</v>
      </c>
      <c r="AK75" s="937">
        <v>41.5</v>
      </c>
      <c r="AL75" s="937"/>
    </row>
    <row r="76" spans="2:38" ht="27.4" customHeight="1" x14ac:dyDescent="0.4">
      <c r="B76" s="1348"/>
      <c r="C76" s="1347"/>
      <c r="D76" s="1356"/>
      <c r="E76" s="1097"/>
      <c r="F76" s="97" t="s">
        <v>459</v>
      </c>
      <c r="G76" s="56" t="s">
        <v>39</v>
      </c>
      <c r="H76" s="56"/>
      <c r="I76" s="56"/>
      <c r="J76" s="98"/>
      <c r="K76" s="246">
        <v>40.200000000000003</v>
      </c>
      <c r="L76" s="795"/>
      <c r="M76" s="245">
        <v>39.799999999999997</v>
      </c>
      <c r="N76" s="246">
        <v>39.799999999999997</v>
      </c>
      <c r="O76" s="335"/>
      <c r="P76" s="246">
        <v>39.4</v>
      </c>
      <c r="Q76" s="246"/>
      <c r="R76" s="246">
        <v>39.5</v>
      </c>
      <c r="S76" s="246"/>
      <c r="T76" s="246">
        <v>39.4</v>
      </c>
      <c r="U76" s="246"/>
      <c r="V76" s="246">
        <v>40.200000000000003</v>
      </c>
      <c r="W76" s="246"/>
      <c r="X76" s="246">
        <v>40.5</v>
      </c>
      <c r="Y76" s="246">
        <v>39.6</v>
      </c>
      <c r="Z76" s="246">
        <v>40</v>
      </c>
      <c r="AA76" s="898">
        <v>40</v>
      </c>
      <c r="AB76" s="246">
        <v>40.5</v>
      </c>
      <c r="AC76" s="835">
        <v>40.200000000000003</v>
      </c>
      <c r="AD76" s="816">
        <v>39.4</v>
      </c>
      <c r="AE76" s="835">
        <v>39.799999999999997</v>
      </c>
      <c r="AF76" s="816"/>
      <c r="AG76" s="835">
        <v>40</v>
      </c>
      <c r="AH76" s="913">
        <v>39.5</v>
      </c>
      <c r="AI76" s="937">
        <v>39.4</v>
      </c>
      <c r="AJ76" s="937">
        <v>40</v>
      </c>
      <c r="AK76" s="937">
        <v>39.799999999999997</v>
      </c>
      <c r="AL76" s="937"/>
    </row>
    <row r="77" spans="2:38" ht="27.4" customHeight="1" thickBot="1" x14ac:dyDescent="0.45">
      <c r="B77" s="1348"/>
      <c r="C77" s="1347"/>
      <c r="D77" s="1364"/>
      <c r="E77" s="1365"/>
      <c r="F77" s="101" t="s">
        <v>460</v>
      </c>
      <c r="G77" s="349" t="s">
        <v>39</v>
      </c>
      <c r="H77" s="349"/>
      <c r="I77" s="349"/>
      <c r="J77" s="350"/>
      <c r="K77" s="352">
        <v>16.3</v>
      </c>
      <c r="L77" s="800"/>
      <c r="M77" s="353">
        <v>15.5</v>
      </c>
      <c r="N77" s="352">
        <v>15.4</v>
      </c>
      <c r="O77" s="351"/>
      <c r="P77" s="352">
        <v>14.6</v>
      </c>
      <c r="Q77" s="352"/>
      <c r="R77" s="352">
        <v>14.8</v>
      </c>
      <c r="S77" s="352"/>
      <c r="T77" s="352">
        <v>14.6</v>
      </c>
      <c r="U77" s="352"/>
      <c r="V77" s="352">
        <v>14.2</v>
      </c>
      <c r="W77" s="352"/>
      <c r="X77" s="352">
        <v>14.2</v>
      </c>
      <c r="Y77" s="352">
        <v>15.1</v>
      </c>
      <c r="Z77" s="352">
        <v>15.7</v>
      </c>
      <c r="AA77" s="898" t="s">
        <v>672</v>
      </c>
      <c r="AB77" s="352">
        <v>14.2</v>
      </c>
      <c r="AC77" s="839">
        <v>16.3</v>
      </c>
      <c r="AD77" s="822">
        <v>14.7</v>
      </c>
      <c r="AE77" s="839">
        <v>15.5</v>
      </c>
      <c r="AF77" s="822"/>
      <c r="AG77" s="839">
        <v>16.100000000000001</v>
      </c>
      <c r="AH77" s="919">
        <v>14.7</v>
      </c>
      <c r="AI77" s="943">
        <v>14.8</v>
      </c>
      <c r="AJ77" s="943">
        <v>15.7</v>
      </c>
      <c r="AK77" s="943">
        <v>15.3</v>
      </c>
      <c r="AL77" s="943"/>
    </row>
    <row r="78" spans="2:38" ht="27.4" customHeight="1" x14ac:dyDescent="0.4">
      <c r="B78" s="1348"/>
      <c r="C78" s="1347"/>
      <c r="D78" s="1363" t="s">
        <v>461</v>
      </c>
      <c r="E78" s="1084"/>
      <c r="F78" s="84" t="s">
        <v>462</v>
      </c>
      <c r="G78" s="85" t="s">
        <v>39</v>
      </c>
      <c r="H78" s="85"/>
      <c r="I78" s="85"/>
      <c r="J78" s="86"/>
      <c r="K78" s="246">
        <v>40.4</v>
      </c>
      <c r="L78" s="795"/>
      <c r="M78" s="245">
        <v>40.200000000000003</v>
      </c>
      <c r="N78" s="246">
        <v>40.299999999999997</v>
      </c>
      <c r="O78" s="498"/>
      <c r="P78" s="246">
        <v>40.1</v>
      </c>
      <c r="Q78" s="246"/>
      <c r="R78" s="246">
        <v>40.1</v>
      </c>
      <c r="S78" s="246"/>
      <c r="T78" s="246">
        <v>40.1</v>
      </c>
      <c r="U78" s="246"/>
      <c r="V78" s="246">
        <v>40</v>
      </c>
      <c r="W78" s="246"/>
      <c r="X78" s="246">
        <v>40.200000000000003</v>
      </c>
      <c r="Y78" s="246">
        <v>40.1</v>
      </c>
      <c r="Z78" s="246">
        <v>40.299999999999997</v>
      </c>
      <c r="AA78" s="898" t="s">
        <v>676</v>
      </c>
      <c r="AB78" s="246">
        <v>40.200000000000003</v>
      </c>
      <c r="AC78" s="836">
        <v>40.4</v>
      </c>
      <c r="AD78" s="818">
        <v>40</v>
      </c>
      <c r="AE78" s="836">
        <v>40.200000000000003</v>
      </c>
      <c r="AF78" s="818"/>
      <c r="AG78" s="836">
        <v>40.4</v>
      </c>
      <c r="AH78" s="917">
        <v>40.1</v>
      </c>
      <c r="AI78" s="941">
        <v>40.1</v>
      </c>
      <c r="AJ78" s="941">
        <v>40.299999999999997</v>
      </c>
      <c r="AK78" s="941">
        <v>40.299999999999997</v>
      </c>
      <c r="AL78" s="941"/>
    </row>
    <row r="79" spans="2:38" ht="27.4" customHeight="1" x14ac:dyDescent="0.4">
      <c r="B79" s="1348"/>
      <c r="C79" s="1347"/>
      <c r="D79" s="1358"/>
      <c r="E79" s="1084"/>
      <c r="F79" s="87" t="s">
        <v>463</v>
      </c>
      <c r="G79" s="83" t="s">
        <v>39</v>
      </c>
      <c r="H79" s="83"/>
      <c r="I79" s="83"/>
      <c r="J79" s="88"/>
      <c r="K79" s="246">
        <v>40</v>
      </c>
      <c r="L79" s="795"/>
      <c r="M79" s="245">
        <v>39.799999999999997</v>
      </c>
      <c r="N79" s="246">
        <v>39.799999999999997</v>
      </c>
      <c r="O79" s="498"/>
      <c r="P79" s="246">
        <v>39.799999999999997</v>
      </c>
      <c r="Q79" s="246"/>
      <c r="R79" s="246">
        <v>39.700000000000003</v>
      </c>
      <c r="S79" s="246"/>
      <c r="T79" s="246">
        <v>39.700000000000003</v>
      </c>
      <c r="U79" s="246"/>
      <c r="V79" s="246">
        <v>39.5</v>
      </c>
      <c r="W79" s="246"/>
      <c r="X79" s="246">
        <v>38.9</v>
      </c>
      <c r="Y79" s="246">
        <v>39.700000000000003</v>
      </c>
      <c r="Z79" s="246">
        <v>39.799999999999997</v>
      </c>
      <c r="AA79" s="898" t="s">
        <v>676</v>
      </c>
      <c r="AB79" s="246">
        <v>38.9</v>
      </c>
      <c r="AC79" s="835">
        <v>40</v>
      </c>
      <c r="AD79" s="816">
        <v>39.700000000000003</v>
      </c>
      <c r="AE79" s="835">
        <v>39.799999999999997</v>
      </c>
      <c r="AF79" s="816"/>
      <c r="AG79" s="835">
        <v>40</v>
      </c>
      <c r="AH79" s="913">
        <v>39.700000000000003</v>
      </c>
      <c r="AI79" s="937">
        <v>39.700000000000003</v>
      </c>
      <c r="AJ79" s="937">
        <v>39.799999999999997</v>
      </c>
      <c r="AK79" s="937">
        <v>39.799999999999997</v>
      </c>
      <c r="AL79" s="937"/>
    </row>
    <row r="80" spans="2:38" ht="27.4" customHeight="1" x14ac:dyDescent="0.4">
      <c r="B80" s="1348"/>
      <c r="C80" s="1347"/>
      <c r="D80" s="1358"/>
      <c r="E80" s="1084"/>
      <c r="F80" s="97" t="s">
        <v>464</v>
      </c>
      <c r="G80" s="56" t="s">
        <v>39</v>
      </c>
      <c r="H80" s="56"/>
      <c r="I80" s="56"/>
      <c r="J80" s="98"/>
      <c r="K80" s="246">
        <v>37.799999999999997</v>
      </c>
      <c r="L80" s="795"/>
      <c r="M80" s="245">
        <v>37.5</v>
      </c>
      <c r="N80" s="246">
        <v>37.4</v>
      </c>
      <c r="O80" s="498"/>
      <c r="P80" s="246">
        <v>37.1</v>
      </c>
      <c r="Q80" s="246"/>
      <c r="R80" s="246">
        <v>37.200000000000003</v>
      </c>
      <c r="S80" s="246"/>
      <c r="T80" s="246">
        <v>37.1</v>
      </c>
      <c r="U80" s="246"/>
      <c r="V80" s="246">
        <v>37.299999999999997</v>
      </c>
      <c r="W80" s="246"/>
      <c r="X80" s="246">
        <v>37.5</v>
      </c>
      <c r="Y80" s="246">
        <v>37.299999999999997</v>
      </c>
      <c r="Z80" s="246">
        <v>37.5</v>
      </c>
      <c r="AA80" s="898" t="s">
        <v>677</v>
      </c>
      <c r="AB80" s="246">
        <v>37.5</v>
      </c>
      <c r="AC80" s="835">
        <v>37.799999999999997</v>
      </c>
      <c r="AD80" s="816">
        <v>37.1</v>
      </c>
      <c r="AE80" s="835">
        <v>37.5</v>
      </c>
      <c r="AF80" s="816"/>
      <c r="AG80" s="835">
        <v>37.5</v>
      </c>
      <c r="AH80" s="913">
        <v>37.200000000000003</v>
      </c>
      <c r="AI80" s="937">
        <v>37.200000000000003</v>
      </c>
      <c r="AJ80" s="937">
        <v>37.5</v>
      </c>
      <c r="AK80" s="937">
        <v>37.4</v>
      </c>
      <c r="AL80" s="937"/>
    </row>
    <row r="81" spans="2:38" ht="27.4" customHeight="1" thickBot="1" x14ac:dyDescent="0.45">
      <c r="B81" s="1348"/>
      <c r="C81" s="1347"/>
      <c r="D81" s="1359"/>
      <c r="E81" s="1087"/>
      <c r="F81" s="101" t="s">
        <v>460</v>
      </c>
      <c r="G81" s="62" t="s">
        <v>39</v>
      </c>
      <c r="H81" s="62"/>
      <c r="I81" s="62"/>
      <c r="J81" s="102"/>
      <c r="K81" s="261">
        <v>15.7</v>
      </c>
      <c r="L81" s="796"/>
      <c r="M81" s="496">
        <v>14.9</v>
      </c>
      <c r="N81" s="261">
        <v>14.7</v>
      </c>
      <c r="O81" s="779"/>
      <c r="P81" s="261">
        <v>14</v>
      </c>
      <c r="Q81" s="261"/>
      <c r="R81" s="261">
        <v>14.1</v>
      </c>
      <c r="S81" s="261"/>
      <c r="T81" s="261">
        <v>14</v>
      </c>
      <c r="U81" s="261"/>
      <c r="V81" s="261">
        <v>14.2</v>
      </c>
      <c r="W81" s="261"/>
      <c r="X81" s="261">
        <v>14.1</v>
      </c>
      <c r="Y81" s="261">
        <v>14.5</v>
      </c>
      <c r="Z81" s="261">
        <v>15.1</v>
      </c>
      <c r="AA81" s="898" t="s">
        <v>678</v>
      </c>
      <c r="AB81" s="261">
        <v>14.1</v>
      </c>
      <c r="AC81" s="835">
        <v>15.7</v>
      </c>
      <c r="AD81" s="816">
        <v>14</v>
      </c>
      <c r="AE81" s="835">
        <v>14.9</v>
      </c>
      <c r="AF81" s="816"/>
      <c r="AG81" s="839">
        <v>15.3</v>
      </c>
      <c r="AH81" s="919">
        <v>14.1</v>
      </c>
      <c r="AI81" s="943">
        <v>14.3</v>
      </c>
      <c r="AJ81" s="943">
        <v>15</v>
      </c>
      <c r="AK81" s="943">
        <v>14.7</v>
      </c>
      <c r="AL81" s="943"/>
    </row>
    <row r="82" spans="2:38" ht="26.25" customHeight="1" thickTop="1" x14ac:dyDescent="0.4">
      <c r="B82" s="1348"/>
      <c r="C82" s="1347"/>
      <c r="D82" s="1077" t="s">
        <v>465</v>
      </c>
      <c r="E82" s="1113"/>
      <c r="F82" s="343" t="s">
        <v>466</v>
      </c>
      <c r="G82" s="344" t="s">
        <v>39</v>
      </c>
      <c r="H82" s="344"/>
      <c r="I82" s="344"/>
      <c r="J82" s="345"/>
      <c r="K82" s="358">
        <v>46.6</v>
      </c>
      <c r="L82" s="799"/>
      <c r="M82" s="497">
        <v>46.2</v>
      </c>
      <c r="N82" s="358">
        <v>46.1</v>
      </c>
      <c r="O82" s="778"/>
      <c r="P82" s="358">
        <v>45.4</v>
      </c>
      <c r="Q82" s="358"/>
      <c r="R82" s="358">
        <v>45.7</v>
      </c>
      <c r="S82" s="358"/>
      <c r="T82" s="358">
        <v>45.1</v>
      </c>
      <c r="U82" s="358"/>
      <c r="V82" s="358">
        <v>45.2</v>
      </c>
      <c r="W82" s="358"/>
      <c r="X82" s="358">
        <v>45.8</v>
      </c>
      <c r="Y82" s="358">
        <v>46</v>
      </c>
      <c r="Z82" s="358">
        <v>46.5</v>
      </c>
      <c r="AA82" s="898" t="s">
        <v>679</v>
      </c>
      <c r="AB82" s="358">
        <v>45.8</v>
      </c>
      <c r="AC82" s="835">
        <v>46.6</v>
      </c>
      <c r="AD82" s="816">
        <v>45.5</v>
      </c>
      <c r="AE82" s="835">
        <v>46.2</v>
      </c>
      <c r="AF82" s="816"/>
      <c r="AG82" s="836">
        <v>46.5</v>
      </c>
      <c r="AH82" s="917">
        <v>45.3</v>
      </c>
      <c r="AI82" s="941">
        <v>45.5</v>
      </c>
      <c r="AJ82" s="941">
        <v>46.6</v>
      </c>
      <c r="AK82" s="941">
        <v>46.1</v>
      </c>
      <c r="AL82" s="941"/>
    </row>
    <row r="83" spans="2:38" ht="27.4" customHeight="1" x14ac:dyDescent="0.4">
      <c r="B83" s="1348"/>
      <c r="C83" s="1347"/>
      <c r="D83" s="1073"/>
      <c r="E83" s="1074"/>
      <c r="F83" s="97" t="s">
        <v>467</v>
      </c>
      <c r="G83" s="56" t="s">
        <v>39</v>
      </c>
      <c r="H83" s="56"/>
      <c r="I83" s="56"/>
      <c r="J83" s="98"/>
      <c r="K83" s="247">
        <v>46.7</v>
      </c>
      <c r="L83" s="795"/>
      <c r="M83" s="245">
        <v>46.8</v>
      </c>
      <c r="N83" s="247">
        <v>46</v>
      </c>
      <c r="O83" s="498"/>
      <c r="P83" s="247">
        <v>45.6</v>
      </c>
      <c r="Q83" s="247"/>
      <c r="R83" s="247">
        <v>45.8</v>
      </c>
      <c r="S83" s="247"/>
      <c r="T83" s="247">
        <v>45.2</v>
      </c>
      <c r="U83" s="247"/>
      <c r="V83" s="247">
        <v>45.2</v>
      </c>
      <c r="W83" s="247"/>
      <c r="X83" s="247">
        <v>45.1</v>
      </c>
      <c r="Y83" s="247">
        <v>45.7</v>
      </c>
      <c r="Z83" s="247">
        <v>46.1</v>
      </c>
      <c r="AA83" s="898" t="s">
        <v>680</v>
      </c>
      <c r="AB83" s="247">
        <v>45.1</v>
      </c>
      <c r="AC83" s="835">
        <v>46.7</v>
      </c>
      <c r="AD83" s="816">
        <v>45.9</v>
      </c>
      <c r="AE83" s="835">
        <v>46.8</v>
      </c>
      <c r="AF83" s="816"/>
      <c r="AG83" s="835">
        <v>47.2</v>
      </c>
      <c r="AH83" s="913">
        <v>45.5</v>
      </c>
      <c r="AI83" s="937">
        <v>45.8</v>
      </c>
      <c r="AJ83" s="937">
        <v>46.8</v>
      </c>
      <c r="AK83" s="937">
        <v>46</v>
      </c>
      <c r="AL83" s="937"/>
    </row>
    <row r="84" spans="2:38" ht="27.4" customHeight="1" x14ac:dyDescent="0.4">
      <c r="B84" s="1348"/>
      <c r="C84" s="1347"/>
      <c r="D84" s="1073"/>
      <c r="E84" s="1074"/>
      <c r="F84" s="87" t="s">
        <v>468</v>
      </c>
      <c r="G84" s="83" t="s">
        <v>39</v>
      </c>
      <c r="H84" s="83"/>
      <c r="I84" s="83"/>
      <c r="J84" s="88"/>
      <c r="K84" s="247">
        <v>22.2</v>
      </c>
      <c r="L84" s="795"/>
      <c r="M84" s="245">
        <v>21.3</v>
      </c>
      <c r="N84" s="247">
        <v>21.1</v>
      </c>
      <c r="O84" s="335"/>
      <c r="P84" s="247">
        <v>20.5</v>
      </c>
      <c r="Q84" s="247"/>
      <c r="R84" s="247">
        <v>20.5</v>
      </c>
      <c r="S84" s="247"/>
      <c r="T84" s="247">
        <v>20.7</v>
      </c>
      <c r="U84" s="247"/>
      <c r="V84" s="247">
        <v>20.7</v>
      </c>
      <c r="W84" s="247"/>
      <c r="X84" s="247">
        <v>20.5</v>
      </c>
      <c r="Y84" s="247">
        <v>20.9</v>
      </c>
      <c r="Z84" s="247">
        <v>21.6</v>
      </c>
      <c r="AA84" s="898" t="s">
        <v>681</v>
      </c>
      <c r="AB84" s="247">
        <v>20.5</v>
      </c>
      <c r="AC84" s="835">
        <v>22.2</v>
      </c>
      <c r="AD84" s="816">
        <v>20.7</v>
      </c>
      <c r="AE84" s="835">
        <v>21.3</v>
      </c>
      <c r="AF84" s="816"/>
      <c r="AG84" s="835">
        <v>21.9</v>
      </c>
      <c r="AH84" s="913">
        <v>20.8</v>
      </c>
      <c r="AI84" s="937">
        <v>20.8</v>
      </c>
      <c r="AJ84" s="937">
        <v>21.9</v>
      </c>
      <c r="AK84" s="937">
        <v>21.4</v>
      </c>
      <c r="AL84" s="937"/>
    </row>
    <row r="85" spans="2:38" ht="27.4" customHeight="1" x14ac:dyDescent="0.4">
      <c r="B85" s="1348"/>
      <c r="C85" s="1347"/>
      <c r="D85" s="1073"/>
      <c r="E85" s="1074"/>
      <c r="F85" s="97" t="s">
        <v>469</v>
      </c>
      <c r="G85" s="56" t="s">
        <v>39</v>
      </c>
      <c r="H85" s="56"/>
      <c r="I85" s="56"/>
      <c r="J85" s="98"/>
      <c r="K85" s="247">
        <v>21.4</v>
      </c>
      <c r="L85" s="795"/>
      <c r="M85" s="245">
        <v>20.2</v>
      </c>
      <c r="N85" s="247">
        <v>20.9</v>
      </c>
      <c r="O85" s="335"/>
      <c r="P85" s="247">
        <v>20</v>
      </c>
      <c r="Q85" s="247"/>
      <c r="R85" s="247">
        <v>20.100000000000001</v>
      </c>
      <c r="S85" s="247"/>
      <c r="T85" s="247">
        <v>20</v>
      </c>
      <c r="U85" s="247"/>
      <c r="V85" s="247">
        <v>20.100000000000001</v>
      </c>
      <c r="W85" s="247"/>
      <c r="X85" s="247">
        <v>20.2</v>
      </c>
      <c r="Y85" s="247">
        <v>20.7</v>
      </c>
      <c r="Z85" s="247">
        <v>21</v>
      </c>
      <c r="AA85" s="898" t="s">
        <v>682</v>
      </c>
      <c r="AB85" s="247">
        <v>20.2</v>
      </c>
      <c r="AC85" s="835">
        <v>21.4</v>
      </c>
      <c r="AD85" s="816">
        <v>20.3</v>
      </c>
      <c r="AE85" s="835">
        <v>20.2</v>
      </c>
      <c r="AF85" s="816"/>
      <c r="AG85" s="835">
        <v>21</v>
      </c>
      <c r="AH85" s="913">
        <v>20.399999999999999</v>
      </c>
      <c r="AI85" s="937">
        <v>20</v>
      </c>
      <c r="AJ85" s="937">
        <v>20.6</v>
      </c>
      <c r="AK85" s="937">
        <v>20.5</v>
      </c>
      <c r="AL85" s="937"/>
    </row>
    <row r="86" spans="2:38" ht="27.4" customHeight="1" x14ac:dyDescent="0.4">
      <c r="B86" s="1348"/>
      <c r="C86" s="1347"/>
      <c r="D86" s="1073"/>
      <c r="E86" s="1074"/>
      <c r="F86" s="87" t="s">
        <v>470</v>
      </c>
      <c r="G86" s="83" t="s">
        <v>39</v>
      </c>
      <c r="H86" s="83"/>
      <c r="I86" s="83"/>
      <c r="J86" s="88"/>
      <c r="K86" s="247">
        <v>14.9</v>
      </c>
      <c r="L86" s="795"/>
      <c r="M86" s="245">
        <v>14.2</v>
      </c>
      <c r="N86" s="247">
        <v>14</v>
      </c>
      <c r="O86" s="335"/>
      <c r="P86" s="247">
        <v>13.3</v>
      </c>
      <c r="Q86" s="247"/>
      <c r="R86" s="247">
        <v>13.3</v>
      </c>
      <c r="S86" s="247"/>
      <c r="T86" s="247">
        <v>13.3</v>
      </c>
      <c r="U86" s="247"/>
      <c r="V86" s="247">
        <v>13.5</v>
      </c>
      <c r="W86" s="247"/>
      <c r="X86" s="247">
        <v>14.1</v>
      </c>
      <c r="Y86" s="247">
        <v>13.7</v>
      </c>
      <c r="Z86" s="247">
        <v>14.4</v>
      </c>
      <c r="AA86" s="898" t="s">
        <v>683</v>
      </c>
      <c r="AB86" s="247">
        <v>14.1</v>
      </c>
      <c r="AC86" s="835">
        <v>14.9</v>
      </c>
      <c r="AD86" s="816">
        <v>13.3</v>
      </c>
      <c r="AE86" s="835">
        <v>14.2</v>
      </c>
      <c r="AF86" s="816"/>
      <c r="AG86" s="835">
        <v>14.8</v>
      </c>
      <c r="AH86" s="913">
        <v>13.4</v>
      </c>
      <c r="AI86" s="937">
        <v>13.4</v>
      </c>
      <c r="AJ86" s="937">
        <v>14.2</v>
      </c>
      <c r="AK86" s="937">
        <v>14</v>
      </c>
      <c r="AL86" s="937"/>
    </row>
    <row r="87" spans="2:38" ht="25.5" customHeight="1" x14ac:dyDescent="0.4">
      <c r="B87" s="1348"/>
      <c r="C87" s="1347"/>
      <c r="D87" s="1073"/>
      <c r="E87" s="1074"/>
      <c r="F87" s="97" t="s">
        <v>472</v>
      </c>
      <c r="G87" s="56" t="s">
        <v>39</v>
      </c>
      <c r="H87" s="56"/>
      <c r="I87" s="56"/>
      <c r="J87" s="98"/>
      <c r="K87" s="247">
        <v>18.600000000000001</v>
      </c>
      <c r="L87" s="795"/>
      <c r="M87" s="245">
        <v>17.7</v>
      </c>
      <c r="N87" s="247">
        <v>17.600000000000001</v>
      </c>
      <c r="O87" s="774"/>
      <c r="P87" s="247">
        <v>16.8</v>
      </c>
      <c r="Q87" s="247"/>
      <c r="R87" s="247">
        <v>17</v>
      </c>
      <c r="S87" s="247"/>
      <c r="T87" s="247">
        <v>16.8</v>
      </c>
      <c r="U87" s="247"/>
      <c r="V87" s="247">
        <v>16.5</v>
      </c>
      <c r="W87" s="247"/>
      <c r="X87" s="247">
        <v>15.8</v>
      </c>
      <c r="Y87" s="247">
        <v>17.3</v>
      </c>
      <c r="Z87" s="247">
        <v>17.899999999999999</v>
      </c>
      <c r="AA87" s="898">
        <v>18</v>
      </c>
      <c r="AB87" s="247">
        <v>15.8</v>
      </c>
      <c r="AC87" s="835">
        <v>18.600000000000001</v>
      </c>
      <c r="AD87" s="816">
        <v>16.899999999999999</v>
      </c>
      <c r="AE87" s="835">
        <v>17.7</v>
      </c>
      <c r="AF87" s="816"/>
      <c r="AG87" s="835">
        <v>18.3</v>
      </c>
      <c r="AH87" s="913">
        <v>17</v>
      </c>
      <c r="AI87" s="937">
        <v>17</v>
      </c>
      <c r="AJ87" s="937">
        <v>17.899999999999999</v>
      </c>
      <c r="AK87" s="937">
        <v>17.5</v>
      </c>
      <c r="AL87" s="937"/>
    </row>
    <row r="88" spans="2:38" ht="27.4" customHeight="1" thickBot="1" x14ac:dyDescent="0.45">
      <c r="B88" s="1348"/>
      <c r="C88" s="1347"/>
      <c r="D88" s="1075"/>
      <c r="E88" s="1076"/>
      <c r="F88" s="359" t="s">
        <v>473</v>
      </c>
      <c r="G88" s="360" t="s">
        <v>48</v>
      </c>
      <c r="H88" s="360"/>
      <c r="I88" s="360" t="s">
        <v>219</v>
      </c>
      <c r="J88" s="361" t="s">
        <v>474</v>
      </c>
      <c r="K88" s="363">
        <v>0</v>
      </c>
      <c r="L88" s="800"/>
      <c r="M88" s="500">
        <v>0</v>
      </c>
      <c r="N88" s="363">
        <v>0</v>
      </c>
      <c r="O88" s="335"/>
      <c r="P88" s="363">
        <v>0</v>
      </c>
      <c r="Q88" s="363"/>
      <c r="R88" s="363">
        <v>0</v>
      </c>
      <c r="S88" s="363"/>
      <c r="T88" s="363">
        <v>0</v>
      </c>
      <c r="U88" s="363"/>
      <c r="V88" s="363">
        <v>0</v>
      </c>
      <c r="W88" s="363"/>
      <c r="X88" s="363">
        <v>0</v>
      </c>
      <c r="Y88" s="363">
        <v>0</v>
      </c>
      <c r="Z88" s="363">
        <v>0</v>
      </c>
      <c r="AA88" s="898">
        <v>0</v>
      </c>
      <c r="AB88" s="363">
        <v>0</v>
      </c>
      <c r="AC88" s="837">
        <v>0</v>
      </c>
      <c r="AD88" s="817">
        <v>0</v>
      </c>
      <c r="AE88" s="837">
        <v>0</v>
      </c>
      <c r="AF88" s="817"/>
      <c r="AG88" s="837">
        <v>0</v>
      </c>
      <c r="AH88" s="914">
        <v>0</v>
      </c>
      <c r="AI88" s="938">
        <v>0</v>
      </c>
      <c r="AJ88" s="938">
        <v>0</v>
      </c>
      <c r="AK88" s="938">
        <v>0</v>
      </c>
      <c r="AL88" s="938"/>
    </row>
    <row r="89" spans="2:38" ht="27.4" customHeight="1" thickTop="1" x14ac:dyDescent="0.4">
      <c r="B89" s="1348"/>
      <c r="C89" s="1347"/>
      <c r="D89" s="1019" t="s">
        <v>475</v>
      </c>
      <c r="E89" s="1020"/>
      <c r="F89" s="103" t="s">
        <v>476</v>
      </c>
      <c r="G89" s="61" t="s">
        <v>39</v>
      </c>
      <c r="H89" s="61"/>
      <c r="I89" s="61"/>
      <c r="J89" s="104"/>
      <c r="K89" s="414">
        <v>49.3</v>
      </c>
      <c r="L89" s="799"/>
      <c r="M89" s="410">
        <v>49.1</v>
      </c>
      <c r="N89" s="414">
        <v>49.1</v>
      </c>
      <c r="O89" s="346"/>
      <c r="P89" s="414">
        <v>48.8</v>
      </c>
      <c r="Q89" s="414"/>
      <c r="R89" s="414">
        <v>48.9</v>
      </c>
      <c r="S89" s="414"/>
      <c r="T89" s="414">
        <v>48.9</v>
      </c>
      <c r="U89" s="414"/>
      <c r="V89" s="414">
        <v>48.8</v>
      </c>
      <c r="W89" s="414"/>
      <c r="X89" s="414">
        <v>48.6</v>
      </c>
      <c r="Y89" s="414">
        <v>49</v>
      </c>
      <c r="Z89" s="414">
        <v>49.2</v>
      </c>
      <c r="AA89" s="898" t="s">
        <v>684</v>
      </c>
      <c r="AB89" s="414">
        <v>48.6</v>
      </c>
      <c r="AC89" s="838">
        <v>49.3</v>
      </c>
      <c r="AD89" s="820">
        <v>48.9</v>
      </c>
      <c r="AE89" s="838">
        <v>49.1</v>
      </c>
      <c r="AF89" s="820"/>
      <c r="AG89" s="838">
        <v>49.2</v>
      </c>
      <c r="AH89" s="918">
        <v>49.1</v>
      </c>
      <c r="AI89" s="942">
        <v>49</v>
      </c>
      <c r="AJ89" s="942">
        <v>49.3</v>
      </c>
      <c r="AK89" s="942">
        <v>49.2</v>
      </c>
      <c r="AL89" s="942"/>
    </row>
    <row r="90" spans="2:38" ht="27.4" customHeight="1" x14ac:dyDescent="0.4">
      <c r="B90" s="1348"/>
      <c r="C90" s="1347"/>
      <c r="D90" s="1019"/>
      <c r="E90" s="1020"/>
      <c r="F90" s="97" t="s">
        <v>477</v>
      </c>
      <c r="G90" s="56" t="s">
        <v>39</v>
      </c>
      <c r="H90" s="56"/>
      <c r="I90" s="56"/>
      <c r="J90" s="98"/>
      <c r="K90" s="342">
        <v>51.3</v>
      </c>
      <c r="L90" s="798"/>
      <c r="M90" s="411">
        <v>50.9</v>
      </c>
      <c r="N90" s="342">
        <v>51.4</v>
      </c>
      <c r="O90" s="335"/>
      <c r="P90" s="342">
        <v>50.7</v>
      </c>
      <c r="Q90" s="342"/>
      <c r="R90" s="342">
        <v>50.8</v>
      </c>
      <c r="S90" s="342"/>
      <c r="T90" s="342">
        <v>50.7</v>
      </c>
      <c r="U90" s="342"/>
      <c r="V90" s="342">
        <v>50.2</v>
      </c>
      <c r="W90" s="342"/>
      <c r="X90" s="342">
        <v>51</v>
      </c>
      <c r="Y90" s="342">
        <v>50.9</v>
      </c>
      <c r="Z90" s="342">
        <v>51.1</v>
      </c>
      <c r="AA90" s="898" t="s">
        <v>685</v>
      </c>
      <c r="AB90" s="342">
        <v>51</v>
      </c>
      <c r="AC90" s="835">
        <v>51.3</v>
      </c>
      <c r="AD90" s="816">
        <v>50.9</v>
      </c>
      <c r="AE90" s="835">
        <v>50.9</v>
      </c>
      <c r="AF90" s="816"/>
      <c r="AG90" s="835">
        <v>51.2</v>
      </c>
      <c r="AH90" s="913">
        <v>50.7</v>
      </c>
      <c r="AI90" s="937">
        <v>50.6</v>
      </c>
      <c r="AJ90" s="937">
        <v>51.1</v>
      </c>
      <c r="AK90" s="937">
        <v>50.9</v>
      </c>
      <c r="AL90" s="937"/>
    </row>
    <row r="91" spans="2:38" ht="27.4" customHeight="1" thickBot="1" x14ac:dyDescent="0.45">
      <c r="B91" s="1348"/>
      <c r="C91" s="1347"/>
      <c r="D91" s="1019"/>
      <c r="E91" s="1020"/>
      <c r="F91" s="87" t="s">
        <v>478</v>
      </c>
      <c r="G91" s="83" t="s">
        <v>39</v>
      </c>
      <c r="H91" s="83"/>
      <c r="I91" s="83"/>
      <c r="J91" s="88"/>
      <c r="K91" s="415">
        <v>48.8</v>
      </c>
      <c r="L91" s="1000"/>
      <c r="M91" s="413">
        <v>48.5</v>
      </c>
      <c r="N91" s="415">
        <v>48.6</v>
      </c>
      <c r="O91" s="351"/>
      <c r="P91" s="415">
        <v>48.3</v>
      </c>
      <c r="Q91" s="415"/>
      <c r="R91" s="415">
        <v>48.1</v>
      </c>
      <c r="S91" s="415"/>
      <c r="T91" s="415">
        <v>48.3</v>
      </c>
      <c r="U91" s="415"/>
      <c r="V91" s="415">
        <v>48.2</v>
      </c>
      <c r="W91" s="415"/>
      <c r="X91" s="415">
        <v>48.8</v>
      </c>
      <c r="Y91" s="415">
        <v>48.5</v>
      </c>
      <c r="Z91" s="415">
        <v>48.7</v>
      </c>
      <c r="AA91" s="898" t="s">
        <v>686</v>
      </c>
      <c r="AB91" s="415">
        <v>48.8</v>
      </c>
      <c r="AC91" s="839">
        <v>48.8</v>
      </c>
      <c r="AD91" s="822">
        <v>48.3</v>
      </c>
      <c r="AE91" s="839">
        <v>48.5</v>
      </c>
      <c r="AF91" s="822"/>
      <c r="AG91" s="839">
        <v>48.7</v>
      </c>
      <c r="AH91" s="919">
        <v>48.5</v>
      </c>
      <c r="AI91" s="943">
        <v>48.5</v>
      </c>
      <c r="AJ91" s="943">
        <v>48.7</v>
      </c>
      <c r="AK91" s="943">
        <v>48.7</v>
      </c>
      <c r="AL91" s="943"/>
    </row>
    <row r="92" spans="2:38" ht="27.4" customHeight="1" thickTop="1" x14ac:dyDescent="0.4">
      <c r="B92" s="1348"/>
      <c r="C92" s="1347"/>
      <c r="D92" s="1351" t="s">
        <v>479</v>
      </c>
      <c r="E92" s="1352"/>
      <c r="F92" s="84" t="s">
        <v>480</v>
      </c>
      <c r="G92" s="85" t="s">
        <v>481</v>
      </c>
      <c r="H92" s="85"/>
      <c r="I92" s="85"/>
      <c r="J92" s="86"/>
      <c r="K92" s="260"/>
      <c r="L92" s="798"/>
      <c r="M92" s="411" t="s">
        <v>545</v>
      </c>
      <c r="N92" s="335" t="s">
        <v>456</v>
      </c>
      <c r="O92" s="335"/>
      <c r="P92" s="335">
        <v>1.2</v>
      </c>
      <c r="Q92" s="335"/>
      <c r="R92" s="335">
        <v>2</v>
      </c>
      <c r="S92" s="335"/>
      <c r="T92" s="335" t="s">
        <v>452</v>
      </c>
      <c r="U92" s="335"/>
      <c r="V92" s="335" t="s">
        <v>453</v>
      </c>
      <c r="W92" s="335"/>
      <c r="X92" s="335" t="s">
        <v>453</v>
      </c>
      <c r="Y92" s="335" t="s">
        <v>452</v>
      </c>
      <c r="Z92" s="335" t="s">
        <v>453</v>
      </c>
      <c r="AB92" s="335" t="s">
        <v>453</v>
      </c>
      <c r="AC92" s="841"/>
      <c r="AD92" s="831" t="s">
        <v>545</v>
      </c>
      <c r="AE92" s="841" t="s">
        <v>545</v>
      </c>
      <c r="AF92" s="831"/>
      <c r="AG92" s="841" t="s">
        <v>456</v>
      </c>
      <c r="AH92" s="921" t="s">
        <v>456</v>
      </c>
      <c r="AI92" s="945" t="s">
        <v>452</v>
      </c>
      <c r="AJ92" s="945" t="s">
        <v>452</v>
      </c>
      <c r="AK92" s="945" t="s">
        <v>452</v>
      </c>
      <c r="AL92" s="945"/>
    </row>
    <row r="93" spans="2:38" ht="27.4" customHeight="1" x14ac:dyDescent="0.4">
      <c r="B93" s="1348"/>
      <c r="C93" s="1347"/>
      <c r="D93" s="1079"/>
      <c r="E93" s="1080"/>
      <c r="F93" s="99" t="s">
        <v>482</v>
      </c>
      <c r="G93" s="57"/>
      <c r="H93" s="57"/>
      <c r="I93" s="57"/>
      <c r="J93" s="100"/>
      <c r="K93" s="246"/>
      <c r="L93" s="798"/>
      <c r="M93" s="411"/>
      <c r="N93" s="335" t="s">
        <v>21</v>
      </c>
      <c r="O93" s="335"/>
      <c r="P93" s="335"/>
      <c r="Q93" s="335"/>
      <c r="R93" s="335"/>
      <c r="S93" s="335"/>
      <c r="T93" s="335"/>
      <c r="U93" s="335"/>
      <c r="V93" s="335"/>
      <c r="W93" s="335"/>
      <c r="X93" s="335"/>
      <c r="Y93" s="335"/>
      <c r="Z93" s="335"/>
      <c r="AB93" s="335"/>
      <c r="AC93" s="841"/>
      <c r="AD93" s="831" t="s">
        <v>21</v>
      </c>
      <c r="AE93" s="841"/>
      <c r="AF93" s="831"/>
      <c r="AG93" s="841" t="s">
        <v>21</v>
      </c>
      <c r="AH93" s="921" t="s">
        <v>21</v>
      </c>
      <c r="AI93" s="945" t="s">
        <v>21</v>
      </c>
      <c r="AJ93" s="945" t="s">
        <v>21</v>
      </c>
      <c r="AK93" s="945" t="s">
        <v>21</v>
      </c>
      <c r="AL93" s="945"/>
    </row>
    <row r="94" spans="2:38" ht="27.4" customHeight="1" x14ac:dyDescent="0.4">
      <c r="B94" s="1348"/>
      <c r="C94" s="1347"/>
      <c r="D94" s="1079"/>
      <c r="E94" s="1080"/>
      <c r="F94" s="87" t="s">
        <v>483</v>
      </c>
      <c r="G94" s="83" t="s">
        <v>21</v>
      </c>
      <c r="H94" s="83"/>
      <c r="I94" s="83"/>
      <c r="J94" s="88" t="s">
        <v>451</v>
      </c>
      <c r="K94" s="246"/>
      <c r="L94" s="798"/>
      <c r="M94" s="411" t="s">
        <v>545</v>
      </c>
      <c r="N94" s="335" t="s">
        <v>456</v>
      </c>
      <c r="O94" s="335"/>
      <c r="P94" s="335">
        <v>1.2</v>
      </c>
      <c r="Q94" s="335"/>
      <c r="R94" s="335">
        <v>2</v>
      </c>
      <c r="S94" s="335"/>
      <c r="T94" s="335" t="s">
        <v>452</v>
      </c>
      <c r="U94" s="335"/>
      <c r="V94" s="335" t="s">
        <v>453</v>
      </c>
      <c r="W94" s="335"/>
      <c r="X94" s="335" t="s">
        <v>453</v>
      </c>
      <c r="Y94" s="335" t="s">
        <v>452</v>
      </c>
      <c r="Z94" s="335" t="s">
        <v>453</v>
      </c>
      <c r="AB94" s="335" t="s">
        <v>453</v>
      </c>
      <c r="AC94" s="841"/>
      <c r="AD94" s="831" t="s">
        <v>545</v>
      </c>
      <c r="AE94" s="841" t="s">
        <v>545</v>
      </c>
      <c r="AF94" s="831"/>
      <c r="AG94" s="841" t="s">
        <v>687</v>
      </c>
      <c r="AH94" s="921" t="s">
        <v>456</v>
      </c>
      <c r="AI94" s="945" t="s">
        <v>452</v>
      </c>
      <c r="AJ94" s="945" t="s">
        <v>452</v>
      </c>
      <c r="AK94" s="945" t="s">
        <v>452</v>
      </c>
      <c r="AL94" s="945"/>
    </row>
    <row r="95" spans="2:38" ht="25.9" thickBot="1" x14ac:dyDescent="0.45">
      <c r="B95" s="1348"/>
      <c r="C95" s="1347"/>
      <c r="D95" s="1353"/>
      <c r="E95" s="1354"/>
      <c r="F95" s="105" t="s">
        <v>485</v>
      </c>
      <c r="G95" s="106" t="s">
        <v>77</v>
      </c>
      <c r="H95" s="106"/>
      <c r="I95" s="106"/>
      <c r="J95" s="107"/>
      <c r="K95" s="261"/>
      <c r="M95" s="412"/>
      <c r="N95" s="768" t="s">
        <v>21</v>
      </c>
      <c r="O95" s="768"/>
      <c r="P95" s="768"/>
      <c r="Q95" s="768"/>
      <c r="R95" s="768"/>
      <c r="S95" s="768"/>
      <c r="T95" s="768"/>
      <c r="U95" s="768"/>
      <c r="V95" s="768"/>
      <c r="W95" s="768"/>
      <c r="X95" s="768"/>
      <c r="Y95" s="768"/>
      <c r="Z95" s="768"/>
      <c r="AB95" s="768"/>
      <c r="AC95" s="841"/>
      <c r="AD95" s="831" t="s">
        <v>21</v>
      </c>
      <c r="AE95" s="841"/>
      <c r="AF95" s="831"/>
      <c r="AG95" s="841" t="s">
        <v>21</v>
      </c>
      <c r="AH95" s="921" t="s">
        <v>21</v>
      </c>
      <c r="AI95" s="945" t="s">
        <v>21</v>
      </c>
      <c r="AJ95" s="945" t="s">
        <v>21</v>
      </c>
      <c r="AK95" s="945" t="s">
        <v>21</v>
      </c>
      <c r="AL95" s="945"/>
    </row>
    <row r="96" spans="2:38" ht="27.4" customHeight="1" thickTop="1" x14ac:dyDescent="0.4">
      <c r="B96" s="1348"/>
      <c r="C96" s="1347"/>
      <c r="D96" s="1366" t="s">
        <v>486</v>
      </c>
      <c r="E96" s="1367"/>
      <c r="F96" s="94" t="s">
        <v>38</v>
      </c>
      <c r="G96" s="95" t="s">
        <v>39</v>
      </c>
      <c r="H96" s="95"/>
      <c r="I96" s="95"/>
      <c r="J96" s="96"/>
      <c r="K96" s="347">
        <v>64.2</v>
      </c>
      <c r="L96" s="799"/>
      <c r="M96" s="410">
        <v>64.3</v>
      </c>
      <c r="N96" s="347">
        <v>63.6</v>
      </c>
      <c r="O96" s="346"/>
      <c r="P96" s="347">
        <v>63.7</v>
      </c>
      <c r="Q96" s="347"/>
      <c r="R96" s="347">
        <v>63.6</v>
      </c>
      <c r="S96" s="347"/>
      <c r="T96" s="347">
        <v>65.400000000000006</v>
      </c>
      <c r="U96" s="347"/>
      <c r="V96" s="347">
        <v>65.2</v>
      </c>
      <c r="W96" s="347"/>
      <c r="X96" s="347">
        <v>64.2</v>
      </c>
      <c r="Y96" s="347">
        <v>65</v>
      </c>
      <c r="Z96" s="347">
        <v>63.5</v>
      </c>
      <c r="AA96" s="898">
        <v>64</v>
      </c>
      <c r="AB96" s="347">
        <v>64.2</v>
      </c>
      <c r="AC96" s="838">
        <v>64.2</v>
      </c>
      <c r="AD96" s="820">
        <v>62.1</v>
      </c>
      <c r="AE96" s="838">
        <v>64.3</v>
      </c>
      <c r="AF96" s="820"/>
      <c r="AG96" s="838">
        <v>65.3</v>
      </c>
      <c r="AH96" s="918">
        <v>59.4</v>
      </c>
      <c r="AI96" s="942">
        <v>65.099999999999994</v>
      </c>
      <c r="AJ96" s="942">
        <v>59</v>
      </c>
      <c r="AK96" s="942">
        <v>56.4</v>
      </c>
      <c r="AL96" s="942"/>
    </row>
    <row r="97" spans="2:38" ht="27.4" customHeight="1" x14ac:dyDescent="0.4">
      <c r="B97" s="1348"/>
      <c r="C97" s="1347"/>
      <c r="D97" s="1356"/>
      <c r="E97" s="1097"/>
      <c r="F97" s="97" t="s">
        <v>40</v>
      </c>
      <c r="G97" s="56" t="s">
        <v>39</v>
      </c>
      <c r="H97" s="56"/>
      <c r="I97" s="56"/>
      <c r="J97" s="98"/>
      <c r="K97" s="246">
        <v>62.7</v>
      </c>
      <c r="L97" s="798"/>
      <c r="M97" s="411">
        <v>62.8</v>
      </c>
      <c r="N97" s="246">
        <v>62.5</v>
      </c>
      <c r="O97" s="335"/>
      <c r="P97" s="246">
        <v>62.1</v>
      </c>
      <c r="Q97" s="246"/>
      <c r="R97" s="246">
        <v>62</v>
      </c>
      <c r="S97" s="246"/>
      <c r="T97" s="246">
        <v>64.599999999999994</v>
      </c>
      <c r="U97" s="246"/>
      <c r="V97" s="246">
        <v>64.8</v>
      </c>
      <c r="W97" s="246"/>
      <c r="X97" s="246">
        <v>64.8</v>
      </c>
      <c r="Y97" s="246">
        <v>64</v>
      </c>
      <c r="Z97" s="246">
        <v>62</v>
      </c>
      <c r="AA97" s="898">
        <v>63</v>
      </c>
      <c r="AB97" s="246">
        <v>64.8</v>
      </c>
      <c r="AC97" s="835">
        <v>62.7</v>
      </c>
      <c r="AD97" s="816">
        <v>64</v>
      </c>
      <c r="AE97" s="835">
        <v>62.8</v>
      </c>
      <c r="AF97" s="816"/>
      <c r="AG97" s="835">
        <v>67.3</v>
      </c>
      <c r="AH97" s="913">
        <v>61.5</v>
      </c>
      <c r="AI97" s="937" t="s">
        <v>688</v>
      </c>
      <c r="AJ97" s="937">
        <v>63.4</v>
      </c>
      <c r="AK97" s="937">
        <v>60.3</v>
      </c>
      <c r="AL97" s="937"/>
    </row>
    <row r="98" spans="2:38" ht="27.4" customHeight="1" thickBot="1" x14ac:dyDescent="0.45">
      <c r="B98" s="1348"/>
      <c r="C98" s="1347"/>
      <c r="D98" s="1359"/>
      <c r="E98" s="1087"/>
      <c r="F98" s="339" t="s">
        <v>41</v>
      </c>
      <c r="G98" s="111" t="s">
        <v>39</v>
      </c>
      <c r="H98" s="111"/>
      <c r="I98" s="111"/>
      <c r="J98" s="112"/>
      <c r="K98" s="352">
        <v>62.9</v>
      </c>
      <c r="L98" s="1000"/>
      <c r="M98" s="413">
        <v>63.1</v>
      </c>
      <c r="N98" s="352">
        <v>62.5</v>
      </c>
      <c r="O98" s="351"/>
      <c r="P98" s="352">
        <v>58</v>
      </c>
      <c r="Q98" s="352"/>
      <c r="R98" s="352">
        <v>62.5</v>
      </c>
      <c r="S98" s="352"/>
      <c r="T98" s="352">
        <v>62.5</v>
      </c>
      <c r="U98" s="352"/>
      <c r="V98" s="352">
        <v>62.6</v>
      </c>
      <c r="W98" s="352"/>
      <c r="X98" s="352">
        <v>62.6</v>
      </c>
      <c r="Y98" s="352">
        <v>62</v>
      </c>
      <c r="Z98" s="352">
        <v>62.2</v>
      </c>
      <c r="AA98" s="898">
        <v>61</v>
      </c>
      <c r="AB98" s="352">
        <v>62.6</v>
      </c>
      <c r="AC98" s="839">
        <v>62.9</v>
      </c>
      <c r="AD98" s="822">
        <v>64.8</v>
      </c>
      <c r="AE98" s="839">
        <v>63.1</v>
      </c>
      <c r="AF98" s="822"/>
      <c r="AG98" s="839">
        <v>66.599999999999994</v>
      </c>
      <c r="AH98" s="919">
        <v>60.6</v>
      </c>
      <c r="AI98" s="943">
        <v>62.3</v>
      </c>
      <c r="AJ98" s="943">
        <v>65</v>
      </c>
      <c r="AK98" s="943">
        <v>61.8</v>
      </c>
      <c r="AL98" s="943"/>
    </row>
    <row r="99" spans="2:38" ht="27.4" customHeight="1" thickTop="1" x14ac:dyDescent="0.4">
      <c r="B99" s="1348"/>
      <c r="C99" s="1347"/>
      <c r="D99" s="1112" t="s">
        <v>487</v>
      </c>
      <c r="E99" s="1360"/>
      <c r="F99" s="391" t="s">
        <v>488</v>
      </c>
      <c r="G99" s="392" t="s">
        <v>489</v>
      </c>
      <c r="H99" s="392" t="s">
        <v>217</v>
      </c>
      <c r="I99" s="392"/>
      <c r="J99" s="393"/>
      <c r="K99" s="260">
        <v>0.2</v>
      </c>
      <c r="L99" s="798"/>
      <c r="M99" s="411">
        <v>0.16</v>
      </c>
      <c r="N99" s="260">
        <v>0.2</v>
      </c>
      <c r="O99" s="335"/>
      <c r="P99" s="260">
        <v>0.18</v>
      </c>
      <c r="Q99" s="260"/>
      <c r="R99" s="260">
        <v>0.18</v>
      </c>
      <c r="S99" s="260"/>
      <c r="T99" s="260">
        <v>0.16600000000000001</v>
      </c>
      <c r="U99" s="260"/>
      <c r="V99" s="260">
        <v>0.16700000000000001</v>
      </c>
      <c r="W99" s="260"/>
      <c r="X99" s="260">
        <v>0.46500000000000002</v>
      </c>
      <c r="Y99" s="260">
        <v>0.16800000000000001</v>
      </c>
      <c r="Z99" s="260">
        <v>0.16700000000000001</v>
      </c>
      <c r="AA99" s="898" t="s">
        <v>689</v>
      </c>
      <c r="AB99" s="260">
        <v>0.46500000000000002</v>
      </c>
      <c r="AC99" s="836">
        <v>0.2</v>
      </c>
      <c r="AD99" s="818">
        <v>0.16700000000000001</v>
      </c>
      <c r="AE99" s="836">
        <v>0.16</v>
      </c>
      <c r="AF99" s="818"/>
      <c r="AG99" s="836">
        <v>0.17</v>
      </c>
      <c r="AH99" s="917">
        <v>0.16800000000000001</v>
      </c>
      <c r="AI99" s="941">
        <v>0.18</v>
      </c>
      <c r="AJ99" s="941">
        <v>0.16700000000000001</v>
      </c>
      <c r="AK99" s="941">
        <v>0.16700000000000001</v>
      </c>
      <c r="AL99" s="941"/>
    </row>
    <row r="100" spans="2:38" ht="27.4" customHeight="1" x14ac:dyDescent="0.4">
      <c r="B100" s="1348"/>
      <c r="C100" s="1347"/>
      <c r="D100" s="1073"/>
      <c r="E100" s="1109"/>
      <c r="F100" s="114" t="s">
        <v>488</v>
      </c>
      <c r="G100" s="83" t="s">
        <v>489</v>
      </c>
      <c r="H100" s="83" t="s">
        <v>350</v>
      </c>
      <c r="I100" s="83"/>
      <c r="J100" s="88"/>
      <c r="K100" s="246">
        <v>0.16800000000000001</v>
      </c>
      <c r="L100" s="798"/>
      <c r="M100" s="411">
        <v>0.18</v>
      </c>
      <c r="N100" s="246">
        <v>0.17</v>
      </c>
      <c r="O100" s="335"/>
      <c r="P100" s="246">
        <v>0.17</v>
      </c>
      <c r="Q100" s="246"/>
      <c r="R100" s="246">
        <v>0.16600000000000001</v>
      </c>
      <c r="S100" s="246"/>
      <c r="T100" s="246">
        <v>0.18</v>
      </c>
      <c r="U100" s="246"/>
      <c r="V100" s="246">
        <v>0.18</v>
      </c>
      <c r="W100" s="246"/>
      <c r="X100" s="246">
        <v>0.18</v>
      </c>
      <c r="Y100" s="246">
        <v>0.18</v>
      </c>
      <c r="Z100" s="246">
        <v>0.18</v>
      </c>
      <c r="AA100" s="898" t="s">
        <v>690</v>
      </c>
      <c r="AB100" s="246">
        <v>0.18</v>
      </c>
      <c r="AC100" s="835">
        <v>0.16800000000000001</v>
      </c>
      <c r="AD100" s="816">
        <v>0.18</v>
      </c>
      <c r="AE100" s="835">
        <v>0.18</v>
      </c>
      <c r="AF100" s="816"/>
      <c r="AG100" s="835">
        <v>0.18</v>
      </c>
      <c r="AH100" s="913">
        <v>0.18</v>
      </c>
      <c r="AI100" s="937">
        <v>0.16700000000000001</v>
      </c>
      <c r="AJ100" s="937">
        <v>0.18</v>
      </c>
      <c r="AK100" s="937">
        <v>0.18</v>
      </c>
      <c r="AL100" s="937"/>
    </row>
    <row r="101" spans="2:38" ht="27.4" customHeight="1" x14ac:dyDescent="0.4">
      <c r="B101" s="1348"/>
      <c r="C101" s="1347"/>
      <c r="D101" s="1073"/>
      <c r="E101" s="1109"/>
      <c r="F101" s="115" t="s">
        <v>490</v>
      </c>
      <c r="G101" s="56" t="s">
        <v>77</v>
      </c>
      <c r="H101" s="56" t="s">
        <v>491</v>
      </c>
      <c r="I101" s="56"/>
      <c r="J101" s="98"/>
      <c r="K101" s="246">
        <v>53</v>
      </c>
      <c r="L101" s="798"/>
      <c r="M101" s="411">
        <v>58</v>
      </c>
      <c r="N101" s="246">
        <v>58</v>
      </c>
      <c r="O101" s="335"/>
      <c r="P101" s="246">
        <v>59</v>
      </c>
      <c r="Q101" s="246"/>
      <c r="R101" s="246">
        <v>59</v>
      </c>
      <c r="S101" s="246"/>
      <c r="T101" s="246">
        <v>58</v>
      </c>
      <c r="U101" s="246"/>
      <c r="V101" s="246">
        <v>60</v>
      </c>
      <c r="W101" s="246"/>
      <c r="X101" s="246">
        <v>63</v>
      </c>
      <c r="Y101" s="246">
        <v>58</v>
      </c>
      <c r="Z101" s="246">
        <v>58</v>
      </c>
      <c r="AA101" s="898">
        <v>59</v>
      </c>
      <c r="AB101" s="246">
        <v>63</v>
      </c>
      <c r="AC101" s="835">
        <v>53</v>
      </c>
      <c r="AD101" s="816">
        <v>58</v>
      </c>
      <c r="AE101" s="835">
        <v>58</v>
      </c>
      <c r="AF101" s="816"/>
      <c r="AG101" s="835">
        <v>58</v>
      </c>
      <c r="AH101" s="913">
        <v>57</v>
      </c>
      <c r="AI101" s="937">
        <v>57</v>
      </c>
      <c r="AJ101" s="937">
        <v>56</v>
      </c>
      <c r="AK101" s="937">
        <v>57</v>
      </c>
      <c r="AL101" s="937"/>
    </row>
    <row r="102" spans="2:38" ht="27.4" customHeight="1" x14ac:dyDescent="0.4">
      <c r="B102" s="1348"/>
      <c r="C102" s="1347"/>
      <c r="D102" s="1073"/>
      <c r="E102" s="1109"/>
      <c r="F102" s="116" t="s">
        <v>492</v>
      </c>
      <c r="G102" s="111" t="s">
        <v>493</v>
      </c>
      <c r="H102" s="111" t="s">
        <v>491</v>
      </c>
      <c r="I102" s="111"/>
      <c r="J102" s="112"/>
      <c r="K102" s="246">
        <v>44</v>
      </c>
      <c r="L102" s="798"/>
      <c r="M102" s="411">
        <v>43</v>
      </c>
      <c r="N102" s="246">
        <v>80</v>
      </c>
      <c r="O102" s="335"/>
      <c r="P102" s="246">
        <v>70</v>
      </c>
      <c r="Q102" s="246"/>
      <c r="R102" s="246">
        <v>49</v>
      </c>
      <c r="S102" s="246"/>
      <c r="T102" s="246">
        <v>63</v>
      </c>
      <c r="U102" s="246"/>
      <c r="V102" s="246">
        <v>48</v>
      </c>
      <c r="W102" s="246"/>
      <c r="X102" s="246">
        <v>45</v>
      </c>
      <c r="Y102" s="246">
        <v>49</v>
      </c>
      <c r="Z102" s="246">
        <v>37</v>
      </c>
      <c r="AA102" s="898">
        <v>63</v>
      </c>
      <c r="AB102" s="246">
        <v>45</v>
      </c>
      <c r="AC102" s="835">
        <v>44</v>
      </c>
      <c r="AD102" s="816">
        <v>47</v>
      </c>
      <c r="AE102" s="835">
        <v>43</v>
      </c>
      <c r="AF102" s="816"/>
      <c r="AG102" s="835">
        <v>68</v>
      </c>
      <c r="AH102" s="913">
        <v>74</v>
      </c>
      <c r="AI102" s="937">
        <v>49</v>
      </c>
      <c r="AJ102" s="937">
        <v>67</v>
      </c>
      <c r="AK102" s="937">
        <v>74</v>
      </c>
      <c r="AL102" s="937"/>
    </row>
    <row r="103" spans="2:38" ht="27.4" customHeight="1" x14ac:dyDescent="0.4">
      <c r="B103" s="1348"/>
      <c r="C103" s="1347"/>
      <c r="D103" s="1073"/>
      <c r="E103" s="1109"/>
      <c r="F103" s="115" t="s">
        <v>494</v>
      </c>
      <c r="G103" s="56" t="s">
        <v>39</v>
      </c>
      <c r="H103" s="56" t="s">
        <v>491</v>
      </c>
      <c r="I103" s="56"/>
      <c r="J103" s="98"/>
      <c r="K103" s="246">
        <v>33</v>
      </c>
      <c r="L103" s="798"/>
      <c r="M103" s="411">
        <v>33</v>
      </c>
      <c r="N103" s="246">
        <v>33</v>
      </c>
      <c r="O103" s="335"/>
      <c r="P103" s="246">
        <v>33</v>
      </c>
      <c r="Q103" s="246"/>
      <c r="R103" s="246">
        <v>33</v>
      </c>
      <c r="S103" s="246"/>
      <c r="T103" s="246">
        <v>33</v>
      </c>
      <c r="U103" s="246"/>
      <c r="V103" s="246">
        <v>32</v>
      </c>
      <c r="W103" s="246"/>
      <c r="X103" s="246">
        <v>30</v>
      </c>
      <c r="Y103" s="246">
        <v>33</v>
      </c>
      <c r="Z103" s="246">
        <v>33</v>
      </c>
      <c r="AA103" s="898">
        <v>33</v>
      </c>
      <c r="AB103" s="246">
        <v>30</v>
      </c>
      <c r="AC103" s="835">
        <v>33</v>
      </c>
      <c r="AD103" s="816">
        <v>32</v>
      </c>
      <c r="AE103" s="835">
        <v>33</v>
      </c>
      <c r="AF103" s="816"/>
      <c r="AG103" s="835">
        <v>34</v>
      </c>
      <c r="AH103" s="913">
        <v>32</v>
      </c>
      <c r="AI103" s="937">
        <v>32</v>
      </c>
      <c r="AJ103" s="937">
        <v>32</v>
      </c>
      <c r="AK103" s="937">
        <v>32</v>
      </c>
      <c r="AL103" s="937"/>
    </row>
    <row r="104" spans="2:38" ht="27.4" customHeight="1" thickBot="1" x14ac:dyDescent="0.45">
      <c r="B104" s="1348"/>
      <c r="C104" s="1347"/>
      <c r="D104" s="1075"/>
      <c r="E104" s="1361"/>
      <c r="F104" s="394" t="s">
        <v>495</v>
      </c>
      <c r="G104" s="360" t="s">
        <v>496</v>
      </c>
      <c r="H104" s="360" t="s">
        <v>491</v>
      </c>
      <c r="I104" s="360"/>
      <c r="J104" s="361"/>
      <c r="K104" s="261">
        <v>0</v>
      </c>
      <c r="M104" s="412">
        <v>0</v>
      </c>
      <c r="N104" s="261">
        <v>0</v>
      </c>
      <c r="O104" s="768"/>
      <c r="P104" s="261">
        <v>0</v>
      </c>
      <c r="Q104" s="261"/>
      <c r="R104" s="261">
        <v>0</v>
      </c>
      <c r="S104" s="261"/>
      <c r="T104" s="261">
        <v>0</v>
      </c>
      <c r="U104" s="261"/>
      <c r="V104" s="261">
        <v>0</v>
      </c>
      <c r="W104" s="261"/>
      <c r="X104" s="261">
        <v>0</v>
      </c>
      <c r="Y104" s="261">
        <v>0</v>
      </c>
      <c r="Z104" s="261">
        <v>0</v>
      </c>
      <c r="AA104" s="898">
        <v>0</v>
      </c>
      <c r="AB104" s="261">
        <v>0</v>
      </c>
      <c r="AC104" s="837">
        <v>0</v>
      </c>
      <c r="AD104" s="817">
        <v>0</v>
      </c>
      <c r="AE104" s="837">
        <v>0</v>
      </c>
      <c r="AF104" s="817"/>
      <c r="AG104" s="837">
        <v>0</v>
      </c>
      <c r="AH104" s="914">
        <v>0</v>
      </c>
      <c r="AI104" s="938">
        <v>0</v>
      </c>
      <c r="AJ104" s="938">
        <v>0</v>
      </c>
      <c r="AK104" s="938">
        <v>0</v>
      </c>
      <c r="AL104" s="938"/>
    </row>
    <row r="105" spans="2:38" ht="27.4" customHeight="1" thickTop="1" x14ac:dyDescent="0.4">
      <c r="B105" s="1348"/>
      <c r="C105" s="1347"/>
      <c r="D105" s="1358" t="s">
        <v>497</v>
      </c>
      <c r="E105" s="1084"/>
      <c r="F105" s="103" t="s">
        <v>498</v>
      </c>
      <c r="G105" s="61" t="s">
        <v>430</v>
      </c>
      <c r="H105" s="61"/>
      <c r="I105" s="61"/>
      <c r="J105" s="104"/>
      <c r="K105" s="347">
        <v>840</v>
      </c>
      <c r="L105" s="799"/>
      <c r="M105" s="410">
        <v>820</v>
      </c>
      <c r="N105" s="347">
        <v>840</v>
      </c>
      <c r="O105" s="346"/>
      <c r="P105" s="347">
        <v>840</v>
      </c>
      <c r="Q105" s="347"/>
      <c r="R105" s="347">
        <v>840</v>
      </c>
      <c r="S105" s="347"/>
      <c r="T105" s="347">
        <v>840</v>
      </c>
      <c r="U105" s="347"/>
      <c r="V105" s="347">
        <v>840</v>
      </c>
      <c r="W105" s="347"/>
      <c r="X105" s="347">
        <v>840</v>
      </c>
      <c r="Y105" s="347">
        <v>840</v>
      </c>
      <c r="Z105" s="347">
        <v>840</v>
      </c>
      <c r="AA105" s="898">
        <v>840</v>
      </c>
      <c r="AB105" s="347">
        <v>840</v>
      </c>
      <c r="AC105" s="838">
        <v>840</v>
      </c>
      <c r="AD105" s="820">
        <v>0.84</v>
      </c>
      <c r="AE105" s="838">
        <v>820</v>
      </c>
      <c r="AF105" s="820"/>
      <c r="AG105" s="838">
        <v>840</v>
      </c>
      <c r="AH105" s="918">
        <v>840</v>
      </c>
      <c r="AI105" s="942">
        <v>840</v>
      </c>
      <c r="AJ105" s="942">
        <v>840</v>
      </c>
      <c r="AK105" s="942">
        <v>840</v>
      </c>
      <c r="AL105" s="942"/>
    </row>
    <row r="106" spans="2:38" ht="27.4" customHeight="1" x14ac:dyDescent="0.4">
      <c r="B106" s="1348"/>
      <c r="C106" s="1347"/>
      <c r="D106" s="1356"/>
      <c r="E106" s="1097"/>
      <c r="F106" s="97" t="s">
        <v>499</v>
      </c>
      <c r="G106" s="56" t="s">
        <v>21</v>
      </c>
      <c r="H106" s="56"/>
      <c r="I106" s="56"/>
      <c r="J106" s="98" t="s">
        <v>500</v>
      </c>
      <c r="K106" s="246" t="s">
        <v>370</v>
      </c>
      <c r="L106" s="798"/>
      <c r="M106" s="411" t="s">
        <v>200</v>
      </c>
      <c r="N106" s="246" t="s">
        <v>200</v>
      </c>
      <c r="O106" s="335"/>
      <c r="P106" s="246" t="s">
        <v>370</v>
      </c>
      <c r="Q106" s="246"/>
      <c r="R106" s="246" t="s">
        <v>200</v>
      </c>
      <c r="S106" s="246"/>
      <c r="T106" s="246" t="s">
        <v>200</v>
      </c>
      <c r="U106" s="246"/>
      <c r="V106" s="246" t="s">
        <v>200</v>
      </c>
      <c r="W106" s="246"/>
      <c r="X106" s="246" t="s">
        <v>200</v>
      </c>
      <c r="Y106" s="246" t="s">
        <v>200</v>
      </c>
      <c r="Z106" s="246" t="s">
        <v>200</v>
      </c>
      <c r="AA106" s="898" t="s">
        <v>200</v>
      </c>
      <c r="AB106" s="246" t="s">
        <v>200</v>
      </c>
      <c r="AC106" s="835" t="s">
        <v>200</v>
      </c>
      <c r="AD106" s="816" t="s">
        <v>200</v>
      </c>
      <c r="AE106" s="835" t="s">
        <v>200</v>
      </c>
      <c r="AF106" s="816"/>
      <c r="AG106" s="835" t="s">
        <v>200</v>
      </c>
      <c r="AH106" s="913" t="s">
        <v>200</v>
      </c>
      <c r="AI106" s="937" t="s">
        <v>200</v>
      </c>
      <c r="AJ106" s="937" t="s">
        <v>200</v>
      </c>
      <c r="AK106" s="937" t="s">
        <v>200</v>
      </c>
      <c r="AL106" s="937"/>
    </row>
    <row r="107" spans="2:38" ht="27.4" customHeight="1" x14ac:dyDescent="0.4">
      <c r="B107" s="1348"/>
      <c r="C107" s="1347"/>
      <c r="D107" s="1359"/>
      <c r="E107" s="1087"/>
      <c r="F107" s="87" t="s">
        <v>277</v>
      </c>
      <c r="G107" s="83"/>
      <c r="H107" s="83"/>
      <c r="I107" s="83"/>
      <c r="J107" s="88"/>
      <c r="K107" s="246">
        <v>289</v>
      </c>
      <c r="L107" s="798"/>
      <c r="M107" s="411">
        <v>289</v>
      </c>
      <c r="N107" s="246">
        <v>289</v>
      </c>
      <c r="O107" s="335"/>
      <c r="P107" s="246">
        <v>289</v>
      </c>
      <c r="Q107" s="246"/>
      <c r="R107" s="246">
        <v>289</v>
      </c>
      <c r="S107" s="246"/>
      <c r="T107" s="246">
        <v>289</v>
      </c>
      <c r="U107" s="246"/>
      <c r="V107" s="246">
        <v>289</v>
      </c>
      <c r="W107" s="246"/>
      <c r="X107" s="246">
        <v>289</v>
      </c>
      <c r="Y107" s="246">
        <v>289</v>
      </c>
      <c r="Z107" s="246">
        <v>289</v>
      </c>
      <c r="AA107" s="898">
        <v>289</v>
      </c>
      <c r="AB107" s="246">
        <v>289</v>
      </c>
      <c r="AC107" s="835">
        <v>289</v>
      </c>
      <c r="AD107" s="816">
        <v>289</v>
      </c>
      <c r="AE107" s="835">
        <v>289</v>
      </c>
      <c r="AF107" s="816"/>
      <c r="AG107" s="835">
        <v>289</v>
      </c>
      <c r="AH107" s="913">
        <v>289</v>
      </c>
      <c r="AI107" s="937">
        <v>289</v>
      </c>
      <c r="AJ107" s="937">
        <v>289</v>
      </c>
      <c r="AK107" s="937">
        <v>289</v>
      </c>
      <c r="AL107" s="937"/>
    </row>
    <row r="108" spans="2:38" ht="27.4" customHeight="1" thickBot="1" x14ac:dyDescent="0.45">
      <c r="B108" s="1348"/>
      <c r="C108" s="1347"/>
      <c r="D108" s="1359"/>
      <c r="E108" s="1087"/>
      <c r="F108" s="101" t="s">
        <v>501</v>
      </c>
      <c r="G108" s="62" t="s">
        <v>21</v>
      </c>
      <c r="H108" s="62"/>
      <c r="I108" s="62"/>
      <c r="J108" s="102" t="s">
        <v>270</v>
      </c>
      <c r="K108" s="352" t="s">
        <v>502</v>
      </c>
      <c r="L108" s="1000"/>
      <c r="M108" s="413" t="s">
        <v>151</v>
      </c>
      <c r="N108" s="352" t="s">
        <v>502</v>
      </c>
      <c r="O108" s="351"/>
      <c r="P108" s="352" t="s">
        <v>502</v>
      </c>
      <c r="Q108" s="352"/>
      <c r="R108" s="352" t="s">
        <v>151</v>
      </c>
      <c r="S108" s="352"/>
      <c r="T108" s="352" t="s">
        <v>151</v>
      </c>
      <c r="U108" s="352"/>
      <c r="V108" s="352" t="s">
        <v>151</v>
      </c>
      <c r="W108" s="352"/>
      <c r="X108" s="352" t="s">
        <v>151</v>
      </c>
      <c r="Y108" s="352" t="s">
        <v>151</v>
      </c>
      <c r="Z108" s="352" t="s">
        <v>151</v>
      </c>
      <c r="AA108" s="898" t="s">
        <v>151</v>
      </c>
      <c r="AB108" s="352" t="s">
        <v>151</v>
      </c>
      <c r="AC108" s="839" t="s">
        <v>151</v>
      </c>
      <c r="AD108" s="822" t="s">
        <v>151</v>
      </c>
      <c r="AE108" s="839" t="s">
        <v>151</v>
      </c>
      <c r="AF108" s="822"/>
      <c r="AG108" s="839" t="s">
        <v>151</v>
      </c>
      <c r="AH108" s="919" t="s">
        <v>151</v>
      </c>
      <c r="AI108" s="943" t="s">
        <v>151</v>
      </c>
      <c r="AJ108" s="943" t="s">
        <v>151</v>
      </c>
      <c r="AK108" s="943" t="s">
        <v>151</v>
      </c>
      <c r="AL108" s="943"/>
    </row>
    <row r="109" spans="2:38" ht="27.4" customHeight="1" thickTop="1" x14ac:dyDescent="0.4">
      <c r="B109" s="1348"/>
      <c r="C109" s="1347"/>
      <c r="D109" s="1355" t="s">
        <v>503</v>
      </c>
      <c r="E109" s="1095"/>
      <c r="F109" s="354" t="s">
        <v>38</v>
      </c>
      <c r="G109" s="355" t="s">
        <v>39</v>
      </c>
      <c r="H109" s="355"/>
      <c r="I109" s="355"/>
      <c r="J109" s="356"/>
      <c r="K109" s="347">
        <v>52.2</v>
      </c>
      <c r="L109" s="799"/>
      <c r="M109" s="497">
        <v>52.6</v>
      </c>
      <c r="N109" s="347">
        <v>50.6</v>
      </c>
      <c r="O109" s="335"/>
      <c r="P109" s="347">
        <v>53.2</v>
      </c>
      <c r="Q109" s="347"/>
      <c r="R109" s="347">
        <v>51.6</v>
      </c>
      <c r="S109" s="347"/>
      <c r="T109" s="347">
        <v>55.9</v>
      </c>
      <c r="U109" s="347"/>
      <c r="V109" s="347">
        <v>53.6</v>
      </c>
      <c r="W109" s="347"/>
      <c r="X109" s="347">
        <v>54.2</v>
      </c>
      <c r="Y109" s="347">
        <v>52</v>
      </c>
      <c r="Z109" s="347">
        <v>54.2</v>
      </c>
      <c r="AA109" s="898">
        <v>52</v>
      </c>
      <c r="AB109" s="347">
        <v>54.2</v>
      </c>
      <c r="AC109" s="836">
        <v>52.2</v>
      </c>
      <c r="AD109" s="818">
        <v>52</v>
      </c>
      <c r="AE109" s="836">
        <v>52.6</v>
      </c>
      <c r="AF109" s="818"/>
      <c r="AG109" s="836">
        <v>53.4</v>
      </c>
      <c r="AH109" s="917">
        <v>51.7</v>
      </c>
      <c r="AI109" s="941">
        <v>51.5</v>
      </c>
      <c r="AJ109" s="941">
        <v>52.1</v>
      </c>
      <c r="AK109" s="941">
        <v>52.1</v>
      </c>
      <c r="AL109" s="941"/>
    </row>
    <row r="110" spans="2:38" ht="30.75" customHeight="1" x14ac:dyDescent="0.4">
      <c r="B110" s="1348"/>
      <c r="C110" s="1347"/>
      <c r="D110" s="1356"/>
      <c r="E110" s="1097"/>
      <c r="F110" s="87" t="s">
        <v>40</v>
      </c>
      <c r="G110" s="83" t="s">
        <v>39</v>
      </c>
      <c r="H110" s="83"/>
      <c r="I110" s="83"/>
      <c r="J110" s="88"/>
      <c r="K110" s="246">
        <v>52.1</v>
      </c>
      <c r="L110" s="795"/>
      <c r="M110" s="245">
        <v>52.2</v>
      </c>
      <c r="N110" s="246">
        <v>51.9</v>
      </c>
      <c r="O110" s="335"/>
      <c r="P110" s="246">
        <v>52.6</v>
      </c>
      <c r="Q110" s="246"/>
      <c r="R110" s="246">
        <v>53.4</v>
      </c>
      <c r="S110" s="246"/>
      <c r="T110" s="246">
        <v>55.5</v>
      </c>
      <c r="U110" s="246"/>
      <c r="V110" s="246">
        <v>53.8</v>
      </c>
      <c r="W110" s="246"/>
      <c r="X110" s="246">
        <v>54.3</v>
      </c>
      <c r="Y110" s="246">
        <v>51</v>
      </c>
      <c r="Z110" s="246">
        <v>54.4</v>
      </c>
      <c r="AA110" s="898">
        <v>51</v>
      </c>
      <c r="AB110" s="246">
        <v>54.3</v>
      </c>
      <c r="AC110" s="835">
        <v>52.1</v>
      </c>
      <c r="AD110" s="816">
        <v>51.4</v>
      </c>
      <c r="AE110" s="835">
        <v>52.2</v>
      </c>
      <c r="AF110" s="816"/>
      <c r="AG110" s="835">
        <v>53</v>
      </c>
      <c r="AH110" s="913">
        <v>51</v>
      </c>
      <c r="AI110" s="937">
        <v>51</v>
      </c>
      <c r="AJ110" s="937">
        <v>51.7</v>
      </c>
      <c r="AK110" s="937">
        <v>50.8</v>
      </c>
      <c r="AL110" s="937"/>
    </row>
    <row r="111" spans="2:38" ht="27.4" customHeight="1" thickBot="1" x14ac:dyDescent="0.45">
      <c r="B111" s="1349"/>
      <c r="C111" s="1350"/>
      <c r="D111" s="1357"/>
      <c r="E111" s="1099"/>
      <c r="F111" s="348" t="s">
        <v>41</v>
      </c>
      <c r="G111" s="349" t="s">
        <v>39</v>
      </c>
      <c r="H111" s="349"/>
      <c r="I111" s="349"/>
      <c r="J111" s="350"/>
      <c r="K111" s="352">
        <v>52.4</v>
      </c>
      <c r="L111" s="800"/>
      <c r="M111" s="353">
        <v>52.4</v>
      </c>
      <c r="N111" s="352">
        <v>45.1</v>
      </c>
      <c r="O111" s="376"/>
      <c r="P111" s="352">
        <v>52.6</v>
      </c>
      <c r="Q111" s="352"/>
      <c r="R111" s="352">
        <v>53.6</v>
      </c>
      <c r="S111" s="352"/>
      <c r="T111" s="352">
        <v>54.6</v>
      </c>
      <c r="U111" s="352"/>
      <c r="V111" s="352">
        <v>54.2</v>
      </c>
      <c r="W111" s="352"/>
      <c r="X111" s="352">
        <v>55.2</v>
      </c>
      <c r="Y111" s="352">
        <v>52</v>
      </c>
      <c r="Z111" s="352">
        <v>55.2</v>
      </c>
      <c r="AA111" s="898">
        <v>51</v>
      </c>
      <c r="AB111" s="352">
        <v>55.2</v>
      </c>
      <c r="AC111" s="847">
        <v>52.4</v>
      </c>
      <c r="AD111" s="824">
        <v>51.7</v>
      </c>
      <c r="AE111" s="847">
        <v>52.4</v>
      </c>
      <c r="AF111" s="824"/>
      <c r="AG111" s="847">
        <v>53.2</v>
      </c>
      <c r="AH111" s="927">
        <v>51.3</v>
      </c>
      <c r="AI111" s="951">
        <v>51.3</v>
      </c>
      <c r="AJ111" s="951">
        <v>51.8</v>
      </c>
      <c r="AK111" s="951">
        <v>51.8</v>
      </c>
      <c r="AL111" s="951"/>
    </row>
    <row r="112" spans="2:38" ht="27.4" customHeight="1" thickTop="1" x14ac:dyDescent="0.4">
      <c r="B112" s="1332" t="s">
        <v>178</v>
      </c>
      <c r="C112" s="1382"/>
      <c r="D112" s="1019" t="s">
        <v>504</v>
      </c>
      <c r="E112" s="1020"/>
      <c r="F112" s="99" t="s">
        <v>505</v>
      </c>
      <c r="G112" s="57" t="s">
        <v>137</v>
      </c>
      <c r="H112" s="57" t="s">
        <v>345</v>
      </c>
      <c r="I112" s="57"/>
      <c r="J112" s="100"/>
      <c r="K112" s="372">
        <v>0.21</v>
      </c>
      <c r="L112" s="811"/>
      <c r="M112" s="417">
        <v>0.21</v>
      </c>
      <c r="N112" s="372">
        <v>0.21</v>
      </c>
      <c r="O112" s="371"/>
      <c r="P112" s="372">
        <v>0.21</v>
      </c>
      <c r="Q112" s="372"/>
      <c r="R112" s="372">
        <v>0.22</v>
      </c>
      <c r="S112" s="372"/>
      <c r="T112" s="372">
        <v>0.22</v>
      </c>
      <c r="U112" s="372"/>
      <c r="V112" s="372">
        <v>0.22</v>
      </c>
      <c r="W112" s="372"/>
      <c r="X112" s="372">
        <v>0.22</v>
      </c>
      <c r="Y112" s="372">
        <v>0.22</v>
      </c>
      <c r="Z112" s="372">
        <v>0.22</v>
      </c>
      <c r="AA112" s="898" t="s">
        <v>691</v>
      </c>
      <c r="AB112" s="372">
        <v>0.22</v>
      </c>
      <c r="AC112" s="848">
        <v>0.21</v>
      </c>
      <c r="AD112" s="825">
        <v>0.23</v>
      </c>
      <c r="AE112" s="848">
        <v>0.21</v>
      </c>
      <c r="AF112" s="825"/>
      <c r="AG112" s="848">
        <v>0.22</v>
      </c>
      <c r="AH112" s="928">
        <v>0.23</v>
      </c>
      <c r="AI112" s="952">
        <v>0.22</v>
      </c>
      <c r="AJ112" s="952">
        <v>0.22</v>
      </c>
      <c r="AK112" s="952">
        <v>0.24</v>
      </c>
      <c r="AL112" s="952"/>
    </row>
    <row r="113" spans="1:38" ht="27.4" customHeight="1" x14ac:dyDescent="0.4">
      <c r="B113" s="1332"/>
      <c r="C113" s="1382"/>
      <c r="D113" s="1019"/>
      <c r="E113" s="1020"/>
      <c r="F113" s="97" t="s">
        <v>505</v>
      </c>
      <c r="G113" s="56" t="s">
        <v>137</v>
      </c>
      <c r="H113" s="56" t="s">
        <v>217</v>
      </c>
      <c r="I113" s="56"/>
      <c r="J113" s="98"/>
      <c r="K113" s="246">
        <v>0.219</v>
      </c>
      <c r="L113" s="798"/>
      <c r="M113" s="411">
        <v>0.218</v>
      </c>
      <c r="N113" s="246">
        <v>0.215</v>
      </c>
      <c r="O113" s="335"/>
      <c r="P113" s="246">
        <v>0.219</v>
      </c>
      <c r="Q113" s="246"/>
      <c r="R113" s="246">
        <v>0.216</v>
      </c>
      <c r="S113" s="246"/>
      <c r="T113" s="246">
        <v>0.222</v>
      </c>
      <c r="U113" s="246"/>
      <c r="V113" s="246">
        <v>0.221</v>
      </c>
      <c r="W113" s="246"/>
      <c r="X113" s="246">
        <v>0.218</v>
      </c>
      <c r="Y113" s="246">
        <v>0.222</v>
      </c>
      <c r="Z113" s="246">
        <v>0.218</v>
      </c>
      <c r="AA113" s="898" t="s">
        <v>691</v>
      </c>
      <c r="AB113" s="246">
        <v>0.218</v>
      </c>
      <c r="AC113" s="835">
        <v>0.219</v>
      </c>
      <c r="AD113" s="816">
        <v>0.219</v>
      </c>
      <c r="AE113" s="835">
        <v>0.218</v>
      </c>
      <c r="AF113" s="816"/>
      <c r="AG113" s="835">
        <v>0.21</v>
      </c>
      <c r="AH113" s="913">
        <v>0.215</v>
      </c>
      <c r="AI113" s="937">
        <v>0.214</v>
      </c>
      <c r="AJ113" s="937">
        <v>0.20799999999999999</v>
      </c>
      <c r="AK113" s="937">
        <v>0.23100000000000001</v>
      </c>
      <c r="AL113" s="937"/>
    </row>
    <row r="114" spans="1:38" ht="27.4" customHeight="1" x14ac:dyDescent="0.4">
      <c r="B114" s="1332"/>
      <c r="C114" s="1382"/>
      <c r="D114" s="1019"/>
      <c r="E114" s="1020"/>
      <c r="F114" s="87" t="s">
        <v>506</v>
      </c>
      <c r="G114" s="83" t="s">
        <v>507</v>
      </c>
      <c r="H114" s="83" t="s">
        <v>217</v>
      </c>
      <c r="I114" s="83"/>
      <c r="J114" s="88"/>
      <c r="K114" s="246">
        <v>507.9</v>
      </c>
      <c r="L114" s="798"/>
      <c r="M114" s="411">
        <v>487</v>
      </c>
      <c r="N114" s="246">
        <v>504.9</v>
      </c>
      <c r="O114" s="335"/>
      <c r="P114" s="246">
        <v>509</v>
      </c>
      <c r="Q114" s="246"/>
      <c r="R114" s="246">
        <v>508</v>
      </c>
      <c r="S114" s="246"/>
      <c r="T114" s="246">
        <v>519.1</v>
      </c>
      <c r="U114" s="246"/>
      <c r="V114" s="246">
        <v>509.8</v>
      </c>
      <c r="W114" s="246"/>
      <c r="X114" s="246">
        <v>508.8</v>
      </c>
      <c r="Y114" s="246">
        <v>494.9</v>
      </c>
      <c r="Z114" s="246">
        <v>508.8</v>
      </c>
      <c r="AA114" s="898">
        <v>506</v>
      </c>
      <c r="AB114" s="246">
        <v>508.8</v>
      </c>
      <c r="AC114" s="835">
        <v>507.9</v>
      </c>
      <c r="AD114" s="816">
        <v>498.2</v>
      </c>
      <c r="AE114" s="835">
        <v>487</v>
      </c>
      <c r="AF114" s="816"/>
      <c r="AG114" s="835">
        <v>516</v>
      </c>
      <c r="AH114" s="913">
        <v>501.5</v>
      </c>
      <c r="AI114" s="937">
        <v>497</v>
      </c>
      <c r="AJ114" s="937">
        <v>508.9</v>
      </c>
      <c r="AK114" s="937">
        <v>529.6</v>
      </c>
      <c r="AL114" s="937"/>
    </row>
    <row r="115" spans="1:38" ht="29.25" customHeight="1" x14ac:dyDescent="0.4">
      <c r="B115" s="1332"/>
      <c r="C115" s="1382"/>
      <c r="D115" s="1019"/>
      <c r="E115" s="1020"/>
      <c r="F115" s="87" t="s">
        <v>508</v>
      </c>
      <c r="G115" s="83" t="s">
        <v>137</v>
      </c>
      <c r="H115" s="83" t="s">
        <v>345</v>
      </c>
      <c r="I115" s="83"/>
      <c r="J115" s="88"/>
      <c r="K115" s="246">
        <v>0.2</v>
      </c>
      <c r="L115" s="798"/>
      <c r="M115" s="411">
        <v>0.2</v>
      </c>
      <c r="N115" s="246">
        <v>0.2</v>
      </c>
      <c r="O115" s="335"/>
      <c r="P115" s="246">
        <v>0.5</v>
      </c>
      <c r="Q115" s="246"/>
      <c r="R115" s="246">
        <v>0.2</v>
      </c>
      <c r="S115" s="246"/>
      <c r="T115" s="246">
        <v>0.2</v>
      </c>
      <c r="U115" s="246"/>
      <c r="V115" s="246">
        <v>0.2</v>
      </c>
      <c r="W115" s="246"/>
      <c r="X115" s="246">
        <v>0.2</v>
      </c>
      <c r="Y115" s="246">
        <v>0.21</v>
      </c>
      <c r="Z115" s="246">
        <v>0.2</v>
      </c>
      <c r="AA115" s="898" t="s">
        <v>692</v>
      </c>
      <c r="AB115" s="246">
        <v>0.2</v>
      </c>
      <c r="AC115" s="835">
        <v>0.2</v>
      </c>
      <c r="AD115" s="816">
        <v>0.2</v>
      </c>
      <c r="AE115" s="835">
        <v>0.2</v>
      </c>
      <c r="AF115" s="816"/>
      <c r="AG115" s="835">
        <v>0.2</v>
      </c>
      <c r="AH115" s="913">
        <v>0.2</v>
      </c>
      <c r="AI115" s="937">
        <v>0.2</v>
      </c>
      <c r="AJ115" s="937">
        <v>0.2</v>
      </c>
      <c r="AK115" s="937">
        <v>0.2</v>
      </c>
      <c r="AL115" s="937"/>
    </row>
    <row r="116" spans="1:38" ht="29.25" customHeight="1" x14ac:dyDescent="0.4">
      <c r="B116" s="1332"/>
      <c r="C116" s="1382"/>
      <c r="D116" s="1019"/>
      <c r="E116" s="1020"/>
      <c r="F116" s="97" t="s">
        <v>509</v>
      </c>
      <c r="G116" s="56" t="s">
        <v>137</v>
      </c>
      <c r="H116" s="56" t="s">
        <v>345</v>
      </c>
      <c r="I116" s="56"/>
      <c r="J116" s="98"/>
      <c r="K116" s="246">
        <v>0.24</v>
      </c>
      <c r="L116" s="798"/>
      <c r="M116" s="411">
        <v>0.24</v>
      </c>
      <c r="N116" s="246">
        <v>0.22</v>
      </c>
      <c r="O116" s="335"/>
      <c r="P116" s="246">
        <v>0.22</v>
      </c>
      <c r="Q116" s="246"/>
      <c r="R116" s="246">
        <v>0.24</v>
      </c>
      <c r="S116" s="246"/>
      <c r="T116" s="246">
        <v>0.24</v>
      </c>
      <c r="U116" s="246"/>
      <c r="V116" s="246">
        <v>0.23</v>
      </c>
      <c r="W116" s="246"/>
      <c r="X116" s="246">
        <v>0.22</v>
      </c>
      <c r="Y116" s="246">
        <v>0.24</v>
      </c>
      <c r="Z116" s="246">
        <v>0.22</v>
      </c>
      <c r="AA116" s="898" t="s">
        <v>693</v>
      </c>
      <c r="AB116" s="246">
        <v>0.22</v>
      </c>
      <c r="AC116" s="835">
        <v>0.24</v>
      </c>
      <c r="AD116" s="816">
        <v>0.24</v>
      </c>
      <c r="AE116" s="835">
        <v>0.24</v>
      </c>
      <c r="AF116" s="816"/>
      <c r="AG116" s="835">
        <v>0.24</v>
      </c>
      <c r="AH116" s="913">
        <v>0.24</v>
      </c>
      <c r="AI116" s="937">
        <v>0.24</v>
      </c>
      <c r="AJ116" s="937">
        <v>0.23</v>
      </c>
      <c r="AK116" s="937">
        <v>0.25</v>
      </c>
      <c r="AL116" s="937"/>
    </row>
    <row r="117" spans="1:38" ht="29.25" customHeight="1" x14ac:dyDescent="0.4">
      <c r="A117" s="237" t="s">
        <v>137</v>
      </c>
      <c r="B117" s="1332"/>
      <c r="C117" s="1382"/>
      <c r="D117" s="1019"/>
      <c r="E117" s="1020"/>
      <c r="F117" s="87" t="s">
        <v>510</v>
      </c>
      <c r="G117" s="83" t="s">
        <v>137</v>
      </c>
      <c r="H117" s="83" t="s">
        <v>345</v>
      </c>
      <c r="I117" s="83"/>
      <c r="J117" s="88"/>
      <c r="K117" s="246">
        <v>0.19</v>
      </c>
      <c r="L117" s="798"/>
      <c r="M117" s="411">
        <v>0.19</v>
      </c>
      <c r="N117" s="246">
        <v>0.19</v>
      </c>
      <c r="O117" s="335"/>
      <c r="P117" s="246">
        <v>0.19</v>
      </c>
      <c r="Q117" s="246"/>
      <c r="R117" s="246">
        <v>0.18</v>
      </c>
      <c r="S117" s="246"/>
      <c r="T117" s="246">
        <v>0.19</v>
      </c>
      <c r="U117" s="246"/>
      <c r="V117" s="246">
        <v>0.2</v>
      </c>
      <c r="W117" s="246"/>
      <c r="X117" s="246">
        <v>0.2</v>
      </c>
      <c r="Y117" s="246">
        <v>0.18</v>
      </c>
      <c r="Z117" s="246">
        <v>0.2</v>
      </c>
      <c r="AA117" s="898" t="s">
        <v>690</v>
      </c>
      <c r="AB117" s="246">
        <v>0.2</v>
      </c>
      <c r="AC117" s="835">
        <v>0.19</v>
      </c>
      <c r="AD117" s="816">
        <v>0.19</v>
      </c>
      <c r="AE117" s="835">
        <v>0.19</v>
      </c>
      <c r="AF117" s="816"/>
      <c r="AG117" s="835">
        <v>0.18</v>
      </c>
      <c r="AH117" s="913">
        <v>0.18</v>
      </c>
      <c r="AI117" s="937">
        <v>0.18</v>
      </c>
      <c r="AJ117" s="937">
        <v>0.18</v>
      </c>
      <c r="AK117" s="937">
        <v>0.2</v>
      </c>
      <c r="AL117" s="937"/>
    </row>
    <row r="118" spans="1:38" ht="29.25" customHeight="1" x14ac:dyDescent="0.4">
      <c r="B118" s="1332"/>
      <c r="C118" s="1382"/>
      <c r="D118" s="1019"/>
      <c r="E118" s="1020"/>
      <c r="F118" s="97" t="s">
        <v>511</v>
      </c>
      <c r="G118" s="56" t="s">
        <v>137</v>
      </c>
      <c r="H118" s="56" t="s">
        <v>345</v>
      </c>
      <c r="I118" s="56"/>
      <c r="J118" s="98"/>
      <c r="K118" s="246">
        <v>0.2</v>
      </c>
      <c r="L118" s="798"/>
      <c r="M118" s="411">
        <v>0.2</v>
      </c>
      <c r="N118" s="246">
        <v>0.2</v>
      </c>
      <c r="O118" s="335"/>
      <c r="P118" s="246">
        <v>0.2</v>
      </c>
      <c r="Q118" s="246"/>
      <c r="R118" s="246">
        <v>0.2</v>
      </c>
      <c r="S118" s="246"/>
      <c r="T118" s="246">
        <v>0.21</v>
      </c>
      <c r="U118" s="246"/>
      <c r="V118" s="246">
        <v>0.21</v>
      </c>
      <c r="W118" s="246"/>
      <c r="X118" s="246">
        <v>0.2</v>
      </c>
      <c r="Y118" s="246">
        <v>0.22</v>
      </c>
      <c r="Z118" s="246">
        <v>0.2</v>
      </c>
      <c r="AA118" s="898" t="s">
        <v>691</v>
      </c>
      <c r="AB118" s="246">
        <v>0.2</v>
      </c>
      <c r="AC118" s="835">
        <v>0.2</v>
      </c>
      <c r="AD118" s="816">
        <v>0.22</v>
      </c>
      <c r="AE118" s="835">
        <v>0.2</v>
      </c>
      <c r="AF118" s="816"/>
      <c r="AG118" s="835">
        <v>0.21</v>
      </c>
      <c r="AH118" s="913">
        <v>0.22</v>
      </c>
      <c r="AI118" s="937">
        <v>0.2</v>
      </c>
      <c r="AJ118" s="937">
        <v>0.2</v>
      </c>
      <c r="AK118" s="937">
        <v>0.2</v>
      </c>
      <c r="AL118" s="937"/>
    </row>
    <row r="119" spans="1:38" ht="29.25" customHeight="1" x14ac:dyDescent="0.4">
      <c r="B119" s="1332"/>
      <c r="C119" s="1382"/>
      <c r="D119" s="1019"/>
      <c r="E119" s="1020"/>
      <c r="F119" s="87" t="s">
        <v>512</v>
      </c>
      <c r="G119" s="83" t="s">
        <v>137</v>
      </c>
      <c r="H119" s="83" t="s">
        <v>345</v>
      </c>
      <c r="I119" s="83"/>
      <c r="J119" s="88"/>
      <c r="K119" s="246">
        <v>0.19</v>
      </c>
      <c r="L119" s="798"/>
      <c r="M119" s="411">
        <v>0.19</v>
      </c>
      <c r="N119" s="246">
        <v>0.16</v>
      </c>
      <c r="O119" s="335"/>
      <c r="P119" s="246">
        <v>0.19</v>
      </c>
      <c r="Q119" s="246"/>
      <c r="R119" s="246">
        <v>0.19</v>
      </c>
      <c r="S119" s="246"/>
      <c r="T119" s="246">
        <v>0.2</v>
      </c>
      <c r="U119" s="246"/>
      <c r="V119" s="246">
        <v>0.2</v>
      </c>
      <c r="W119" s="246"/>
      <c r="X119" s="246">
        <v>0.2</v>
      </c>
      <c r="Y119" s="246">
        <v>0.19</v>
      </c>
      <c r="Z119" s="246">
        <v>0.2</v>
      </c>
      <c r="AA119" s="898" t="s">
        <v>690</v>
      </c>
      <c r="AB119" s="246">
        <v>0.2</v>
      </c>
      <c r="AC119" s="835">
        <v>0.19</v>
      </c>
      <c r="AD119" s="816">
        <v>0.19</v>
      </c>
      <c r="AE119" s="835">
        <v>0.19</v>
      </c>
      <c r="AF119" s="816"/>
      <c r="AG119" s="835">
        <v>0.18</v>
      </c>
      <c r="AH119" s="913">
        <v>0.18</v>
      </c>
      <c r="AI119" s="937">
        <v>0.18</v>
      </c>
      <c r="AJ119" s="937">
        <v>0.18</v>
      </c>
      <c r="AK119" s="937">
        <v>0.2</v>
      </c>
      <c r="AL119" s="937"/>
    </row>
    <row r="120" spans="1:38" ht="29.25" customHeight="1" x14ac:dyDescent="0.4">
      <c r="B120" s="1332"/>
      <c r="C120" s="1382"/>
      <c r="D120" s="1019"/>
      <c r="E120" s="1020"/>
      <c r="F120" s="97" t="s">
        <v>513</v>
      </c>
      <c r="G120" s="56" t="s">
        <v>137</v>
      </c>
      <c r="H120" s="56" t="s">
        <v>345</v>
      </c>
      <c r="I120" s="56"/>
      <c r="J120" s="98"/>
      <c r="K120" s="246">
        <v>0.1</v>
      </c>
      <c r="L120" s="798"/>
      <c r="M120" s="411">
        <v>0.1</v>
      </c>
      <c r="N120" s="246">
        <v>0.1</v>
      </c>
      <c r="O120" s="335"/>
      <c r="P120" s="246">
        <v>0.1</v>
      </c>
      <c r="Q120" s="246"/>
      <c r="R120" s="246">
        <v>0.1</v>
      </c>
      <c r="S120" s="246"/>
      <c r="T120" s="246">
        <v>0.11</v>
      </c>
      <c r="U120" s="246"/>
      <c r="V120" s="246">
        <v>0.1</v>
      </c>
      <c r="W120" s="246"/>
      <c r="X120" s="246">
        <v>0.1</v>
      </c>
      <c r="Y120" s="246">
        <v>0.1</v>
      </c>
      <c r="Z120" s="246">
        <v>0.1</v>
      </c>
      <c r="AA120" s="898" t="s">
        <v>694</v>
      </c>
      <c r="AB120" s="246">
        <v>0.1</v>
      </c>
      <c r="AC120" s="835">
        <v>0.1</v>
      </c>
      <c r="AD120" s="816">
        <v>0.12</v>
      </c>
      <c r="AE120" s="835">
        <v>0.1</v>
      </c>
      <c r="AF120" s="816"/>
      <c r="AG120" s="835">
        <v>0.12</v>
      </c>
      <c r="AH120" s="913">
        <v>0.12</v>
      </c>
      <c r="AI120" s="937">
        <v>0.11</v>
      </c>
      <c r="AJ120" s="937">
        <v>0.1</v>
      </c>
      <c r="AK120" s="937">
        <v>0.1</v>
      </c>
      <c r="AL120" s="937"/>
    </row>
    <row r="121" spans="1:38" ht="29.25" customHeight="1" x14ac:dyDescent="0.4">
      <c r="B121" s="1332"/>
      <c r="C121" s="1382"/>
      <c r="D121" s="1019"/>
      <c r="E121" s="1020"/>
      <c r="F121" s="87" t="s">
        <v>514</v>
      </c>
      <c r="G121" s="83" t="s">
        <v>137</v>
      </c>
      <c r="H121" s="83" t="s">
        <v>345</v>
      </c>
      <c r="I121" s="83"/>
      <c r="J121" s="88"/>
      <c r="K121" s="246">
        <v>0</v>
      </c>
      <c r="L121" s="798"/>
      <c r="M121" s="411">
        <v>0</v>
      </c>
      <c r="N121" s="246">
        <v>0</v>
      </c>
      <c r="O121" s="335"/>
      <c r="P121" s="246">
        <v>0</v>
      </c>
      <c r="Q121" s="246"/>
      <c r="R121" s="246">
        <v>0</v>
      </c>
      <c r="S121" s="246"/>
      <c r="T121" s="246">
        <v>0</v>
      </c>
      <c r="U121" s="246"/>
      <c r="V121" s="246">
        <v>0</v>
      </c>
      <c r="W121" s="246"/>
      <c r="X121" s="246">
        <v>0</v>
      </c>
      <c r="Y121" s="246">
        <v>0</v>
      </c>
      <c r="Z121" s="246">
        <v>0</v>
      </c>
      <c r="AA121" s="898">
        <v>0</v>
      </c>
      <c r="AB121" s="246">
        <v>0</v>
      </c>
      <c r="AC121" s="835">
        <v>0</v>
      </c>
      <c r="AD121" s="816">
        <v>0</v>
      </c>
      <c r="AE121" s="835">
        <v>0</v>
      </c>
      <c r="AF121" s="816"/>
      <c r="AG121" s="835">
        <v>0</v>
      </c>
      <c r="AH121" s="913">
        <v>0</v>
      </c>
      <c r="AI121" s="937">
        <v>0</v>
      </c>
      <c r="AJ121" s="937">
        <v>0</v>
      </c>
      <c r="AK121" s="937">
        <v>0</v>
      </c>
      <c r="AL121" s="937"/>
    </row>
    <row r="122" spans="1:38" ht="29.25" customHeight="1" x14ac:dyDescent="0.4">
      <c r="B122" s="1332"/>
      <c r="C122" s="1382"/>
      <c r="D122" s="1019"/>
      <c r="E122" s="1020"/>
      <c r="F122" s="97" t="s">
        <v>515</v>
      </c>
      <c r="G122" s="56" t="s">
        <v>137</v>
      </c>
      <c r="H122" s="56" t="s">
        <v>345</v>
      </c>
      <c r="I122" s="56"/>
      <c r="J122" s="98"/>
      <c r="K122" s="246">
        <v>0</v>
      </c>
      <c r="L122" s="798"/>
      <c r="M122" s="411">
        <v>0</v>
      </c>
      <c r="N122" s="246">
        <v>0</v>
      </c>
      <c r="O122" s="335"/>
      <c r="P122" s="246">
        <v>0</v>
      </c>
      <c r="Q122" s="246"/>
      <c r="R122" s="246">
        <v>0</v>
      </c>
      <c r="S122" s="246"/>
      <c r="T122" s="246">
        <v>0</v>
      </c>
      <c r="U122" s="246"/>
      <c r="V122" s="246">
        <v>0</v>
      </c>
      <c r="W122" s="246"/>
      <c r="X122" s="246">
        <v>0</v>
      </c>
      <c r="Y122" s="246">
        <v>0</v>
      </c>
      <c r="Z122" s="246">
        <v>0</v>
      </c>
      <c r="AA122" s="898">
        <v>0</v>
      </c>
      <c r="AB122" s="246">
        <v>0</v>
      </c>
      <c r="AC122" s="835">
        <v>0</v>
      </c>
      <c r="AD122" s="816">
        <v>0</v>
      </c>
      <c r="AE122" s="835">
        <v>0</v>
      </c>
      <c r="AF122" s="816"/>
      <c r="AG122" s="835">
        <v>0</v>
      </c>
      <c r="AH122" s="913">
        <v>0</v>
      </c>
      <c r="AI122" s="937">
        <v>0</v>
      </c>
      <c r="AJ122" s="937">
        <v>0</v>
      </c>
      <c r="AK122" s="937">
        <v>0</v>
      </c>
      <c r="AL122" s="937"/>
    </row>
    <row r="123" spans="1:38" ht="29.25" customHeight="1" x14ac:dyDescent="0.4">
      <c r="B123" s="1332"/>
      <c r="C123" s="1382"/>
      <c r="D123" s="1019"/>
      <c r="E123" s="1020"/>
      <c r="F123" s="87" t="s">
        <v>516</v>
      </c>
      <c r="G123" s="83" t="s">
        <v>137</v>
      </c>
      <c r="H123" s="83" t="s">
        <v>345</v>
      </c>
      <c r="I123" s="83"/>
      <c r="J123" s="88"/>
      <c r="K123" s="246">
        <v>0</v>
      </c>
      <c r="L123" s="798"/>
      <c r="M123" s="411">
        <v>0</v>
      </c>
      <c r="N123" s="246">
        <v>0</v>
      </c>
      <c r="O123" s="335"/>
      <c r="P123" s="246">
        <v>0</v>
      </c>
      <c r="Q123" s="246"/>
      <c r="R123" s="246">
        <v>0</v>
      </c>
      <c r="S123" s="246"/>
      <c r="T123" s="246">
        <v>0</v>
      </c>
      <c r="U123" s="246"/>
      <c r="V123" s="246">
        <v>0</v>
      </c>
      <c r="W123" s="246"/>
      <c r="X123" s="246">
        <v>0</v>
      </c>
      <c r="Y123" s="246">
        <v>0</v>
      </c>
      <c r="Z123" s="246">
        <v>0</v>
      </c>
      <c r="AA123" s="898">
        <v>0</v>
      </c>
      <c r="AB123" s="246">
        <v>0</v>
      </c>
      <c r="AC123" s="835">
        <v>0</v>
      </c>
      <c r="AD123" s="816">
        <v>0</v>
      </c>
      <c r="AE123" s="835">
        <v>0</v>
      </c>
      <c r="AF123" s="816"/>
      <c r="AG123" s="835">
        <v>0</v>
      </c>
      <c r="AH123" s="913">
        <v>0</v>
      </c>
      <c r="AI123" s="937">
        <v>0</v>
      </c>
      <c r="AJ123" s="937">
        <v>0</v>
      </c>
      <c r="AK123" s="937">
        <v>0</v>
      </c>
      <c r="AL123" s="937"/>
    </row>
    <row r="124" spans="1:38" ht="29.25" customHeight="1" x14ac:dyDescent="0.4">
      <c r="B124" s="1332"/>
      <c r="C124" s="1382"/>
      <c r="D124" s="1019"/>
      <c r="E124" s="1020"/>
      <c r="F124" s="97" t="s">
        <v>517</v>
      </c>
      <c r="G124" s="56" t="s">
        <v>137</v>
      </c>
      <c r="H124" s="56" t="s">
        <v>345</v>
      </c>
      <c r="I124" s="56"/>
      <c r="J124" s="98"/>
      <c r="K124" s="246">
        <v>0</v>
      </c>
      <c r="L124" s="798"/>
      <c r="M124" s="411">
        <v>0</v>
      </c>
      <c r="N124" s="246">
        <v>0</v>
      </c>
      <c r="O124" s="335"/>
      <c r="P124" s="246">
        <v>0</v>
      </c>
      <c r="Q124" s="246"/>
      <c r="R124" s="246">
        <v>0</v>
      </c>
      <c r="S124" s="246"/>
      <c r="T124" s="246">
        <v>0</v>
      </c>
      <c r="U124" s="246"/>
      <c r="V124" s="246">
        <v>0</v>
      </c>
      <c r="W124" s="246"/>
      <c r="X124" s="246">
        <v>0</v>
      </c>
      <c r="Y124" s="246">
        <v>0</v>
      </c>
      <c r="Z124" s="246">
        <v>0</v>
      </c>
      <c r="AA124" s="898">
        <v>0</v>
      </c>
      <c r="AB124" s="246">
        <v>0</v>
      </c>
      <c r="AC124" s="835">
        <v>0</v>
      </c>
      <c r="AD124" s="816">
        <v>0</v>
      </c>
      <c r="AE124" s="835">
        <v>0</v>
      </c>
      <c r="AF124" s="816"/>
      <c r="AG124" s="835">
        <v>0</v>
      </c>
      <c r="AH124" s="913">
        <v>0</v>
      </c>
      <c r="AI124" s="937">
        <v>0</v>
      </c>
      <c r="AJ124" s="937">
        <v>0</v>
      </c>
      <c r="AK124" s="937">
        <v>0</v>
      </c>
      <c r="AL124" s="937"/>
    </row>
    <row r="125" spans="1:38" ht="29.25" customHeight="1" thickBot="1" x14ac:dyDescent="0.45">
      <c r="B125" s="1332"/>
      <c r="C125" s="1382"/>
      <c r="D125" s="1019"/>
      <c r="E125" s="1020"/>
      <c r="F125" s="339" t="s">
        <v>518</v>
      </c>
      <c r="G125" s="111" t="s">
        <v>137</v>
      </c>
      <c r="H125" s="111" t="s">
        <v>345</v>
      </c>
      <c r="I125" s="111"/>
      <c r="J125" s="112"/>
      <c r="K125" s="352">
        <v>0</v>
      </c>
      <c r="L125" s="1000"/>
      <c r="M125" s="413">
        <v>0</v>
      </c>
      <c r="N125" s="352">
        <v>0</v>
      </c>
      <c r="O125" s="351"/>
      <c r="P125" s="352">
        <v>0</v>
      </c>
      <c r="Q125" s="352"/>
      <c r="R125" s="352">
        <v>0</v>
      </c>
      <c r="S125" s="352"/>
      <c r="T125" s="352">
        <v>0</v>
      </c>
      <c r="U125" s="352"/>
      <c r="V125" s="352">
        <v>0</v>
      </c>
      <c r="W125" s="352"/>
      <c r="X125" s="352">
        <v>0</v>
      </c>
      <c r="Y125" s="352">
        <v>0</v>
      </c>
      <c r="Z125" s="352">
        <v>0</v>
      </c>
      <c r="AA125" s="898">
        <v>0</v>
      </c>
      <c r="AB125" s="352">
        <v>0</v>
      </c>
      <c r="AC125" s="839">
        <v>0</v>
      </c>
      <c r="AD125" s="822">
        <v>0</v>
      </c>
      <c r="AE125" s="839">
        <v>0</v>
      </c>
      <c r="AF125" s="822"/>
      <c r="AG125" s="839">
        <v>0</v>
      </c>
      <c r="AH125" s="919">
        <v>0</v>
      </c>
      <c r="AI125" s="943">
        <v>0</v>
      </c>
      <c r="AJ125" s="943">
        <v>0</v>
      </c>
      <c r="AK125" s="943">
        <v>0</v>
      </c>
      <c r="AL125" s="943"/>
    </row>
    <row r="126" spans="1:38" ht="27.4" customHeight="1" thickTop="1" x14ac:dyDescent="0.4">
      <c r="B126" s="1332"/>
      <c r="C126" s="1382"/>
      <c r="D126" s="1368" t="s">
        <v>519</v>
      </c>
      <c r="E126" s="1369"/>
      <c r="F126" s="354" t="s">
        <v>520</v>
      </c>
      <c r="G126" s="355" t="s">
        <v>137</v>
      </c>
      <c r="H126" s="355" t="s">
        <v>345</v>
      </c>
      <c r="I126" s="355"/>
      <c r="J126" s="356"/>
      <c r="K126" s="260">
        <v>6.2</v>
      </c>
      <c r="L126" s="798"/>
      <c r="M126" s="411">
        <v>6.2</v>
      </c>
      <c r="N126" s="260">
        <v>6.2</v>
      </c>
      <c r="O126" s="335"/>
      <c r="P126" s="260">
        <v>6.2</v>
      </c>
      <c r="Q126" s="260"/>
      <c r="R126" s="260">
        <v>6.2</v>
      </c>
      <c r="S126" s="260"/>
      <c r="T126" s="260">
        <v>6.2</v>
      </c>
      <c r="U126" s="260"/>
      <c r="V126" s="260">
        <v>6.2</v>
      </c>
      <c r="W126" s="260"/>
      <c r="X126" s="260">
        <v>6.2</v>
      </c>
      <c r="Y126" s="260"/>
      <c r="Z126" s="260">
        <v>6.2</v>
      </c>
      <c r="AB126" s="260">
        <v>6.2</v>
      </c>
      <c r="AC126" s="836">
        <v>6.2</v>
      </c>
      <c r="AD126" s="818">
        <v>6.3</v>
      </c>
      <c r="AE126" s="836">
        <v>6.2</v>
      </c>
      <c r="AF126" s="818"/>
      <c r="AG126" s="836">
        <v>6.2</v>
      </c>
      <c r="AH126" s="917">
        <v>6.3</v>
      </c>
      <c r="AI126" s="941">
        <v>6.2</v>
      </c>
      <c r="AJ126" s="941">
        <v>6.2</v>
      </c>
      <c r="AK126" s="941">
        <v>6.2</v>
      </c>
      <c r="AL126" s="941"/>
    </row>
    <row r="127" spans="1:38" ht="27.4" customHeight="1" x14ac:dyDescent="0.4">
      <c r="B127" s="1332"/>
      <c r="C127" s="1382"/>
      <c r="D127" s="1035"/>
      <c r="E127" s="1036"/>
      <c r="F127" s="87" t="s">
        <v>521</v>
      </c>
      <c r="G127" s="83" t="s">
        <v>137</v>
      </c>
      <c r="H127" s="83" t="s">
        <v>345</v>
      </c>
      <c r="I127" s="83"/>
      <c r="J127" s="88"/>
      <c r="K127" s="246">
        <v>6.2</v>
      </c>
      <c r="L127" s="798"/>
      <c r="M127" s="411">
        <v>6.2</v>
      </c>
      <c r="N127" s="246">
        <v>6.2</v>
      </c>
      <c r="O127" s="335"/>
      <c r="P127" s="246">
        <v>6.5</v>
      </c>
      <c r="Q127" s="246"/>
      <c r="R127" s="246">
        <v>6.2</v>
      </c>
      <c r="S127" s="246"/>
      <c r="T127" s="246">
        <v>6.2</v>
      </c>
      <c r="U127" s="246"/>
      <c r="V127" s="246">
        <v>6.2</v>
      </c>
      <c r="W127" s="246"/>
      <c r="X127" s="246">
        <v>6.2</v>
      </c>
      <c r="Y127" s="246"/>
      <c r="Z127" s="246">
        <v>6.2</v>
      </c>
      <c r="AB127" s="246">
        <v>6.2</v>
      </c>
      <c r="AC127" s="835">
        <v>6.2</v>
      </c>
      <c r="AD127" s="816">
        <v>6.4</v>
      </c>
      <c r="AE127" s="835">
        <v>6.2</v>
      </c>
      <c r="AF127" s="816"/>
      <c r="AG127" s="835">
        <v>6.2</v>
      </c>
      <c r="AH127" s="913">
        <v>6.4</v>
      </c>
      <c r="AI127" s="937">
        <v>6.2</v>
      </c>
      <c r="AJ127" s="937">
        <v>6.2</v>
      </c>
      <c r="AK127" s="937">
        <v>6.2</v>
      </c>
      <c r="AL127" s="937"/>
    </row>
    <row r="128" spans="1:38" ht="27.4" customHeight="1" x14ac:dyDescent="0.4">
      <c r="B128" s="1332"/>
      <c r="C128" s="1382"/>
      <c r="D128" s="1035"/>
      <c r="E128" s="1036"/>
      <c r="F128" s="97" t="s">
        <v>520</v>
      </c>
      <c r="G128" s="56" t="s">
        <v>137</v>
      </c>
      <c r="H128" s="56" t="s">
        <v>73</v>
      </c>
      <c r="I128" s="56"/>
      <c r="J128" s="98"/>
      <c r="K128" s="246">
        <v>6.54</v>
      </c>
      <c r="L128" s="795"/>
      <c r="M128" s="507">
        <v>6.57</v>
      </c>
      <c r="N128" s="246">
        <v>6.58</v>
      </c>
      <c r="O128" s="255"/>
      <c r="P128" s="246">
        <v>6.56</v>
      </c>
      <c r="Q128" s="246"/>
      <c r="R128" s="246">
        <v>6.57</v>
      </c>
      <c r="S128" s="246"/>
      <c r="T128" s="246">
        <v>6.57</v>
      </c>
      <c r="U128" s="246"/>
      <c r="V128" s="246">
        <v>6.57</v>
      </c>
      <c r="W128" s="246"/>
      <c r="X128" s="246">
        <v>6.57</v>
      </c>
      <c r="Y128" s="246">
        <v>6.57</v>
      </c>
      <c r="Z128" s="246">
        <v>6.3</v>
      </c>
      <c r="AA128" s="898" t="s">
        <v>695</v>
      </c>
      <c r="AB128" s="246">
        <v>6.57</v>
      </c>
      <c r="AC128" s="835">
        <v>6.54</v>
      </c>
      <c r="AD128" s="816">
        <v>6.58</v>
      </c>
      <c r="AE128" s="835">
        <v>6.57</v>
      </c>
      <c r="AF128" s="816"/>
      <c r="AG128" s="835">
        <v>6.46</v>
      </c>
      <c r="AH128" s="913">
        <v>6.64</v>
      </c>
      <c r="AI128" s="937">
        <v>6.52</v>
      </c>
      <c r="AJ128" s="937">
        <v>6.47</v>
      </c>
      <c r="AK128" s="937">
        <v>6.54</v>
      </c>
      <c r="AL128" s="937"/>
    </row>
    <row r="129" spans="2:38" ht="27.4" customHeight="1" thickBot="1" x14ac:dyDescent="0.45">
      <c r="B129" s="1332"/>
      <c r="C129" s="1382"/>
      <c r="D129" s="1370"/>
      <c r="E129" s="1371"/>
      <c r="F129" s="359" t="s">
        <v>521</v>
      </c>
      <c r="G129" s="360" t="s">
        <v>137</v>
      </c>
      <c r="H129" s="360" t="s">
        <v>73</v>
      </c>
      <c r="I129" s="360"/>
      <c r="J129" s="361"/>
      <c r="K129" s="261">
        <v>6.23</v>
      </c>
      <c r="L129" s="796"/>
      <c r="M129" s="511">
        <v>6.24</v>
      </c>
      <c r="N129" s="261">
        <v>6.25</v>
      </c>
      <c r="O129" s="308"/>
      <c r="P129" s="261">
        <v>6.24</v>
      </c>
      <c r="Q129" s="261"/>
      <c r="R129" s="261">
        <v>6.24</v>
      </c>
      <c r="S129" s="261"/>
      <c r="T129" s="261">
        <v>6.23</v>
      </c>
      <c r="U129" s="261"/>
      <c r="V129" s="261">
        <v>6.24</v>
      </c>
      <c r="W129" s="261"/>
      <c r="X129" s="261">
        <v>6.23</v>
      </c>
      <c r="Y129" s="261">
        <v>6.23</v>
      </c>
      <c r="Z129" s="261">
        <v>6.27</v>
      </c>
      <c r="AA129" s="898" t="s">
        <v>696</v>
      </c>
      <c r="AB129" s="261">
        <v>6.23</v>
      </c>
      <c r="AC129" s="837">
        <v>6.23</v>
      </c>
      <c r="AD129" s="817">
        <v>6.22</v>
      </c>
      <c r="AE129" s="837">
        <v>6.24</v>
      </c>
      <c r="AF129" s="817"/>
      <c r="AG129" s="837">
        <v>6.2</v>
      </c>
      <c r="AH129" s="914">
        <v>6.27</v>
      </c>
      <c r="AI129" s="938">
        <v>6.16</v>
      </c>
      <c r="AJ129" s="938">
        <v>6.11</v>
      </c>
      <c r="AK129" s="938">
        <v>6.18</v>
      </c>
      <c r="AL129" s="938"/>
    </row>
    <row r="130" spans="2:38" ht="27.4" customHeight="1" thickTop="1" x14ac:dyDescent="0.4">
      <c r="B130" s="1332"/>
      <c r="C130" s="1382"/>
      <c r="D130" s="1033" t="s">
        <v>522</v>
      </c>
      <c r="E130" s="1034"/>
      <c r="F130" s="99" t="s">
        <v>523</v>
      </c>
      <c r="G130" s="57" t="s">
        <v>21</v>
      </c>
      <c r="H130" s="57" t="s">
        <v>21</v>
      </c>
      <c r="I130" s="57"/>
      <c r="J130" s="100" t="s">
        <v>451</v>
      </c>
      <c r="K130" s="765" t="s">
        <v>524</v>
      </c>
      <c r="L130" s="1003"/>
      <c r="M130" s="508">
        <v>1.2</v>
      </c>
      <c r="N130" s="765" t="s">
        <v>524</v>
      </c>
      <c r="O130" s="357"/>
      <c r="P130" s="765">
        <v>1.2</v>
      </c>
      <c r="Q130" s="765"/>
      <c r="R130" s="347">
        <v>1</v>
      </c>
      <c r="S130" s="765"/>
      <c r="T130" s="347" t="s">
        <v>524</v>
      </c>
      <c r="U130" s="765"/>
      <c r="V130" s="347" t="s">
        <v>697</v>
      </c>
      <c r="W130" s="765"/>
      <c r="X130" s="347" t="s">
        <v>697</v>
      </c>
      <c r="Y130" s="765"/>
      <c r="Z130" s="347" t="s">
        <v>697</v>
      </c>
      <c r="AB130" s="347" t="s">
        <v>697</v>
      </c>
      <c r="AC130" s="838" t="s">
        <v>524</v>
      </c>
      <c r="AD130" s="820" t="s">
        <v>59</v>
      </c>
      <c r="AE130" s="838">
        <v>1.2</v>
      </c>
      <c r="AF130" s="820"/>
      <c r="AG130" s="838" t="s">
        <v>59</v>
      </c>
      <c r="AH130" s="918" t="s">
        <v>59</v>
      </c>
      <c r="AI130" s="942" t="s">
        <v>524</v>
      </c>
      <c r="AJ130" s="942" t="s">
        <v>524</v>
      </c>
      <c r="AK130" s="942" t="s">
        <v>524</v>
      </c>
      <c r="AL130" s="942"/>
    </row>
    <row r="131" spans="2:38" ht="27.4" customHeight="1" x14ac:dyDescent="0.4">
      <c r="B131" s="1332"/>
      <c r="C131" s="1382"/>
      <c r="D131" s="1035"/>
      <c r="E131" s="1036"/>
      <c r="F131" s="87" t="s">
        <v>525</v>
      </c>
      <c r="G131" s="83" t="s">
        <v>21</v>
      </c>
      <c r="H131" s="83" t="s">
        <v>21</v>
      </c>
      <c r="I131" s="83"/>
      <c r="J131" s="993" t="s">
        <v>698</v>
      </c>
      <c r="K131" s="896" t="s">
        <v>524</v>
      </c>
      <c r="L131" s="988"/>
      <c r="M131" s="992">
        <v>1.2</v>
      </c>
      <c r="N131" s="896" t="s">
        <v>524</v>
      </c>
      <c r="O131" s="255"/>
      <c r="P131" s="896">
        <v>1.2</v>
      </c>
      <c r="Q131" s="246"/>
      <c r="R131" s="246"/>
      <c r="S131" s="246"/>
      <c r="T131" s="896" t="s">
        <v>524</v>
      </c>
      <c r="U131" s="246"/>
      <c r="V131" s="896" t="s">
        <v>697</v>
      </c>
      <c r="W131" s="246"/>
      <c r="X131" s="896" t="s">
        <v>697</v>
      </c>
      <c r="Y131" s="246"/>
      <c r="Z131" s="896" t="s">
        <v>697</v>
      </c>
      <c r="AB131" s="896" t="s">
        <v>697</v>
      </c>
      <c r="AC131" s="986" t="s">
        <v>524</v>
      </c>
      <c r="AD131" s="987" t="s">
        <v>545</v>
      </c>
      <c r="AE131" s="986">
        <v>1.2</v>
      </c>
      <c r="AF131" s="816"/>
      <c r="AG131" s="835">
        <v>1</v>
      </c>
      <c r="AH131" s="913">
        <v>1</v>
      </c>
      <c r="AI131" s="937">
        <v>1</v>
      </c>
      <c r="AJ131" s="937">
        <v>1</v>
      </c>
      <c r="AK131" s="937">
        <v>1</v>
      </c>
      <c r="AL131" s="937"/>
    </row>
    <row r="132" spans="2:38" ht="27.4" customHeight="1" x14ac:dyDescent="0.4">
      <c r="B132" s="1332"/>
      <c r="C132" s="1382"/>
      <c r="D132" s="1035"/>
      <c r="E132" s="1036"/>
      <c r="F132" s="97" t="s">
        <v>526</v>
      </c>
      <c r="G132" s="56" t="s">
        <v>69</v>
      </c>
      <c r="H132" s="56" t="s">
        <v>345</v>
      </c>
      <c r="I132" s="56"/>
      <c r="J132" s="98"/>
      <c r="K132" s="246">
        <v>30</v>
      </c>
      <c r="L132" s="795"/>
      <c r="M132" s="507">
        <v>30</v>
      </c>
      <c r="N132" s="246">
        <v>31</v>
      </c>
      <c r="O132" s="255"/>
      <c r="P132" s="246">
        <v>31</v>
      </c>
      <c r="Q132" s="246"/>
      <c r="R132" s="246">
        <v>31</v>
      </c>
      <c r="S132" s="246"/>
      <c r="T132" s="246">
        <v>31</v>
      </c>
      <c r="U132" s="246"/>
      <c r="V132" s="246">
        <v>31</v>
      </c>
      <c r="W132" s="246"/>
      <c r="X132" s="246">
        <v>31</v>
      </c>
      <c r="Y132" s="246">
        <v>33</v>
      </c>
      <c r="Z132" s="246">
        <v>31</v>
      </c>
      <c r="AA132" s="898">
        <v>300</v>
      </c>
      <c r="AB132" s="246">
        <v>31</v>
      </c>
      <c r="AC132" s="835">
        <v>30</v>
      </c>
      <c r="AD132" s="816">
        <v>30.5</v>
      </c>
      <c r="AE132" s="835">
        <v>30</v>
      </c>
      <c r="AF132" s="816"/>
      <c r="AG132" s="835">
        <v>30.5</v>
      </c>
      <c r="AH132" s="913">
        <v>31</v>
      </c>
      <c r="AI132" s="937">
        <v>31</v>
      </c>
      <c r="AJ132" s="937">
        <v>32</v>
      </c>
      <c r="AK132" s="937">
        <v>32</v>
      </c>
      <c r="AL132" s="937"/>
    </row>
    <row r="133" spans="2:38" ht="27" customHeight="1" x14ac:dyDescent="0.4">
      <c r="B133" s="1332"/>
      <c r="C133" s="1382"/>
      <c r="D133" s="1035"/>
      <c r="E133" s="1036"/>
      <c r="F133" s="87" t="s">
        <v>526</v>
      </c>
      <c r="G133" s="83" t="s">
        <v>72</v>
      </c>
      <c r="H133" s="83" t="s">
        <v>73</v>
      </c>
      <c r="I133" s="83"/>
      <c r="J133" s="88"/>
      <c r="K133" s="246">
        <v>469</v>
      </c>
      <c r="L133" s="795"/>
      <c r="M133" s="507">
        <v>471</v>
      </c>
      <c r="N133" s="246">
        <v>476</v>
      </c>
      <c r="O133" s="255"/>
      <c r="P133" s="246">
        <v>479</v>
      </c>
      <c r="Q133" s="246"/>
      <c r="R133" s="246">
        <v>452</v>
      </c>
      <c r="S133" s="246"/>
      <c r="T133" s="246">
        <v>487</v>
      </c>
      <c r="U133" s="246"/>
      <c r="V133" s="246">
        <v>465</v>
      </c>
      <c r="W133" s="246"/>
      <c r="X133" s="246">
        <v>470</v>
      </c>
      <c r="Y133" s="246">
        <v>498</v>
      </c>
      <c r="Z133" s="246">
        <v>476</v>
      </c>
      <c r="AA133" s="898">
        <v>466</v>
      </c>
      <c r="AB133" s="246">
        <v>470</v>
      </c>
      <c r="AC133" s="835">
        <v>469</v>
      </c>
      <c r="AD133" s="816">
        <v>473</v>
      </c>
      <c r="AE133" s="835">
        <v>471</v>
      </c>
      <c r="AF133" s="816"/>
      <c r="AG133" s="835">
        <v>472</v>
      </c>
      <c r="AH133" s="913">
        <v>480</v>
      </c>
      <c r="AI133" s="937">
        <v>485</v>
      </c>
      <c r="AJ133" s="937">
        <v>490</v>
      </c>
      <c r="AK133" s="937">
        <v>494</v>
      </c>
      <c r="AL133" s="937"/>
    </row>
    <row r="134" spans="2:38" ht="27.4" customHeight="1" x14ac:dyDescent="0.4">
      <c r="B134" s="1332"/>
      <c r="C134" s="1382"/>
      <c r="D134" s="1035"/>
      <c r="E134" s="1036"/>
      <c r="F134" s="97" t="s">
        <v>527</v>
      </c>
      <c r="G134" s="56" t="s">
        <v>39</v>
      </c>
      <c r="H134" s="56" t="s">
        <v>345</v>
      </c>
      <c r="I134" s="56"/>
      <c r="J134" s="98"/>
      <c r="K134" s="246">
        <v>28</v>
      </c>
      <c r="L134" s="795"/>
      <c r="M134" s="507">
        <v>27</v>
      </c>
      <c r="N134" s="246">
        <v>27</v>
      </c>
      <c r="O134" s="255"/>
      <c r="P134" s="246">
        <v>27</v>
      </c>
      <c r="Q134" s="246"/>
      <c r="R134" s="246">
        <v>26</v>
      </c>
      <c r="S134" s="246"/>
      <c r="T134" s="246">
        <v>26</v>
      </c>
      <c r="U134" s="246"/>
      <c r="V134" s="246">
        <v>26</v>
      </c>
      <c r="W134" s="246"/>
      <c r="X134" s="246">
        <v>26</v>
      </c>
      <c r="Y134" s="246">
        <v>25</v>
      </c>
      <c r="Z134" s="246">
        <v>26</v>
      </c>
      <c r="AA134" s="898">
        <v>27</v>
      </c>
      <c r="AB134" s="246">
        <v>26</v>
      </c>
      <c r="AC134" s="835">
        <v>28</v>
      </c>
      <c r="AD134" s="816">
        <v>26</v>
      </c>
      <c r="AE134" s="835">
        <v>27</v>
      </c>
      <c r="AF134" s="816"/>
      <c r="AG134" s="835">
        <v>28</v>
      </c>
      <c r="AH134" s="913">
        <v>26</v>
      </c>
      <c r="AI134" s="937">
        <v>26</v>
      </c>
      <c r="AJ134" s="937">
        <v>26</v>
      </c>
      <c r="AK134" s="937">
        <v>26</v>
      </c>
      <c r="AL134" s="937"/>
    </row>
    <row r="135" spans="2:38" ht="27.4" customHeight="1" x14ac:dyDescent="0.4">
      <c r="B135" s="1332"/>
      <c r="C135" s="1382"/>
      <c r="D135" s="1035"/>
      <c r="E135" s="1036"/>
      <c r="F135" s="87" t="s">
        <v>528</v>
      </c>
      <c r="G135" s="83" t="s">
        <v>77</v>
      </c>
      <c r="H135" s="83" t="s">
        <v>217</v>
      </c>
      <c r="I135" s="83"/>
      <c r="J135" s="88"/>
      <c r="K135" s="246">
        <v>1.59</v>
      </c>
      <c r="L135" s="795"/>
      <c r="M135" s="507">
        <v>1.58</v>
      </c>
      <c r="N135" s="246">
        <v>1.58</v>
      </c>
      <c r="O135" s="255"/>
      <c r="P135" s="246">
        <v>1.57</v>
      </c>
      <c r="Q135" s="246"/>
      <c r="R135" s="246">
        <v>1.57</v>
      </c>
      <c r="S135" s="246"/>
      <c r="T135" s="246">
        <v>1.57</v>
      </c>
      <c r="U135" s="246"/>
      <c r="V135" s="246">
        <v>1.56</v>
      </c>
      <c r="W135" s="246"/>
      <c r="X135" s="246">
        <v>1.56</v>
      </c>
      <c r="Y135" s="246">
        <v>1.55</v>
      </c>
      <c r="Z135" s="246">
        <v>1.56</v>
      </c>
      <c r="AA135" s="898" t="s">
        <v>699</v>
      </c>
      <c r="AB135" s="246">
        <v>1.56</v>
      </c>
      <c r="AC135" s="835">
        <v>1.59</v>
      </c>
      <c r="AD135" s="816">
        <v>1.54</v>
      </c>
      <c r="AE135" s="835">
        <v>1.58</v>
      </c>
      <c r="AF135" s="816"/>
      <c r="AG135" s="835">
        <v>1.61</v>
      </c>
      <c r="AH135" s="913">
        <v>1.53</v>
      </c>
      <c r="AI135" s="937">
        <v>1.53</v>
      </c>
      <c r="AJ135" s="937">
        <v>1.53</v>
      </c>
      <c r="AK135" s="937">
        <v>1.53</v>
      </c>
      <c r="AL135" s="937"/>
    </row>
    <row r="136" spans="2:38" ht="37.5" customHeight="1" x14ac:dyDescent="0.4">
      <c r="B136" s="1332"/>
      <c r="C136" s="1382"/>
      <c r="D136" s="1035"/>
      <c r="E136" s="1036"/>
      <c r="F136" s="97" t="s">
        <v>529</v>
      </c>
      <c r="G136" s="56" t="s">
        <v>21</v>
      </c>
      <c r="H136" s="56" t="s">
        <v>21</v>
      </c>
      <c r="I136" s="8" t="s">
        <v>530</v>
      </c>
      <c r="J136" s="205" t="s">
        <v>530</v>
      </c>
      <c r="K136" s="246">
        <v>0</v>
      </c>
      <c r="L136" s="795"/>
      <c r="M136" s="507">
        <v>0</v>
      </c>
      <c r="N136" s="246">
        <v>0</v>
      </c>
      <c r="O136" s="255"/>
      <c r="P136" s="246">
        <v>0</v>
      </c>
      <c r="Q136" s="246"/>
      <c r="R136" s="246"/>
      <c r="S136" s="246"/>
      <c r="T136" s="896" t="s">
        <v>151</v>
      </c>
      <c r="U136" s="246"/>
      <c r="V136" s="896" t="s">
        <v>151</v>
      </c>
      <c r="W136" s="246"/>
      <c r="X136" s="896" t="s">
        <v>151</v>
      </c>
      <c r="Y136" s="896" t="s">
        <v>151</v>
      </c>
      <c r="Z136" s="896" t="s">
        <v>151</v>
      </c>
      <c r="AA136" s="898" t="s">
        <v>502</v>
      </c>
      <c r="AB136" s="896" t="s">
        <v>151</v>
      </c>
      <c r="AC136" s="835">
        <v>0</v>
      </c>
      <c r="AD136" s="816">
        <v>0</v>
      </c>
      <c r="AE136" s="835">
        <v>0</v>
      </c>
      <c r="AF136" s="816"/>
      <c r="AG136" s="835">
        <v>0</v>
      </c>
      <c r="AH136" s="913">
        <v>0</v>
      </c>
      <c r="AI136" s="937">
        <v>0</v>
      </c>
      <c r="AJ136" s="937">
        <v>0</v>
      </c>
      <c r="AK136" s="937">
        <v>0</v>
      </c>
      <c r="AL136" s="937"/>
    </row>
    <row r="137" spans="2:38" ht="27.4" customHeight="1" x14ac:dyDescent="0.4">
      <c r="B137" s="1332"/>
      <c r="C137" s="1382"/>
      <c r="D137" s="1035"/>
      <c r="E137" s="1036"/>
      <c r="F137" s="87" t="s">
        <v>531</v>
      </c>
      <c r="G137" s="83" t="s">
        <v>21</v>
      </c>
      <c r="H137" s="83" t="s">
        <v>21</v>
      </c>
      <c r="I137" s="19" t="s">
        <v>700</v>
      </c>
      <c r="J137" s="88" t="s">
        <v>532</v>
      </c>
      <c r="K137" s="767" t="s">
        <v>151</v>
      </c>
      <c r="L137" s="767"/>
      <c r="M137" s="507" t="s">
        <v>151</v>
      </c>
      <c r="N137" s="767" t="s">
        <v>502</v>
      </c>
      <c r="O137" s="255"/>
      <c r="P137" s="767" t="s">
        <v>151</v>
      </c>
      <c r="Q137" s="767"/>
      <c r="R137" s="767" t="s">
        <v>151</v>
      </c>
      <c r="S137" s="767"/>
      <c r="T137" s="767" t="s">
        <v>370</v>
      </c>
      <c r="U137" s="767"/>
      <c r="V137" s="767" t="s">
        <v>151</v>
      </c>
      <c r="W137" s="767"/>
      <c r="X137" s="767" t="s">
        <v>151</v>
      </c>
      <c r="Y137" s="767" t="s">
        <v>151</v>
      </c>
      <c r="Z137" s="767" t="s">
        <v>151</v>
      </c>
      <c r="AA137" s="898" t="s">
        <v>502</v>
      </c>
      <c r="AB137" s="767" t="s">
        <v>151</v>
      </c>
      <c r="AC137" s="849" t="s">
        <v>151</v>
      </c>
      <c r="AD137" s="834" t="s">
        <v>151</v>
      </c>
      <c r="AE137" s="849" t="s">
        <v>151</v>
      </c>
      <c r="AF137" s="834"/>
      <c r="AG137" s="849" t="s">
        <v>151</v>
      </c>
      <c r="AH137" s="929" t="s">
        <v>151</v>
      </c>
      <c r="AI137" s="953" t="s">
        <v>151</v>
      </c>
      <c r="AJ137" s="953" t="s">
        <v>151</v>
      </c>
      <c r="AK137" s="953" t="s">
        <v>151</v>
      </c>
      <c r="AL137" s="953"/>
    </row>
    <row r="138" spans="2:38" ht="27.4" customHeight="1" x14ac:dyDescent="0.4">
      <c r="B138" s="1332"/>
      <c r="C138" s="1382"/>
      <c r="D138" s="1035"/>
      <c r="E138" s="1036"/>
      <c r="F138" s="87" t="s">
        <v>533</v>
      </c>
      <c r="G138" s="83" t="s">
        <v>489</v>
      </c>
      <c r="H138" s="83" t="s">
        <v>73</v>
      </c>
      <c r="I138" s="83"/>
      <c r="J138" s="88" t="s">
        <v>534</v>
      </c>
      <c r="K138" s="246">
        <v>6.08</v>
      </c>
      <c r="L138" s="795"/>
      <c r="M138" s="507">
        <v>6.05</v>
      </c>
      <c r="N138" s="246">
        <v>5.99</v>
      </c>
      <c r="O138" s="255"/>
      <c r="P138" s="246">
        <v>5.96</v>
      </c>
      <c r="Q138" s="246"/>
      <c r="R138" s="246">
        <v>5.93</v>
      </c>
      <c r="S138" s="246"/>
      <c r="T138" s="246">
        <v>5.88</v>
      </c>
      <c r="U138" s="246"/>
      <c r="V138" s="246">
        <v>5.92</v>
      </c>
      <c r="W138" s="246"/>
      <c r="X138" s="246">
        <v>5.92</v>
      </c>
      <c r="Y138" s="246">
        <v>5.77</v>
      </c>
      <c r="Z138" s="246">
        <v>6.24</v>
      </c>
      <c r="AA138" s="898" t="s">
        <v>701</v>
      </c>
      <c r="AB138" s="246">
        <v>5.92</v>
      </c>
      <c r="AC138" s="835">
        <v>6.08</v>
      </c>
      <c r="AD138" s="816">
        <v>6.01</v>
      </c>
      <c r="AE138" s="835">
        <v>6.05</v>
      </c>
      <c r="AF138" s="816"/>
      <c r="AG138" s="835">
        <v>6.05</v>
      </c>
      <c r="AH138" s="913">
        <v>5.93</v>
      </c>
      <c r="AI138" s="937">
        <v>5.9</v>
      </c>
      <c r="AJ138" s="937">
        <v>5.82</v>
      </c>
      <c r="AK138" s="937">
        <v>5.79</v>
      </c>
      <c r="AL138" s="937"/>
    </row>
    <row r="139" spans="2:38" ht="27.4" customHeight="1" x14ac:dyDescent="0.4">
      <c r="B139" s="1332"/>
      <c r="C139" s="1382"/>
      <c r="D139" s="1035"/>
      <c r="E139" s="1036"/>
      <c r="F139" s="97" t="s">
        <v>536</v>
      </c>
      <c r="G139" s="56" t="s">
        <v>137</v>
      </c>
      <c r="H139" s="56" t="s">
        <v>345</v>
      </c>
      <c r="I139" s="56"/>
      <c r="J139" s="98"/>
      <c r="K139" s="246">
        <v>6.1</v>
      </c>
      <c r="L139" s="795"/>
      <c r="M139" s="507">
        <v>6.1</v>
      </c>
      <c r="N139" s="246">
        <v>6</v>
      </c>
      <c r="O139" s="255"/>
      <c r="P139" s="246">
        <v>6</v>
      </c>
      <c r="Q139" s="246"/>
      <c r="R139" s="246">
        <v>6</v>
      </c>
      <c r="S139" s="246"/>
      <c r="T139" s="246">
        <v>5.9</v>
      </c>
      <c r="U139" s="246"/>
      <c r="V139" s="246">
        <v>6</v>
      </c>
      <c r="W139" s="246"/>
      <c r="X139" s="246">
        <v>5.89</v>
      </c>
      <c r="Y139" s="246">
        <v>5.8</v>
      </c>
      <c r="Z139" s="246">
        <v>6</v>
      </c>
      <c r="AA139" s="898" t="s">
        <v>702</v>
      </c>
      <c r="AB139" s="246">
        <v>5.89</v>
      </c>
      <c r="AC139" s="835">
        <v>6.1</v>
      </c>
      <c r="AD139" s="816">
        <v>6.1</v>
      </c>
      <c r="AE139" s="835">
        <v>6.1</v>
      </c>
      <c r="AF139" s="816"/>
      <c r="AG139" s="835">
        <v>6.19</v>
      </c>
      <c r="AH139" s="913">
        <v>6</v>
      </c>
      <c r="AI139" s="937">
        <v>5.88</v>
      </c>
      <c r="AJ139" s="937">
        <v>5.9</v>
      </c>
      <c r="AK139" s="937">
        <v>5.8</v>
      </c>
      <c r="AL139" s="937"/>
    </row>
    <row r="140" spans="2:38" ht="25.5" x14ac:dyDescent="0.4">
      <c r="B140" s="1332"/>
      <c r="C140" s="1382"/>
      <c r="D140" s="1035"/>
      <c r="E140" s="1036"/>
      <c r="F140" s="87" t="s">
        <v>537</v>
      </c>
      <c r="G140" s="83" t="s">
        <v>137</v>
      </c>
      <c r="H140" s="83" t="s">
        <v>345</v>
      </c>
      <c r="I140" s="83"/>
      <c r="J140" s="88"/>
      <c r="K140" s="246">
        <v>7</v>
      </c>
      <c r="L140" s="795"/>
      <c r="M140" s="507">
        <v>7</v>
      </c>
      <c r="N140" s="246">
        <v>7</v>
      </c>
      <c r="O140" s="255"/>
      <c r="P140" s="246">
        <v>7</v>
      </c>
      <c r="Q140" s="246"/>
      <c r="R140" s="246">
        <v>7</v>
      </c>
      <c r="S140" s="246"/>
      <c r="T140" s="246">
        <v>7</v>
      </c>
      <c r="U140" s="246"/>
      <c r="V140" s="246">
        <v>7</v>
      </c>
      <c r="W140" s="246"/>
      <c r="X140" s="246">
        <v>7</v>
      </c>
      <c r="Y140" s="246">
        <v>7</v>
      </c>
      <c r="Z140" s="246">
        <v>7.2</v>
      </c>
      <c r="AA140" s="898">
        <v>7</v>
      </c>
      <c r="AB140" s="246">
        <v>7</v>
      </c>
      <c r="AC140" s="835">
        <v>7</v>
      </c>
      <c r="AD140" s="816">
        <v>7</v>
      </c>
      <c r="AE140" s="835">
        <v>7</v>
      </c>
      <c r="AF140" s="816"/>
      <c r="AG140" s="835">
        <v>7</v>
      </c>
      <c r="AH140" s="913">
        <v>7</v>
      </c>
      <c r="AI140" s="937">
        <v>7</v>
      </c>
      <c r="AJ140" s="937">
        <v>7</v>
      </c>
      <c r="AK140" s="937">
        <v>7.2</v>
      </c>
      <c r="AL140" s="937"/>
    </row>
    <row r="141" spans="2:38" ht="27.4" customHeight="1" thickBot="1" x14ac:dyDescent="0.45">
      <c r="B141" s="1332"/>
      <c r="C141" s="1382"/>
      <c r="D141" s="1380"/>
      <c r="E141" s="1383"/>
      <c r="F141" s="101" t="s">
        <v>538</v>
      </c>
      <c r="G141" s="62" t="s">
        <v>72</v>
      </c>
      <c r="H141" s="62" t="s">
        <v>345</v>
      </c>
      <c r="I141" s="62"/>
      <c r="J141" s="102"/>
      <c r="K141" s="352">
        <v>435</v>
      </c>
      <c r="L141" s="800"/>
      <c r="M141" s="512">
        <v>435</v>
      </c>
      <c r="N141" s="352">
        <v>425</v>
      </c>
      <c r="O141" s="362"/>
      <c r="P141" s="352">
        <v>420</v>
      </c>
      <c r="Q141" s="352"/>
      <c r="R141" s="352">
        <v>410</v>
      </c>
      <c r="S141" s="352"/>
      <c r="T141" s="352">
        <v>390</v>
      </c>
      <c r="U141" s="352"/>
      <c r="V141" s="352">
        <v>398</v>
      </c>
      <c r="W141" s="352"/>
      <c r="X141" s="352">
        <v>400</v>
      </c>
      <c r="Y141" s="352">
        <v>370</v>
      </c>
      <c r="Z141" s="352">
        <v>595</v>
      </c>
      <c r="AA141" s="898">
        <v>450</v>
      </c>
      <c r="AB141" s="352">
        <v>400</v>
      </c>
      <c r="AC141" s="839">
        <v>435</v>
      </c>
      <c r="AD141" s="822">
        <v>425</v>
      </c>
      <c r="AE141" s="839">
        <v>435</v>
      </c>
      <c r="AF141" s="822"/>
      <c r="AG141" s="839">
        <v>430</v>
      </c>
      <c r="AH141" s="919">
        <v>415</v>
      </c>
      <c r="AI141" s="943">
        <v>395</v>
      </c>
      <c r="AJ141" s="943">
        <v>380</v>
      </c>
      <c r="AK141" s="943">
        <v>375</v>
      </c>
      <c r="AL141" s="943"/>
    </row>
    <row r="142" spans="2:38" ht="27.4" customHeight="1" thickTop="1" x14ac:dyDescent="0.4">
      <c r="B142" s="1332"/>
      <c r="C142" s="1382"/>
      <c r="D142" s="1368" t="s">
        <v>539</v>
      </c>
      <c r="E142" s="1369"/>
      <c r="F142" s="343" t="s">
        <v>523</v>
      </c>
      <c r="G142" s="344" t="s">
        <v>21</v>
      </c>
      <c r="H142" s="344" t="s">
        <v>21</v>
      </c>
      <c r="I142" s="344"/>
      <c r="J142" s="345" t="s">
        <v>451</v>
      </c>
      <c r="K142" s="260">
        <v>1</v>
      </c>
      <c r="L142" s="798"/>
      <c r="M142" s="506">
        <v>2</v>
      </c>
      <c r="N142" s="260">
        <v>2</v>
      </c>
      <c r="O142" s="305"/>
      <c r="P142" s="260">
        <v>1</v>
      </c>
      <c r="Q142" s="260"/>
      <c r="R142" s="260">
        <v>1</v>
      </c>
      <c r="S142" s="260"/>
      <c r="T142" s="260">
        <v>1</v>
      </c>
      <c r="U142" s="260"/>
      <c r="V142" s="260">
        <v>1</v>
      </c>
      <c r="W142" s="260"/>
      <c r="X142" s="260">
        <v>1</v>
      </c>
      <c r="Y142" s="260">
        <v>1</v>
      </c>
      <c r="Z142" s="260">
        <v>2</v>
      </c>
      <c r="AA142" s="898">
        <v>2</v>
      </c>
      <c r="AB142" s="260">
        <v>1</v>
      </c>
      <c r="AC142" s="836">
        <v>1</v>
      </c>
      <c r="AD142" s="818">
        <v>2</v>
      </c>
      <c r="AE142" s="836">
        <v>2</v>
      </c>
      <c r="AF142" s="818"/>
      <c r="AG142" s="836">
        <v>1</v>
      </c>
      <c r="AH142" s="917">
        <v>2</v>
      </c>
      <c r="AI142" s="941">
        <v>1</v>
      </c>
      <c r="AJ142" s="941">
        <v>2</v>
      </c>
      <c r="AK142" s="941">
        <v>1</v>
      </c>
      <c r="AL142" s="941"/>
    </row>
    <row r="143" spans="2:38" ht="27.4" customHeight="1" x14ac:dyDescent="0.4">
      <c r="B143" s="1332"/>
      <c r="C143" s="1382"/>
      <c r="D143" s="1035"/>
      <c r="E143" s="1036"/>
      <c r="F143" s="97" t="s">
        <v>525</v>
      </c>
      <c r="G143" s="56" t="s">
        <v>21</v>
      </c>
      <c r="H143" s="56" t="s">
        <v>21</v>
      </c>
      <c r="I143" s="56"/>
      <c r="J143" s="98" t="s">
        <v>451</v>
      </c>
      <c r="K143" s="246">
        <v>1</v>
      </c>
      <c r="L143" s="795"/>
      <c r="M143" s="507">
        <v>2</v>
      </c>
      <c r="N143" s="246">
        <v>2</v>
      </c>
      <c r="O143" s="775"/>
      <c r="P143" s="246">
        <v>1</v>
      </c>
      <c r="Q143" s="246"/>
      <c r="R143" s="246">
        <v>1</v>
      </c>
      <c r="S143" s="246"/>
      <c r="T143" s="246">
        <v>1</v>
      </c>
      <c r="U143" s="246"/>
      <c r="V143" s="246">
        <v>1</v>
      </c>
      <c r="W143" s="246"/>
      <c r="X143" s="246">
        <v>1</v>
      </c>
      <c r="Y143" s="246"/>
      <c r="Z143" s="246">
        <v>2</v>
      </c>
      <c r="AB143" s="246">
        <v>1</v>
      </c>
      <c r="AC143" s="835">
        <v>1</v>
      </c>
      <c r="AD143" s="816">
        <v>1</v>
      </c>
      <c r="AE143" s="835">
        <v>2</v>
      </c>
      <c r="AF143" s="816"/>
      <c r="AG143" s="835">
        <v>1</v>
      </c>
      <c r="AH143" s="913">
        <v>1</v>
      </c>
      <c r="AI143" s="937" t="s">
        <v>21</v>
      </c>
      <c r="AJ143" s="937">
        <v>1</v>
      </c>
      <c r="AK143" s="937">
        <v>1</v>
      </c>
      <c r="AL143" s="937"/>
    </row>
    <row r="144" spans="2:38" ht="27.4" customHeight="1" x14ac:dyDescent="0.4">
      <c r="B144" s="1332"/>
      <c r="C144" s="1382"/>
      <c r="D144" s="1035"/>
      <c r="E144" s="1036"/>
      <c r="F144" s="87" t="s">
        <v>526</v>
      </c>
      <c r="G144" s="83" t="s">
        <v>72</v>
      </c>
      <c r="H144" s="83" t="s">
        <v>345</v>
      </c>
      <c r="I144" s="83"/>
      <c r="J144" s="88"/>
      <c r="K144" s="246">
        <v>505</v>
      </c>
      <c r="L144" s="795"/>
      <c r="M144" s="507">
        <v>510</v>
      </c>
      <c r="N144" s="246"/>
      <c r="O144" s="255"/>
      <c r="P144" s="246">
        <v>520</v>
      </c>
      <c r="Q144" s="246"/>
      <c r="R144" s="246">
        <v>510</v>
      </c>
      <c r="S144" s="246"/>
      <c r="T144" s="246">
        <v>510</v>
      </c>
      <c r="U144" s="246"/>
      <c r="V144" s="246">
        <v>512</v>
      </c>
      <c r="W144" s="246"/>
      <c r="X144" s="246">
        <v>511</v>
      </c>
      <c r="Y144" s="246">
        <v>490</v>
      </c>
      <c r="Z144" s="246">
        <v>540</v>
      </c>
      <c r="AA144" s="898">
        <v>530</v>
      </c>
      <c r="AB144" s="246">
        <v>511</v>
      </c>
      <c r="AC144" s="835">
        <v>505</v>
      </c>
      <c r="AD144" s="816">
        <v>510</v>
      </c>
      <c r="AE144" s="835">
        <v>510</v>
      </c>
      <c r="AF144" s="816"/>
      <c r="AG144" s="835">
        <v>510</v>
      </c>
      <c r="AH144" s="913">
        <v>500</v>
      </c>
      <c r="AI144" s="937">
        <v>500</v>
      </c>
      <c r="AJ144" s="937">
        <v>490</v>
      </c>
      <c r="AK144" s="937">
        <v>260</v>
      </c>
      <c r="AL144" s="937"/>
    </row>
    <row r="145" spans="2:38" ht="27.4" customHeight="1" x14ac:dyDescent="0.4">
      <c r="B145" s="1332"/>
      <c r="C145" s="1382"/>
      <c r="D145" s="1035"/>
      <c r="E145" s="1036"/>
      <c r="F145" s="87" t="s">
        <v>526</v>
      </c>
      <c r="G145" s="83" t="s">
        <v>72</v>
      </c>
      <c r="H145" s="83" t="s">
        <v>73</v>
      </c>
      <c r="I145" s="83"/>
      <c r="J145" s="88"/>
      <c r="K145" s="246">
        <v>512</v>
      </c>
      <c r="L145" s="795"/>
      <c r="M145" s="507">
        <v>507</v>
      </c>
      <c r="N145" s="246">
        <v>497</v>
      </c>
      <c r="O145" s="255"/>
      <c r="P145" s="246">
        <v>522</v>
      </c>
      <c r="Q145" s="246"/>
      <c r="R145" s="246">
        <v>512</v>
      </c>
      <c r="S145" s="246"/>
      <c r="T145" s="246">
        <v>521</v>
      </c>
      <c r="U145" s="246"/>
      <c r="V145" s="246">
        <v>520</v>
      </c>
      <c r="W145" s="246"/>
      <c r="X145" s="246">
        <v>518</v>
      </c>
      <c r="Y145" s="246">
        <v>491</v>
      </c>
      <c r="Z145" s="246">
        <v>554</v>
      </c>
      <c r="AA145" s="898">
        <v>531</v>
      </c>
      <c r="AB145" s="246">
        <v>518</v>
      </c>
      <c r="AC145" s="835">
        <v>512</v>
      </c>
      <c r="AD145" s="816">
        <v>516</v>
      </c>
      <c r="AE145" s="835">
        <v>507</v>
      </c>
      <c r="AF145" s="816"/>
      <c r="AG145" s="835">
        <v>511</v>
      </c>
      <c r="AH145" s="913">
        <v>506</v>
      </c>
      <c r="AI145" s="937">
        <v>506</v>
      </c>
      <c r="AJ145" s="937">
        <v>496</v>
      </c>
      <c r="AK145" s="937">
        <v>541</v>
      </c>
      <c r="AL145" s="937"/>
    </row>
    <row r="146" spans="2:38" ht="27.4" customHeight="1" x14ac:dyDescent="0.4">
      <c r="B146" s="1332"/>
      <c r="C146" s="1382"/>
      <c r="D146" s="1035"/>
      <c r="E146" s="1036"/>
      <c r="F146" s="97" t="s">
        <v>527</v>
      </c>
      <c r="G146" s="56" t="s">
        <v>39</v>
      </c>
      <c r="H146" s="56" t="s">
        <v>345</v>
      </c>
      <c r="I146" s="56"/>
      <c r="J146" s="98"/>
      <c r="K146" s="246">
        <v>34</v>
      </c>
      <c r="L146" s="795"/>
      <c r="M146" s="507">
        <v>33.9</v>
      </c>
      <c r="N146" s="246">
        <v>33.799999999999997</v>
      </c>
      <c r="O146" s="255"/>
      <c r="P146" s="246">
        <v>33</v>
      </c>
      <c r="Q146" s="246"/>
      <c r="R146" s="246">
        <v>33.4</v>
      </c>
      <c r="S146" s="246"/>
      <c r="T146" s="246">
        <v>33.200000000000003</v>
      </c>
      <c r="U146" s="246"/>
      <c r="V146" s="246">
        <v>33.200000000000003</v>
      </c>
      <c r="W146" s="246"/>
      <c r="X146" s="246">
        <v>33.1</v>
      </c>
      <c r="Y146" s="246">
        <v>33.200000000000003</v>
      </c>
      <c r="Z146" s="246">
        <v>33.700000000000003</v>
      </c>
      <c r="AA146" s="898" t="s">
        <v>703</v>
      </c>
      <c r="AB146" s="246">
        <v>33.1</v>
      </c>
      <c r="AC146" s="835">
        <v>34</v>
      </c>
      <c r="AD146" s="816">
        <v>32.799999999999997</v>
      </c>
      <c r="AE146" s="835">
        <v>33.9</v>
      </c>
      <c r="AF146" s="816"/>
      <c r="AG146" s="835">
        <v>34.1</v>
      </c>
      <c r="AH146" s="913">
        <v>32.9</v>
      </c>
      <c r="AI146" s="937">
        <v>32.700000000000003</v>
      </c>
      <c r="AJ146" s="937">
        <v>32.9</v>
      </c>
      <c r="AK146" s="937">
        <v>32.799999999999997</v>
      </c>
      <c r="AL146" s="937"/>
    </row>
    <row r="147" spans="2:38" ht="27.4" customHeight="1" x14ac:dyDescent="0.4">
      <c r="B147" s="1332"/>
      <c r="C147" s="1382"/>
      <c r="D147" s="1035"/>
      <c r="E147" s="1036"/>
      <c r="F147" s="97" t="s">
        <v>531</v>
      </c>
      <c r="G147" s="56" t="s">
        <v>21</v>
      </c>
      <c r="H147" s="56" t="s">
        <v>21</v>
      </c>
      <c r="I147" s="56"/>
      <c r="J147" s="98" t="s">
        <v>532</v>
      </c>
      <c r="K147" s="767" t="s">
        <v>151</v>
      </c>
      <c r="L147" s="767"/>
      <c r="M147" s="507" t="s">
        <v>151</v>
      </c>
      <c r="N147" s="767" t="s">
        <v>502</v>
      </c>
      <c r="O147" s="255"/>
      <c r="P147" s="767" t="s">
        <v>151</v>
      </c>
      <c r="Q147" s="767"/>
      <c r="R147" s="767" t="s">
        <v>151</v>
      </c>
      <c r="S147" s="767"/>
      <c r="T147" s="767" t="s">
        <v>151</v>
      </c>
      <c r="U147" s="767"/>
      <c r="V147" s="767" t="s">
        <v>151</v>
      </c>
      <c r="W147" s="767"/>
      <c r="X147" s="767" t="s">
        <v>151</v>
      </c>
      <c r="Y147" s="767" t="s">
        <v>151</v>
      </c>
      <c r="Z147" s="767" t="s">
        <v>151</v>
      </c>
      <c r="AB147" s="767" t="s">
        <v>151</v>
      </c>
      <c r="AC147" s="849" t="s">
        <v>151</v>
      </c>
      <c r="AD147" s="834" t="s">
        <v>151</v>
      </c>
      <c r="AE147" s="849" t="s">
        <v>151</v>
      </c>
      <c r="AF147" s="834"/>
      <c r="AG147" s="849" t="s">
        <v>151</v>
      </c>
      <c r="AH147" s="929" t="s">
        <v>151</v>
      </c>
      <c r="AI147" s="953" t="s">
        <v>151</v>
      </c>
      <c r="AJ147" s="953" t="s">
        <v>151</v>
      </c>
      <c r="AK147" s="953" t="s">
        <v>151</v>
      </c>
      <c r="AL147" s="953"/>
    </row>
    <row r="148" spans="2:38" ht="27.4" customHeight="1" x14ac:dyDescent="0.4">
      <c r="B148" s="1332"/>
      <c r="C148" s="1382"/>
      <c r="D148" s="1035"/>
      <c r="E148" s="1036"/>
      <c r="F148" s="87" t="s">
        <v>540</v>
      </c>
      <c r="G148" s="83" t="s">
        <v>137</v>
      </c>
      <c r="H148" s="83" t="s">
        <v>345</v>
      </c>
      <c r="I148" s="83"/>
      <c r="J148" s="88"/>
      <c r="K148" s="246">
        <v>6.18</v>
      </c>
      <c r="L148" s="795"/>
      <c r="M148" s="507">
        <v>6.15</v>
      </c>
      <c r="N148" s="246">
        <v>6</v>
      </c>
      <c r="O148" s="255"/>
      <c r="P148" s="246">
        <v>6.4</v>
      </c>
      <c r="Q148" s="246"/>
      <c r="R148" s="246">
        <v>6.3</v>
      </c>
      <c r="S148" s="246"/>
      <c r="T148" s="246">
        <v>6.1</v>
      </c>
      <c r="U148" s="246"/>
      <c r="V148" s="246">
        <v>6.2</v>
      </c>
      <c r="W148" s="246"/>
      <c r="X148" s="246">
        <v>6.2</v>
      </c>
      <c r="Y148" s="246">
        <v>6.2</v>
      </c>
      <c r="Z148" s="246">
        <v>6.2</v>
      </c>
      <c r="AA148" s="898" t="s">
        <v>704</v>
      </c>
      <c r="AB148" s="246">
        <v>6.2</v>
      </c>
      <c r="AC148" s="835">
        <v>6.18</v>
      </c>
      <c r="AD148" s="816">
        <v>6.3</v>
      </c>
      <c r="AE148" s="835">
        <v>6.15</v>
      </c>
      <c r="AF148" s="816"/>
      <c r="AG148" s="835">
        <v>6.18</v>
      </c>
      <c r="AH148" s="913">
        <v>6.2</v>
      </c>
      <c r="AI148" s="937">
        <v>6.06</v>
      </c>
      <c r="AJ148" s="937">
        <v>6.1</v>
      </c>
      <c r="AK148" s="937">
        <v>6.2</v>
      </c>
      <c r="AL148" s="937"/>
    </row>
    <row r="149" spans="2:38" ht="27.4" customHeight="1" x14ac:dyDescent="0.4">
      <c r="B149" s="1332"/>
      <c r="C149" s="1382"/>
      <c r="D149" s="1035"/>
      <c r="E149" s="1036"/>
      <c r="F149" s="97" t="s">
        <v>540</v>
      </c>
      <c r="G149" s="56" t="s">
        <v>137</v>
      </c>
      <c r="H149" s="56" t="s">
        <v>73</v>
      </c>
      <c r="I149" s="56"/>
      <c r="J149" s="98"/>
      <c r="K149" s="246">
        <v>6.21</v>
      </c>
      <c r="L149" s="795"/>
      <c r="M149" s="507">
        <v>6.03</v>
      </c>
      <c r="N149" s="246">
        <v>6</v>
      </c>
      <c r="O149" s="255"/>
      <c r="P149" s="246">
        <v>6.29</v>
      </c>
      <c r="Q149" s="246"/>
      <c r="R149" s="246">
        <v>6.27</v>
      </c>
      <c r="S149" s="246"/>
      <c r="T149" s="246">
        <v>6.01</v>
      </c>
      <c r="U149" s="246"/>
      <c r="V149" s="246">
        <v>6.12</v>
      </c>
      <c r="W149" s="246"/>
      <c r="X149" s="246">
        <v>6.1</v>
      </c>
      <c r="Y149" s="246">
        <v>6.13</v>
      </c>
      <c r="Z149" s="246">
        <v>6.1</v>
      </c>
      <c r="AA149" s="898" t="s">
        <v>702</v>
      </c>
      <c r="AB149" s="246">
        <v>6.1</v>
      </c>
      <c r="AC149" s="835">
        <v>6.21</v>
      </c>
      <c r="AD149" s="816">
        <v>6.25</v>
      </c>
      <c r="AE149" s="835">
        <v>6.03</v>
      </c>
      <c r="AF149" s="816"/>
      <c r="AG149" s="835">
        <v>6.1</v>
      </c>
      <c r="AH149" s="913">
        <v>6.15</v>
      </c>
      <c r="AI149" s="937">
        <v>6.2</v>
      </c>
      <c r="AJ149" s="937">
        <v>6.03</v>
      </c>
      <c r="AK149" s="937">
        <v>6.12</v>
      </c>
      <c r="AL149" s="937"/>
    </row>
    <row r="150" spans="2:38" ht="27.4" customHeight="1" x14ac:dyDescent="0.4">
      <c r="B150" s="1332"/>
      <c r="C150" s="1382"/>
      <c r="D150" s="1035"/>
      <c r="E150" s="1036"/>
      <c r="F150" s="87" t="s">
        <v>538</v>
      </c>
      <c r="G150" s="83" t="s">
        <v>72</v>
      </c>
      <c r="H150" s="83" t="s">
        <v>345</v>
      </c>
      <c r="I150" s="83"/>
      <c r="J150" s="88"/>
      <c r="K150" s="246">
        <v>345</v>
      </c>
      <c r="L150" s="795"/>
      <c r="M150" s="507">
        <v>315</v>
      </c>
      <c r="N150" s="246">
        <v>345</v>
      </c>
      <c r="O150" s="255"/>
      <c r="P150" s="246">
        <v>305</v>
      </c>
      <c r="Q150" s="246"/>
      <c r="R150" s="246">
        <v>310</v>
      </c>
      <c r="S150" s="246"/>
      <c r="T150" s="246">
        <v>310</v>
      </c>
      <c r="U150" s="246"/>
      <c r="V150" s="246">
        <v>312</v>
      </c>
      <c r="W150" s="246"/>
      <c r="X150" s="246">
        <v>315</v>
      </c>
      <c r="Y150" s="246">
        <v>360</v>
      </c>
      <c r="Z150" s="246">
        <v>300</v>
      </c>
      <c r="AA150" s="898">
        <v>270</v>
      </c>
      <c r="AB150" s="246">
        <v>315</v>
      </c>
      <c r="AC150" s="835">
        <v>345</v>
      </c>
      <c r="AD150" s="816">
        <v>305</v>
      </c>
      <c r="AE150" s="835">
        <v>315</v>
      </c>
      <c r="AF150" s="816"/>
      <c r="AG150" s="835">
        <v>310</v>
      </c>
      <c r="AH150" s="913">
        <v>320</v>
      </c>
      <c r="AI150" s="937">
        <v>345</v>
      </c>
      <c r="AJ150" s="937">
        <v>345</v>
      </c>
      <c r="AK150" s="937">
        <v>270</v>
      </c>
      <c r="AL150" s="937"/>
    </row>
    <row r="151" spans="2:38" ht="27.4" customHeight="1" x14ac:dyDescent="0.4">
      <c r="B151" s="1332"/>
      <c r="C151" s="1382"/>
      <c r="D151" s="1035"/>
      <c r="E151" s="1036"/>
      <c r="F151" s="97" t="s">
        <v>538</v>
      </c>
      <c r="G151" s="56" t="s">
        <v>72</v>
      </c>
      <c r="H151" s="56" t="s">
        <v>73</v>
      </c>
      <c r="I151" s="56"/>
      <c r="J151" s="98"/>
      <c r="K151" s="246">
        <v>345</v>
      </c>
      <c r="L151" s="795"/>
      <c r="M151" s="507">
        <v>330</v>
      </c>
      <c r="N151" s="246">
        <v>350</v>
      </c>
      <c r="O151" s="255"/>
      <c r="P151" s="246">
        <v>310</v>
      </c>
      <c r="Q151" s="246"/>
      <c r="R151" s="246">
        <v>315</v>
      </c>
      <c r="S151" s="246"/>
      <c r="T151" s="246">
        <v>310</v>
      </c>
      <c r="U151" s="246"/>
      <c r="V151" s="246">
        <v>310</v>
      </c>
      <c r="W151" s="246"/>
      <c r="X151" s="246">
        <v>312</v>
      </c>
      <c r="Y151" s="246">
        <v>370</v>
      </c>
      <c r="Z151" s="246">
        <v>302</v>
      </c>
      <c r="AA151" s="898">
        <v>280</v>
      </c>
      <c r="AB151" s="246">
        <v>312</v>
      </c>
      <c r="AC151" s="835">
        <v>345</v>
      </c>
      <c r="AD151" s="816">
        <v>315</v>
      </c>
      <c r="AE151" s="835">
        <v>330</v>
      </c>
      <c r="AF151" s="816"/>
      <c r="AG151" s="835">
        <v>315</v>
      </c>
      <c r="AH151" s="913">
        <v>330</v>
      </c>
      <c r="AI151" s="937">
        <v>330</v>
      </c>
      <c r="AJ151" s="937">
        <v>365</v>
      </c>
      <c r="AK151" s="937">
        <v>275</v>
      </c>
      <c r="AL151" s="937"/>
    </row>
    <row r="152" spans="2:38" ht="27.4" customHeight="1" thickBot="1" x14ac:dyDescent="0.45">
      <c r="B152" s="1332"/>
      <c r="C152" s="1382"/>
      <c r="D152" s="1370"/>
      <c r="E152" s="1371"/>
      <c r="F152" s="359" t="s">
        <v>537</v>
      </c>
      <c r="G152" s="360" t="s">
        <v>137</v>
      </c>
      <c r="H152" s="360" t="s">
        <v>345</v>
      </c>
      <c r="I152" s="360"/>
      <c r="J152" s="361"/>
      <c r="K152" s="261">
        <v>7</v>
      </c>
      <c r="L152" s="796"/>
      <c r="M152" s="511">
        <v>7.2</v>
      </c>
      <c r="N152" s="261">
        <v>7</v>
      </c>
      <c r="O152" s="308"/>
      <c r="P152" s="261">
        <v>7</v>
      </c>
      <c r="Q152" s="261"/>
      <c r="R152" s="261">
        <v>7.3</v>
      </c>
      <c r="S152" s="261"/>
      <c r="T152" s="261">
        <v>7.3</v>
      </c>
      <c r="U152" s="261"/>
      <c r="V152" s="261">
        <v>7.2</v>
      </c>
      <c r="W152" s="261"/>
      <c r="X152" s="261">
        <v>7.2</v>
      </c>
      <c r="Y152" s="261">
        <v>7</v>
      </c>
      <c r="Z152" s="261">
        <v>7.2</v>
      </c>
      <c r="AA152" s="898" t="s">
        <v>705</v>
      </c>
      <c r="AB152" s="261">
        <v>7.2</v>
      </c>
      <c r="AC152" s="835">
        <v>7</v>
      </c>
      <c r="AD152" s="816">
        <v>7</v>
      </c>
      <c r="AE152" s="835">
        <v>7.2</v>
      </c>
      <c r="AF152" s="816"/>
      <c r="AG152" s="835">
        <v>7</v>
      </c>
      <c r="AH152" s="913">
        <v>7.2</v>
      </c>
      <c r="AI152" s="937">
        <v>7</v>
      </c>
      <c r="AJ152" s="937">
        <v>7</v>
      </c>
      <c r="AK152" s="937">
        <v>7.4</v>
      </c>
      <c r="AL152" s="937"/>
    </row>
    <row r="153" spans="2:38" ht="27.4" customHeight="1" thickTop="1" x14ac:dyDescent="0.4">
      <c r="B153" s="1332"/>
      <c r="C153" s="1382"/>
      <c r="D153" s="1019" t="s">
        <v>541</v>
      </c>
      <c r="E153" s="1020"/>
      <c r="F153" s="99" t="s">
        <v>542</v>
      </c>
      <c r="G153" s="57" t="s">
        <v>72</v>
      </c>
      <c r="H153" s="57" t="s">
        <v>345</v>
      </c>
      <c r="I153" s="57"/>
      <c r="J153" s="100"/>
      <c r="K153" s="347">
        <v>110</v>
      </c>
      <c r="L153" s="799"/>
      <c r="M153" s="513">
        <v>110</v>
      </c>
      <c r="N153" s="347">
        <v>100</v>
      </c>
      <c r="O153" s="769"/>
      <c r="P153" s="347">
        <v>100</v>
      </c>
      <c r="Q153" s="347"/>
      <c r="R153" s="347">
        <v>110</v>
      </c>
      <c r="S153" s="347"/>
      <c r="T153" s="347">
        <v>110</v>
      </c>
      <c r="U153" s="347"/>
      <c r="V153" s="347">
        <v>110</v>
      </c>
      <c r="W153" s="347"/>
      <c r="X153" s="347">
        <v>110</v>
      </c>
      <c r="Y153" s="347">
        <v>110</v>
      </c>
      <c r="Z153" s="347">
        <v>110</v>
      </c>
      <c r="AA153" s="898">
        <v>100</v>
      </c>
      <c r="AB153" s="347">
        <v>110</v>
      </c>
      <c r="AC153" s="838">
        <v>110</v>
      </c>
      <c r="AD153" s="820">
        <v>105</v>
      </c>
      <c r="AE153" s="838">
        <v>110</v>
      </c>
      <c r="AF153" s="820"/>
      <c r="AG153" s="838">
        <v>110</v>
      </c>
      <c r="AH153" s="918">
        <v>105</v>
      </c>
      <c r="AI153" s="942">
        <v>110</v>
      </c>
      <c r="AJ153" s="942">
        <v>110</v>
      </c>
      <c r="AK153" s="942">
        <v>110</v>
      </c>
      <c r="AL153" s="942"/>
    </row>
    <row r="154" spans="2:38" ht="27.4" customHeight="1" thickBot="1" x14ac:dyDescent="0.45">
      <c r="B154" s="1332"/>
      <c r="C154" s="1382"/>
      <c r="D154" s="1019"/>
      <c r="E154" s="1020"/>
      <c r="F154" s="339" t="s">
        <v>401</v>
      </c>
      <c r="G154" s="111" t="s">
        <v>77</v>
      </c>
      <c r="H154" s="111" t="s">
        <v>217</v>
      </c>
      <c r="I154" s="111"/>
      <c r="J154" s="112"/>
      <c r="K154" s="352">
        <v>0</v>
      </c>
      <c r="L154" s="1000"/>
      <c r="M154" s="514">
        <v>0</v>
      </c>
      <c r="N154" s="352">
        <v>0</v>
      </c>
      <c r="O154" s="770"/>
      <c r="P154" s="352">
        <v>0</v>
      </c>
      <c r="Q154" s="352"/>
      <c r="R154" s="352">
        <v>0</v>
      </c>
      <c r="S154" s="352"/>
      <c r="T154" s="352">
        <v>0</v>
      </c>
      <c r="U154" s="352"/>
      <c r="V154" s="352">
        <v>0</v>
      </c>
      <c r="W154" s="352"/>
      <c r="X154" s="352">
        <v>0</v>
      </c>
      <c r="Y154" s="352">
        <v>0</v>
      </c>
      <c r="Z154" s="352">
        <v>0</v>
      </c>
      <c r="AA154" s="898">
        <v>0</v>
      </c>
      <c r="AB154" s="352">
        <v>0</v>
      </c>
      <c r="AC154" s="839">
        <v>0</v>
      </c>
      <c r="AD154" s="822">
        <v>0</v>
      </c>
      <c r="AE154" s="839">
        <v>0</v>
      </c>
      <c r="AF154" s="822"/>
      <c r="AG154" s="839">
        <v>0</v>
      </c>
      <c r="AH154" s="919">
        <v>0</v>
      </c>
      <c r="AI154" s="943">
        <v>0</v>
      </c>
      <c r="AJ154" s="943">
        <v>0</v>
      </c>
      <c r="AK154" s="943">
        <v>0</v>
      </c>
      <c r="AL154" s="943"/>
    </row>
    <row r="155" spans="2:38" ht="27.4" customHeight="1" thickTop="1" x14ac:dyDescent="0.4">
      <c r="B155" s="1332"/>
      <c r="C155" s="1382"/>
      <c r="D155" s="1023" t="s">
        <v>543</v>
      </c>
      <c r="E155" s="1024"/>
      <c r="F155" s="354" t="s">
        <v>544</v>
      </c>
      <c r="G155" s="355" t="s">
        <v>21</v>
      </c>
      <c r="H155" s="355"/>
      <c r="I155" s="355"/>
      <c r="J155" s="356" t="s">
        <v>545</v>
      </c>
      <c r="K155" s="347"/>
      <c r="L155" s="799"/>
      <c r="M155" s="991">
        <v>1</v>
      </c>
      <c r="N155" s="347"/>
      <c r="O155" s="769"/>
      <c r="P155" s="985">
        <v>1</v>
      </c>
      <c r="Q155" s="347"/>
      <c r="R155" s="985">
        <v>1</v>
      </c>
      <c r="S155" s="347"/>
      <c r="T155" s="985" t="s">
        <v>452</v>
      </c>
      <c r="U155" s="347"/>
      <c r="V155" s="985" t="s">
        <v>453</v>
      </c>
      <c r="W155" s="347"/>
      <c r="X155" s="985" t="s">
        <v>706</v>
      </c>
      <c r="Y155" s="347"/>
      <c r="Z155" s="985" t="s">
        <v>706</v>
      </c>
      <c r="AB155" s="985" t="s">
        <v>706</v>
      </c>
      <c r="AC155" s="838" t="s">
        <v>453</v>
      </c>
      <c r="AD155" s="984">
        <v>1</v>
      </c>
      <c r="AE155" s="838" t="s">
        <v>453</v>
      </c>
      <c r="AF155" s="820"/>
      <c r="AG155" s="838" t="s">
        <v>452</v>
      </c>
      <c r="AH155" s="918" t="s">
        <v>452</v>
      </c>
      <c r="AI155" s="942" t="s">
        <v>452</v>
      </c>
      <c r="AJ155" s="942" t="s">
        <v>452</v>
      </c>
      <c r="AK155" s="942" t="s">
        <v>452</v>
      </c>
      <c r="AL155" s="942"/>
    </row>
    <row r="156" spans="2:38" ht="27.4" customHeight="1" thickBot="1" x14ac:dyDescent="0.45">
      <c r="B156" s="1332"/>
      <c r="C156" s="1382"/>
      <c r="D156" s="1021"/>
      <c r="E156" s="1022"/>
      <c r="F156" s="359" t="s">
        <v>546</v>
      </c>
      <c r="G156" s="360"/>
      <c r="H156" s="360"/>
      <c r="I156" s="360"/>
      <c r="J156" s="361"/>
      <c r="K156" s="520"/>
      <c r="L156" s="1004"/>
      <c r="M156" s="669"/>
      <c r="N156" s="520"/>
      <c r="O156" s="771"/>
      <c r="P156" s="520"/>
      <c r="Q156" s="520"/>
      <c r="R156" s="520"/>
      <c r="S156" s="520"/>
      <c r="T156" s="520" t="s">
        <v>21</v>
      </c>
      <c r="U156" s="520"/>
      <c r="V156" s="520"/>
      <c r="W156" s="520"/>
      <c r="X156" s="520"/>
      <c r="Y156" s="520"/>
      <c r="Z156" s="520"/>
      <c r="AA156" s="901"/>
      <c r="AB156" s="520"/>
      <c r="AC156" s="850"/>
      <c r="AD156" s="826"/>
      <c r="AE156" s="850"/>
      <c r="AF156" s="826"/>
      <c r="AG156" s="850"/>
      <c r="AH156" s="930"/>
      <c r="AI156" s="954" t="s">
        <v>21</v>
      </c>
      <c r="AJ156" s="943" t="s">
        <v>21</v>
      </c>
      <c r="AK156" s="943" t="s">
        <v>21</v>
      </c>
      <c r="AL156" s="943"/>
    </row>
    <row r="157" spans="2:38" ht="27.4" customHeight="1" thickTop="1" x14ac:dyDescent="0.4">
      <c r="B157" s="1332"/>
      <c r="C157" s="1382"/>
      <c r="D157" s="1033" t="s">
        <v>547</v>
      </c>
      <c r="E157" s="1378"/>
      <c r="F157" s="99" t="s">
        <v>548</v>
      </c>
      <c r="G157" s="57" t="s">
        <v>137</v>
      </c>
      <c r="H157" s="57" t="s">
        <v>345</v>
      </c>
      <c r="I157" s="57"/>
      <c r="J157" s="100"/>
      <c r="K157" s="260">
        <v>6.1</v>
      </c>
      <c r="L157" s="798"/>
      <c r="M157" s="515">
        <v>6.1</v>
      </c>
      <c r="N157" s="260">
        <v>6.1</v>
      </c>
      <c r="O157" s="772"/>
      <c r="P157" s="260">
        <v>6.1</v>
      </c>
      <c r="Q157" s="260"/>
      <c r="R157" s="260">
        <v>6.2</v>
      </c>
      <c r="S157" s="260"/>
      <c r="T157" s="260">
        <v>6.2</v>
      </c>
      <c r="U157" s="260"/>
      <c r="V157" s="260">
        <v>6.2</v>
      </c>
      <c r="W157" s="260"/>
      <c r="X157" s="260">
        <v>6.2</v>
      </c>
      <c r="Y157" s="260">
        <v>6.2</v>
      </c>
      <c r="Z157" s="260">
        <v>6.2</v>
      </c>
      <c r="AA157" s="898" t="s">
        <v>702</v>
      </c>
      <c r="AB157" s="260">
        <v>6.2</v>
      </c>
      <c r="AC157" s="836">
        <v>6.1</v>
      </c>
      <c r="AD157" s="818">
        <v>6.2</v>
      </c>
      <c r="AE157" s="836">
        <v>6.1</v>
      </c>
      <c r="AF157" s="818"/>
      <c r="AG157" s="836">
        <v>6.19</v>
      </c>
      <c r="AH157" s="917">
        <v>6.25</v>
      </c>
      <c r="AI157" s="941">
        <v>6.19</v>
      </c>
      <c r="AJ157" s="941">
        <v>6.1</v>
      </c>
      <c r="AK157" s="941">
        <v>6.2</v>
      </c>
      <c r="AL157" s="941"/>
    </row>
    <row r="158" spans="2:38" ht="27.4" customHeight="1" x14ac:dyDescent="0.4">
      <c r="B158" s="1332"/>
      <c r="C158" s="1382"/>
      <c r="D158" s="1035"/>
      <c r="E158" s="1379"/>
      <c r="F158" s="87" t="s">
        <v>548</v>
      </c>
      <c r="G158" s="83" t="s">
        <v>137</v>
      </c>
      <c r="H158" s="83" t="s">
        <v>217</v>
      </c>
      <c r="I158" s="83"/>
      <c r="J158" s="88"/>
      <c r="K158" s="246">
        <v>6.18</v>
      </c>
      <c r="L158" s="798"/>
      <c r="M158" s="515">
        <v>6.2</v>
      </c>
      <c r="N158" s="246">
        <v>6.2</v>
      </c>
      <c r="O158" s="772"/>
      <c r="P158" s="246">
        <v>6.2</v>
      </c>
      <c r="Q158" s="246"/>
      <c r="R158" s="246">
        <v>6.2</v>
      </c>
      <c r="S158" s="246"/>
      <c r="T158" s="246">
        <v>6.2</v>
      </c>
      <c r="U158" s="246"/>
      <c r="V158" s="246">
        <v>6.2</v>
      </c>
      <c r="W158" s="246"/>
      <c r="X158" s="246">
        <v>6.2</v>
      </c>
      <c r="Y158" s="246">
        <v>6.19</v>
      </c>
      <c r="Z158" s="246">
        <v>6.2</v>
      </c>
      <c r="AA158" s="898" t="s">
        <v>707</v>
      </c>
      <c r="AB158" s="246">
        <v>6.2</v>
      </c>
      <c r="AC158" s="835">
        <v>6.18</v>
      </c>
      <c r="AD158" s="816">
        <v>6.17</v>
      </c>
      <c r="AE158" s="835">
        <v>6.2</v>
      </c>
      <c r="AF158" s="816"/>
      <c r="AG158" s="835">
        <v>6.14</v>
      </c>
      <c r="AH158" s="913">
        <v>6.24</v>
      </c>
      <c r="AI158" s="937">
        <v>6.1</v>
      </c>
      <c r="AJ158" s="937">
        <v>6.07</v>
      </c>
      <c r="AK158" s="937">
        <v>6.18</v>
      </c>
      <c r="AL158" s="937"/>
    </row>
    <row r="159" spans="2:38" ht="27.4" customHeight="1" x14ac:dyDescent="0.4">
      <c r="B159" s="1332"/>
      <c r="C159" s="1382"/>
      <c r="D159" s="1035"/>
      <c r="E159" s="1379"/>
      <c r="F159" s="97" t="s">
        <v>549</v>
      </c>
      <c r="G159" s="56" t="s">
        <v>137</v>
      </c>
      <c r="H159" s="56" t="s">
        <v>345</v>
      </c>
      <c r="I159" s="56"/>
      <c r="J159" s="98"/>
      <c r="K159" s="246">
        <v>6.15</v>
      </c>
      <c r="L159" s="798"/>
      <c r="M159" s="515">
        <v>6.15</v>
      </c>
      <c r="N159" s="246">
        <v>6.12</v>
      </c>
      <c r="O159" s="772"/>
      <c r="P159" s="246">
        <v>6.15</v>
      </c>
      <c r="Q159" s="246"/>
      <c r="R159" s="246">
        <v>6.22</v>
      </c>
      <c r="S159" s="246"/>
      <c r="T159" s="246">
        <v>6.22</v>
      </c>
      <c r="U159" s="246"/>
      <c r="V159" s="246">
        <v>6.21</v>
      </c>
      <c r="W159" s="246"/>
      <c r="X159" s="246">
        <v>6.2</v>
      </c>
      <c r="Y159" s="246">
        <v>6.21</v>
      </c>
      <c r="Z159" s="246">
        <v>6.2</v>
      </c>
      <c r="AA159" s="898" t="s">
        <v>708</v>
      </c>
      <c r="AB159" s="246">
        <v>6.2</v>
      </c>
      <c r="AC159" s="835">
        <v>6.15</v>
      </c>
      <c r="AD159" s="816">
        <v>6.2</v>
      </c>
      <c r="AE159" s="835">
        <v>6.15</v>
      </c>
      <c r="AF159" s="816"/>
      <c r="AG159" s="835">
        <v>6.2</v>
      </c>
      <c r="AH159" s="913">
        <v>6.3</v>
      </c>
      <c r="AI159" s="937">
        <v>6.2</v>
      </c>
      <c r="AJ159" s="937">
        <v>6.2</v>
      </c>
      <c r="AK159" s="937">
        <v>6.23</v>
      </c>
      <c r="AL159" s="937"/>
    </row>
    <row r="160" spans="2:38" ht="27.4" customHeight="1" x14ac:dyDescent="0.4">
      <c r="B160" s="1332"/>
      <c r="C160" s="1382"/>
      <c r="D160" s="1035"/>
      <c r="E160" s="1379"/>
      <c r="F160" s="87" t="s">
        <v>549</v>
      </c>
      <c r="G160" s="83" t="s">
        <v>137</v>
      </c>
      <c r="H160" s="83" t="s">
        <v>217</v>
      </c>
      <c r="I160" s="83"/>
      <c r="J160" s="88"/>
      <c r="K160" s="246">
        <v>6.22</v>
      </c>
      <c r="L160" s="798"/>
      <c r="M160" s="515">
        <v>6.19</v>
      </c>
      <c r="N160" s="246">
        <v>6.23</v>
      </c>
      <c r="O160" s="772"/>
      <c r="P160" s="246">
        <v>6.19</v>
      </c>
      <c r="Q160" s="246"/>
      <c r="R160" s="246">
        <v>6.23</v>
      </c>
      <c r="S160" s="246"/>
      <c r="T160" s="246">
        <v>6.23</v>
      </c>
      <c r="U160" s="246"/>
      <c r="V160" s="246">
        <v>6.22</v>
      </c>
      <c r="W160" s="246"/>
      <c r="X160" s="246">
        <v>6.21</v>
      </c>
      <c r="Y160" s="246">
        <v>6.23</v>
      </c>
      <c r="Z160" s="246">
        <v>6.21</v>
      </c>
      <c r="AA160" s="898" t="s">
        <v>709</v>
      </c>
      <c r="AB160" s="246">
        <v>6.21</v>
      </c>
      <c r="AC160" s="835">
        <v>6.22</v>
      </c>
      <c r="AD160" s="816">
        <v>6.19</v>
      </c>
      <c r="AE160" s="835">
        <v>6.19</v>
      </c>
      <c r="AF160" s="816"/>
      <c r="AG160" s="835">
        <v>6.15</v>
      </c>
      <c r="AH160" s="913">
        <v>6.27</v>
      </c>
      <c r="AI160" s="937">
        <v>6.13</v>
      </c>
      <c r="AJ160" s="937">
        <v>6.08</v>
      </c>
      <c r="AK160" s="937">
        <v>6.22</v>
      </c>
      <c r="AL160" s="937"/>
    </row>
    <row r="161" spans="2:38" ht="27.4" customHeight="1" x14ac:dyDescent="0.4">
      <c r="B161" s="1332"/>
      <c r="C161" s="1382"/>
      <c r="D161" s="1035"/>
      <c r="E161" s="1379"/>
      <c r="F161" s="97" t="s">
        <v>550</v>
      </c>
      <c r="G161" s="56" t="s">
        <v>137</v>
      </c>
      <c r="H161" s="56" t="s">
        <v>345</v>
      </c>
      <c r="I161" s="56"/>
      <c r="J161" s="98"/>
      <c r="K161" s="246">
        <v>6.1</v>
      </c>
      <c r="L161" s="798"/>
      <c r="M161" s="515">
        <v>6.15</v>
      </c>
      <c r="N161" s="246">
        <v>6.1</v>
      </c>
      <c r="O161" s="772"/>
      <c r="P161" s="246">
        <v>6.15</v>
      </c>
      <c r="Q161" s="246"/>
      <c r="R161" s="246">
        <v>6.21</v>
      </c>
      <c r="S161" s="246"/>
      <c r="T161" s="246">
        <v>6.21</v>
      </c>
      <c r="U161" s="246"/>
      <c r="V161" s="246">
        <v>6.21</v>
      </c>
      <c r="W161" s="246"/>
      <c r="X161" s="246">
        <v>6.22</v>
      </c>
      <c r="Y161" s="246">
        <v>6.21</v>
      </c>
      <c r="Z161" s="246">
        <v>6.22</v>
      </c>
      <c r="AA161" s="898" t="s">
        <v>708</v>
      </c>
      <c r="AB161" s="246">
        <v>6.22</v>
      </c>
      <c r="AC161" s="835">
        <v>6.1</v>
      </c>
      <c r="AD161" s="816">
        <v>6.2</v>
      </c>
      <c r="AE161" s="835">
        <v>6.15</v>
      </c>
      <c r="AF161" s="816"/>
      <c r="AG161" s="835">
        <v>6.2</v>
      </c>
      <c r="AH161" s="913">
        <v>6.3</v>
      </c>
      <c r="AI161" s="937">
        <v>6.2</v>
      </c>
      <c r="AJ161" s="937">
        <v>6.2</v>
      </c>
      <c r="AK161" s="937">
        <v>6.2</v>
      </c>
      <c r="AL161" s="937"/>
    </row>
    <row r="162" spans="2:38" ht="27.4" customHeight="1" x14ac:dyDescent="0.4">
      <c r="B162" s="1332"/>
      <c r="C162" s="1382"/>
      <c r="D162" s="1035"/>
      <c r="E162" s="1379"/>
      <c r="F162" s="87" t="s">
        <v>551</v>
      </c>
      <c r="G162" s="83" t="s">
        <v>137</v>
      </c>
      <c r="H162" s="83" t="s">
        <v>217</v>
      </c>
      <c r="I162" s="83"/>
      <c r="J162" s="88"/>
      <c r="K162" s="246">
        <v>6.18</v>
      </c>
      <c r="L162" s="798"/>
      <c r="M162" s="515">
        <v>6.18</v>
      </c>
      <c r="N162" s="246">
        <v>6.21</v>
      </c>
      <c r="O162" s="772"/>
      <c r="P162" s="246">
        <v>6.18</v>
      </c>
      <c r="Q162" s="246"/>
      <c r="R162" s="246">
        <v>6.21</v>
      </c>
      <c r="S162" s="246"/>
      <c r="T162" s="246">
        <v>6.2</v>
      </c>
      <c r="U162" s="246"/>
      <c r="V162" s="246">
        <v>6.21</v>
      </c>
      <c r="W162" s="246"/>
      <c r="X162" s="246">
        <v>6.22</v>
      </c>
      <c r="Y162" s="246">
        <v>6.22</v>
      </c>
      <c r="Z162" s="246">
        <v>6.22</v>
      </c>
      <c r="AA162" s="898" t="s">
        <v>710</v>
      </c>
      <c r="AB162" s="246">
        <v>6.22</v>
      </c>
      <c r="AC162" s="835">
        <v>6.18</v>
      </c>
      <c r="AD162" s="816">
        <v>6.16</v>
      </c>
      <c r="AE162" s="835">
        <v>6.18</v>
      </c>
      <c r="AF162" s="816"/>
      <c r="AG162" s="835">
        <v>6.15</v>
      </c>
      <c r="AH162" s="913">
        <v>6.25</v>
      </c>
      <c r="AI162" s="937">
        <v>6.11</v>
      </c>
      <c r="AJ162" s="937">
        <v>6.09</v>
      </c>
      <c r="AK162" s="937">
        <v>6.23</v>
      </c>
      <c r="AL162" s="937"/>
    </row>
    <row r="163" spans="2:38" ht="27.4" customHeight="1" x14ac:dyDescent="0.4">
      <c r="B163" s="1332"/>
      <c r="C163" s="1382"/>
      <c r="D163" s="1035"/>
      <c r="E163" s="1379"/>
      <c r="F163" s="97" t="s">
        <v>552</v>
      </c>
      <c r="G163" s="56" t="s">
        <v>137</v>
      </c>
      <c r="H163" s="56" t="s">
        <v>345</v>
      </c>
      <c r="I163" s="56"/>
      <c r="J163" s="98"/>
      <c r="K163" s="246">
        <v>6.13</v>
      </c>
      <c r="L163" s="798"/>
      <c r="M163" s="515">
        <v>6.15</v>
      </c>
      <c r="N163" s="246">
        <v>6.12</v>
      </c>
      <c r="O163" s="772"/>
      <c r="P163" s="246">
        <v>6.15</v>
      </c>
      <c r="Q163" s="246"/>
      <c r="R163" s="246">
        <v>6.21</v>
      </c>
      <c r="S163" s="246"/>
      <c r="T163" s="246">
        <v>6.22</v>
      </c>
      <c r="U163" s="246"/>
      <c r="V163" s="246">
        <v>6.22</v>
      </c>
      <c r="W163" s="246"/>
      <c r="X163" s="246">
        <v>6.22</v>
      </c>
      <c r="Y163" s="246">
        <v>6.21</v>
      </c>
      <c r="Z163" s="246">
        <v>6.22</v>
      </c>
      <c r="AA163" s="898" t="s">
        <v>711</v>
      </c>
      <c r="AB163" s="246">
        <v>6.22</v>
      </c>
      <c r="AC163" s="835">
        <v>6.13</v>
      </c>
      <c r="AD163" s="816">
        <v>6.2</v>
      </c>
      <c r="AE163" s="835">
        <v>6.15</v>
      </c>
      <c r="AF163" s="816"/>
      <c r="AG163" s="835">
        <v>6.2</v>
      </c>
      <c r="AH163" s="913">
        <v>6.3</v>
      </c>
      <c r="AI163" s="937">
        <v>6.2</v>
      </c>
      <c r="AJ163" s="937">
        <v>6.2</v>
      </c>
      <c r="AK163" s="937">
        <v>6.2</v>
      </c>
      <c r="AL163" s="937"/>
    </row>
    <row r="164" spans="2:38" ht="27.4" customHeight="1" x14ac:dyDescent="0.4">
      <c r="B164" s="1332"/>
      <c r="C164" s="1382"/>
      <c r="D164" s="1035"/>
      <c r="E164" s="1379"/>
      <c r="F164" s="87" t="s">
        <v>553</v>
      </c>
      <c r="G164" s="83" t="s">
        <v>137</v>
      </c>
      <c r="H164" s="83" t="s">
        <v>217</v>
      </c>
      <c r="I164" s="83"/>
      <c r="J164" s="88"/>
      <c r="K164" s="246">
        <v>6.21</v>
      </c>
      <c r="L164" s="798"/>
      <c r="M164" s="515">
        <v>6.21</v>
      </c>
      <c r="N164" s="246">
        <v>6.22</v>
      </c>
      <c r="O164" s="772"/>
      <c r="P164" s="246">
        <v>6.21</v>
      </c>
      <c r="Q164" s="246"/>
      <c r="R164" s="246">
        <v>6.22</v>
      </c>
      <c r="S164" s="246"/>
      <c r="T164" s="246">
        <v>6.22</v>
      </c>
      <c r="U164" s="246"/>
      <c r="V164" s="246">
        <v>6.22</v>
      </c>
      <c r="W164" s="246"/>
      <c r="X164" s="246">
        <v>6.22</v>
      </c>
      <c r="Y164" s="246">
        <v>6.22</v>
      </c>
      <c r="Z164" s="246">
        <v>6.22</v>
      </c>
      <c r="AA164" s="898" t="s">
        <v>710</v>
      </c>
      <c r="AB164" s="246">
        <v>6.22</v>
      </c>
      <c r="AC164" s="835">
        <v>6.21</v>
      </c>
      <c r="AD164" s="816">
        <v>6.17</v>
      </c>
      <c r="AE164" s="835">
        <v>6.21</v>
      </c>
      <c r="AF164" s="816"/>
      <c r="AG164" s="835">
        <v>6.16</v>
      </c>
      <c r="AH164" s="913">
        <v>6.25</v>
      </c>
      <c r="AI164" s="937">
        <v>6.13</v>
      </c>
      <c r="AJ164" s="937">
        <v>6.07</v>
      </c>
      <c r="AK164" s="937">
        <v>6.24</v>
      </c>
      <c r="AL164" s="937"/>
    </row>
    <row r="165" spans="2:38" ht="27.4" customHeight="1" x14ac:dyDescent="0.4">
      <c r="B165" s="1332"/>
      <c r="C165" s="1382"/>
      <c r="D165" s="1035"/>
      <c r="E165" s="1379"/>
      <c r="F165" s="97" t="s">
        <v>554</v>
      </c>
      <c r="G165" s="56" t="s">
        <v>137</v>
      </c>
      <c r="H165" s="56" t="s">
        <v>345</v>
      </c>
      <c r="I165" s="56"/>
      <c r="J165" s="98"/>
      <c r="K165" s="246">
        <v>6.1</v>
      </c>
      <c r="L165" s="798"/>
      <c r="M165" s="411">
        <v>6.1</v>
      </c>
      <c r="N165" s="246">
        <v>6.12</v>
      </c>
      <c r="O165" s="335"/>
      <c r="P165" s="246">
        <v>6.1</v>
      </c>
      <c r="Q165" s="246"/>
      <c r="R165" s="246">
        <v>6.21</v>
      </c>
      <c r="S165" s="246"/>
      <c r="T165" s="246">
        <v>6.21</v>
      </c>
      <c r="U165" s="246"/>
      <c r="V165" s="246">
        <v>6.22</v>
      </c>
      <c r="W165" s="246"/>
      <c r="X165" s="246">
        <v>6.23</v>
      </c>
      <c r="Y165" s="246">
        <v>6.21</v>
      </c>
      <c r="Z165" s="246">
        <v>6.23</v>
      </c>
      <c r="AA165" s="898" t="s">
        <v>709</v>
      </c>
      <c r="AB165" s="246">
        <v>6.23</v>
      </c>
      <c r="AC165" s="835">
        <v>6.1</v>
      </c>
      <c r="AD165" s="816">
        <v>6.2</v>
      </c>
      <c r="AE165" s="835">
        <v>6.1</v>
      </c>
      <c r="AF165" s="816"/>
      <c r="AG165" s="835">
        <v>6.2</v>
      </c>
      <c r="AH165" s="913">
        <v>6.3</v>
      </c>
      <c r="AI165" s="937">
        <v>6.2</v>
      </c>
      <c r="AJ165" s="937">
        <v>6.2</v>
      </c>
      <c r="AK165" s="937">
        <v>6.2</v>
      </c>
      <c r="AL165" s="937"/>
    </row>
    <row r="166" spans="2:38" ht="27.4" customHeight="1" x14ac:dyDescent="0.4">
      <c r="B166" s="1332"/>
      <c r="C166" s="1382"/>
      <c r="D166" s="1035"/>
      <c r="E166" s="1379"/>
      <c r="F166" s="87" t="s">
        <v>555</v>
      </c>
      <c r="G166" s="83" t="s">
        <v>137</v>
      </c>
      <c r="H166" s="83" t="s">
        <v>217</v>
      </c>
      <c r="I166" s="83"/>
      <c r="J166" s="88"/>
      <c r="K166" s="246">
        <v>6.18</v>
      </c>
      <c r="L166" s="798"/>
      <c r="M166" s="411">
        <v>6.2</v>
      </c>
      <c r="N166" s="246">
        <v>6.22</v>
      </c>
      <c r="O166" s="335"/>
      <c r="P166" s="246">
        <v>6.2</v>
      </c>
      <c r="Q166" s="246"/>
      <c r="R166" s="246">
        <v>6.22</v>
      </c>
      <c r="S166" s="246"/>
      <c r="T166" s="246">
        <v>6.21</v>
      </c>
      <c r="U166" s="246"/>
      <c r="V166" s="246">
        <v>6.23</v>
      </c>
      <c r="W166" s="246"/>
      <c r="X166" s="246">
        <v>6.22</v>
      </c>
      <c r="Y166" s="246">
        <v>6.2</v>
      </c>
      <c r="Z166" s="246">
        <v>6.22</v>
      </c>
      <c r="AA166" s="898" t="s">
        <v>710</v>
      </c>
      <c r="AB166" s="246">
        <v>6.22</v>
      </c>
      <c r="AC166" s="835">
        <v>6.18</v>
      </c>
      <c r="AD166" s="816">
        <v>6.17</v>
      </c>
      <c r="AE166" s="835">
        <v>6.2</v>
      </c>
      <c r="AF166" s="816"/>
      <c r="AG166" s="835">
        <v>6.15</v>
      </c>
      <c r="AH166" s="913">
        <v>6.25</v>
      </c>
      <c r="AI166" s="937">
        <v>6.12</v>
      </c>
      <c r="AJ166" s="937">
        <v>6.08</v>
      </c>
      <c r="AK166" s="937">
        <v>6.2</v>
      </c>
      <c r="AL166" s="937"/>
    </row>
    <row r="167" spans="2:38" ht="27.4" customHeight="1" x14ac:dyDescent="0.4">
      <c r="B167" s="1332"/>
      <c r="C167" s="1382"/>
      <c r="D167" s="1035"/>
      <c r="E167" s="1379"/>
      <c r="F167" s="97" t="s">
        <v>557</v>
      </c>
      <c r="G167" s="56" t="s">
        <v>137</v>
      </c>
      <c r="H167" s="56" t="s">
        <v>345</v>
      </c>
      <c r="I167" s="56"/>
      <c r="J167" s="98"/>
      <c r="K167" s="246">
        <v>6.15</v>
      </c>
      <c r="L167" s="798"/>
      <c r="M167" s="411">
        <v>6.15</v>
      </c>
      <c r="N167" s="246">
        <v>6.15</v>
      </c>
      <c r="O167" s="335"/>
      <c r="P167" s="246">
        <v>6.15</v>
      </c>
      <c r="Q167" s="246"/>
      <c r="R167" s="246">
        <v>6.22</v>
      </c>
      <c r="S167" s="246"/>
      <c r="T167" s="246">
        <v>6.23</v>
      </c>
      <c r="U167" s="246"/>
      <c r="V167" s="246">
        <v>6.23</v>
      </c>
      <c r="W167" s="246"/>
      <c r="X167" s="246">
        <v>6.23</v>
      </c>
      <c r="Y167" s="246">
        <v>6.3</v>
      </c>
      <c r="Z167" s="246">
        <v>6.23</v>
      </c>
      <c r="AA167" s="898" t="s">
        <v>708</v>
      </c>
      <c r="AB167" s="246">
        <v>6.23</v>
      </c>
      <c r="AC167" s="835">
        <v>6.15</v>
      </c>
      <c r="AD167" s="816">
        <v>6.25</v>
      </c>
      <c r="AE167" s="835">
        <v>6.15</v>
      </c>
      <c r="AF167" s="816"/>
      <c r="AG167" s="835">
        <v>6.2</v>
      </c>
      <c r="AH167" s="913">
        <v>6.3</v>
      </c>
      <c r="AI167" s="937">
        <v>6.2</v>
      </c>
      <c r="AJ167" s="937">
        <v>6.1</v>
      </c>
      <c r="AK167" s="937">
        <v>6.2</v>
      </c>
      <c r="AL167" s="937"/>
    </row>
    <row r="168" spans="2:38" ht="27.4" customHeight="1" x14ac:dyDescent="0.4">
      <c r="B168" s="1332"/>
      <c r="C168" s="1382"/>
      <c r="D168" s="1035"/>
      <c r="E168" s="1379"/>
      <c r="F168" s="87" t="s">
        <v>558</v>
      </c>
      <c r="G168" s="83" t="s">
        <v>137</v>
      </c>
      <c r="H168" s="83" t="s">
        <v>217</v>
      </c>
      <c r="I168" s="83"/>
      <c r="J168" s="88"/>
      <c r="K168" s="246">
        <v>6.2</v>
      </c>
      <c r="L168" s="798"/>
      <c r="M168" s="411">
        <v>6.22</v>
      </c>
      <c r="N168" s="246">
        <v>6.22</v>
      </c>
      <c r="O168" s="335"/>
      <c r="P168" s="246">
        <v>6.22</v>
      </c>
      <c r="Q168" s="246"/>
      <c r="R168" s="246">
        <v>6.21</v>
      </c>
      <c r="S168" s="246"/>
      <c r="T168" s="246">
        <v>6.2</v>
      </c>
      <c r="U168" s="246"/>
      <c r="V168" s="246">
        <v>6.21</v>
      </c>
      <c r="W168" s="246"/>
      <c r="X168" s="246">
        <v>6.21</v>
      </c>
      <c r="Y168" s="246">
        <v>6.19</v>
      </c>
      <c r="Z168" s="246">
        <v>6.21</v>
      </c>
      <c r="AA168" s="898" t="s">
        <v>710</v>
      </c>
      <c r="AB168" s="246">
        <v>6.21</v>
      </c>
      <c r="AC168" s="835">
        <v>6.2</v>
      </c>
      <c r="AD168" s="816">
        <v>6.17</v>
      </c>
      <c r="AE168" s="835">
        <v>6.22</v>
      </c>
      <c r="AF168" s="816"/>
      <c r="AG168" s="835">
        <v>6.16</v>
      </c>
      <c r="AH168" s="913">
        <v>6.25</v>
      </c>
      <c r="AI168" s="937">
        <v>6.11</v>
      </c>
      <c r="AJ168" s="937">
        <v>6</v>
      </c>
      <c r="AK168" s="937">
        <v>6.21</v>
      </c>
      <c r="AL168" s="937"/>
    </row>
    <row r="169" spans="2:38" ht="27.4" customHeight="1" x14ac:dyDescent="0.4">
      <c r="B169" s="1332"/>
      <c r="C169" s="1382"/>
      <c r="D169" s="1035"/>
      <c r="E169" s="1379"/>
      <c r="F169" s="97" t="s">
        <v>560</v>
      </c>
      <c r="G169" s="56" t="s">
        <v>137</v>
      </c>
      <c r="H169" s="56" t="s">
        <v>345</v>
      </c>
      <c r="I169" s="56"/>
      <c r="J169" s="98"/>
      <c r="K169" s="246">
        <v>6.15</v>
      </c>
      <c r="L169" s="798"/>
      <c r="M169" s="411">
        <v>6.15</v>
      </c>
      <c r="N169" s="246">
        <v>6.1</v>
      </c>
      <c r="O169" s="335"/>
      <c r="P169" s="246">
        <v>6.15</v>
      </c>
      <c r="Q169" s="246"/>
      <c r="R169" s="246">
        <v>6.21</v>
      </c>
      <c r="S169" s="246"/>
      <c r="T169" s="246">
        <v>6.21</v>
      </c>
      <c r="U169" s="246"/>
      <c r="V169" s="246">
        <v>6.22</v>
      </c>
      <c r="W169" s="246"/>
      <c r="X169" s="246">
        <v>6.22</v>
      </c>
      <c r="Y169" s="246">
        <v>6.21</v>
      </c>
      <c r="Z169" s="246">
        <v>6.22</v>
      </c>
      <c r="AA169" s="898" t="s">
        <v>708</v>
      </c>
      <c r="AB169" s="246">
        <v>6.22</v>
      </c>
      <c r="AC169" s="835">
        <v>6.15</v>
      </c>
      <c r="AD169" s="816">
        <v>6.2</v>
      </c>
      <c r="AE169" s="835">
        <v>6.15</v>
      </c>
      <c r="AF169" s="816"/>
      <c r="AG169" s="835">
        <v>6.2</v>
      </c>
      <c r="AH169" s="913">
        <v>6.3</v>
      </c>
      <c r="AI169" s="937">
        <v>6.2</v>
      </c>
      <c r="AJ169" s="937">
        <v>6.2</v>
      </c>
      <c r="AK169" s="937">
        <v>6.25</v>
      </c>
      <c r="AL169" s="937"/>
    </row>
    <row r="170" spans="2:38" ht="27.4" customHeight="1" x14ac:dyDescent="0.4">
      <c r="B170" s="1332"/>
      <c r="C170" s="1382"/>
      <c r="D170" s="1035"/>
      <c r="E170" s="1379"/>
      <c r="F170" s="87" t="s">
        <v>561</v>
      </c>
      <c r="G170" s="83" t="s">
        <v>137</v>
      </c>
      <c r="H170" s="83" t="s">
        <v>217</v>
      </c>
      <c r="I170" s="83"/>
      <c r="J170" s="88"/>
      <c r="K170" s="246">
        <v>6.19</v>
      </c>
      <c r="L170" s="798"/>
      <c r="M170" s="411">
        <v>6.25</v>
      </c>
      <c r="N170" s="246">
        <v>6.23</v>
      </c>
      <c r="O170" s="335"/>
      <c r="P170" s="246">
        <v>6.25</v>
      </c>
      <c r="Q170" s="246"/>
      <c r="R170" s="246">
        <v>6.21</v>
      </c>
      <c r="S170" s="246"/>
      <c r="T170" s="246">
        <v>6.22</v>
      </c>
      <c r="U170" s="246"/>
      <c r="V170" s="246">
        <v>6.21</v>
      </c>
      <c r="W170" s="246"/>
      <c r="X170" s="246">
        <v>6.2</v>
      </c>
      <c r="Y170" s="246">
        <v>6.11</v>
      </c>
      <c r="Z170" s="246">
        <v>6.2</v>
      </c>
      <c r="AA170" s="898" t="s">
        <v>710</v>
      </c>
      <c r="AB170" s="246">
        <v>6.2</v>
      </c>
      <c r="AC170" s="835">
        <v>6.19</v>
      </c>
      <c r="AD170" s="816">
        <v>6.19</v>
      </c>
      <c r="AE170" s="835">
        <v>6.25</v>
      </c>
      <c r="AF170" s="816"/>
      <c r="AG170" s="835">
        <v>6.15</v>
      </c>
      <c r="AH170" s="913">
        <v>6.26</v>
      </c>
      <c r="AI170" s="937">
        <v>6.13</v>
      </c>
      <c r="AJ170" s="937">
        <v>6.07</v>
      </c>
      <c r="AK170" s="937" t="s">
        <v>712</v>
      </c>
      <c r="AL170" s="937"/>
    </row>
    <row r="171" spans="2:38" ht="27.4" customHeight="1" x14ac:dyDescent="0.4">
      <c r="B171" s="1332"/>
      <c r="C171" s="1382"/>
      <c r="D171" s="1035"/>
      <c r="E171" s="1379"/>
      <c r="F171" s="97" t="s">
        <v>562</v>
      </c>
      <c r="G171" s="56" t="s">
        <v>137</v>
      </c>
      <c r="H171" s="56" t="s">
        <v>345</v>
      </c>
      <c r="I171" s="56"/>
      <c r="J171" s="98"/>
      <c r="K171" s="246">
        <v>0</v>
      </c>
      <c r="L171" s="798"/>
      <c r="M171" s="411">
        <v>0</v>
      </c>
      <c r="N171" s="246">
        <v>0</v>
      </c>
      <c r="O171" s="335"/>
      <c r="P171" s="246">
        <v>0</v>
      </c>
      <c r="Q171" s="246"/>
      <c r="R171" s="246">
        <v>0</v>
      </c>
      <c r="S171" s="246"/>
      <c r="T171" s="246">
        <v>0</v>
      </c>
      <c r="U171" s="246"/>
      <c r="V171" s="246">
        <v>0</v>
      </c>
      <c r="W171" s="246"/>
      <c r="X171" s="246">
        <v>0</v>
      </c>
      <c r="Y171" s="246">
        <v>0</v>
      </c>
      <c r="Z171" s="246">
        <v>0</v>
      </c>
      <c r="AA171" s="898">
        <v>0</v>
      </c>
      <c r="AB171" s="246">
        <v>0</v>
      </c>
      <c r="AC171" s="835">
        <v>0</v>
      </c>
      <c r="AD171" s="816">
        <v>0</v>
      </c>
      <c r="AE171" s="835">
        <v>0</v>
      </c>
      <c r="AF171" s="816"/>
      <c r="AG171" s="835">
        <v>0</v>
      </c>
      <c r="AH171" s="913">
        <v>0</v>
      </c>
      <c r="AI171" s="937">
        <v>0</v>
      </c>
      <c r="AJ171" s="937">
        <v>0</v>
      </c>
      <c r="AK171" s="937">
        <v>0</v>
      </c>
      <c r="AL171" s="937"/>
    </row>
    <row r="172" spans="2:38" ht="27.4" customHeight="1" thickBot="1" x14ac:dyDescent="0.45">
      <c r="B172" s="1332"/>
      <c r="C172" s="1382"/>
      <c r="D172" s="1380"/>
      <c r="E172" s="1381"/>
      <c r="F172" s="339" t="s">
        <v>563</v>
      </c>
      <c r="G172" s="111" t="s">
        <v>137</v>
      </c>
      <c r="H172" s="111" t="s">
        <v>217</v>
      </c>
      <c r="I172" s="111"/>
      <c r="J172" s="112"/>
      <c r="K172" s="377">
        <v>0</v>
      </c>
      <c r="L172" s="1002"/>
      <c r="M172" s="416">
        <v>0</v>
      </c>
      <c r="N172" s="377">
        <v>0</v>
      </c>
      <c r="O172" s="376"/>
      <c r="P172" s="377">
        <v>0</v>
      </c>
      <c r="Q172" s="377"/>
      <c r="R172" s="377">
        <v>0</v>
      </c>
      <c r="S172" s="377"/>
      <c r="T172" s="377">
        <v>0</v>
      </c>
      <c r="U172" s="377"/>
      <c r="V172" s="377">
        <v>0</v>
      </c>
      <c r="W172" s="377"/>
      <c r="X172" s="377">
        <v>0</v>
      </c>
      <c r="Y172" s="377">
        <v>0</v>
      </c>
      <c r="Z172" s="377">
        <v>0</v>
      </c>
      <c r="AA172" s="898">
        <v>0</v>
      </c>
      <c r="AB172" s="377">
        <v>0</v>
      </c>
      <c r="AC172" s="847">
        <v>0</v>
      </c>
      <c r="AD172" s="824">
        <v>0</v>
      </c>
      <c r="AE172" s="847">
        <v>0</v>
      </c>
      <c r="AF172" s="824"/>
      <c r="AG172" s="847">
        <v>0</v>
      </c>
      <c r="AH172" s="927">
        <v>0</v>
      </c>
      <c r="AI172" s="951">
        <v>0</v>
      </c>
      <c r="AJ172" s="951">
        <v>0</v>
      </c>
      <c r="AK172" s="951">
        <v>0</v>
      </c>
      <c r="AL172" s="951"/>
    </row>
    <row r="173" spans="2:38" ht="27.4" customHeight="1" thickTop="1" x14ac:dyDescent="0.4">
      <c r="B173" s="1372" t="s">
        <v>214</v>
      </c>
      <c r="C173" s="1373"/>
      <c r="D173" s="1017" t="s">
        <v>564</v>
      </c>
      <c r="E173" s="1018"/>
      <c r="F173" s="368" t="s">
        <v>565</v>
      </c>
      <c r="G173" s="369" t="s">
        <v>566</v>
      </c>
      <c r="H173" s="369" t="s">
        <v>73</v>
      </c>
      <c r="I173" s="369"/>
      <c r="J173" s="370" t="s">
        <v>60</v>
      </c>
      <c r="K173" s="372">
        <v>2</v>
      </c>
      <c r="L173" s="811"/>
      <c r="M173" s="417">
        <v>2</v>
      </c>
      <c r="N173" s="372">
        <v>2</v>
      </c>
      <c r="O173" s="371"/>
      <c r="P173" s="372">
        <v>2</v>
      </c>
      <c r="Q173" s="372"/>
      <c r="R173" s="372">
        <v>2</v>
      </c>
      <c r="S173" s="372"/>
      <c r="T173" s="372">
        <v>2</v>
      </c>
      <c r="U173" s="372"/>
      <c r="V173" s="372">
        <v>2</v>
      </c>
      <c r="W173" s="372"/>
      <c r="X173" s="372">
        <v>2</v>
      </c>
      <c r="Y173" s="372">
        <v>2</v>
      </c>
      <c r="Z173" s="372">
        <v>2</v>
      </c>
      <c r="AA173" s="898">
        <v>2</v>
      </c>
      <c r="AB173" s="372">
        <v>2</v>
      </c>
      <c r="AC173" s="848">
        <v>2</v>
      </c>
      <c r="AD173" s="825">
        <v>2</v>
      </c>
      <c r="AE173" s="848">
        <v>2</v>
      </c>
      <c r="AF173" s="825"/>
      <c r="AG173" s="848">
        <v>2</v>
      </c>
      <c r="AH173" s="928">
        <v>2</v>
      </c>
      <c r="AI173" s="952">
        <v>2</v>
      </c>
      <c r="AJ173" s="952">
        <v>2</v>
      </c>
      <c r="AK173" s="952">
        <v>2</v>
      </c>
      <c r="AL173" s="952"/>
    </row>
    <row r="174" spans="2:38" ht="27.4" customHeight="1" x14ac:dyDescent="0.4">
      <c r="B174" s="1374"/>
      <c r="C174" s="1375"/>
      <c r="D174" s="1019"/>
      <c r="E174" s="1020"/>
      <c r="F174" s="97" t="s">
        <v>567</v>
      </c>
      <c r="G174" s="56" t="s">
        <v>137</v>
      </c>
      <c r="H174" s="56" t="s">
        <v>345</v>
      </c>
      <c r="I174" s="56"/>
      <c r="J174" s="98"/>
      <c r="K174" s="246">
        <v>0.4</v>
      </c>
      <c r="L174" s="798"/>
      <c r="M174" s="411">
        <v>0.4</v>
      </c>
      <c r="N174" s="246">
        <v>0.4</v>
      </c>
      <c r="O174" s="335"/>
      <c r="P174" s="246">
        <v>0.4</v>
      </c>
      <c r="Q174" s="246"/>
      <c r="R174" s="246">
        <v>0.42</v>
      </c>
      <c r="S174" s="246"/>
      <c r="T174" s="246">
        <v>0.42</v>
      </c>
      <c r="U174" s="246"/>
      <c r="V174" s="246">
        <v>0.42</v>
      </c>
      <c r="W174" s="246"/>
      <c r="X174" s="246">
        <v>0.42</v>
      </c>
      <c r="Y174" s="246">
        <v>0.41</v>
      </c>
      <c r="Z174" s="246">
        <v>0.42</v>
      </c>
      <c r="AA174" s="898" t="s">
        <v>657</v>
      </c>
      <c r="AB174" s="246">
        <v>0.42</v>
      </c>
      <c r="AC174" s="835">
        <v>0.4</v>
      </c>
      <c r="AD174" s="816">
        <v>0.42</v>
      </c>
      <c r="AE174" s="835">
        <v>0.4</v>
      </c>
      <c r="AF174" s="816"/>
      <c r="AG174" s="835">
        <v>0.4</v>
      </c>
      <c r="AH174" s="913">
        <v>0.41</v>
      </c>
      <c r="AI174" s="937">
        <v>0.43</v>
      </c>
      <c r="AJ174" s="937">
        <v>0.4</v>
      </c>
      <c r="AK174" s="937">
        <v>0.4</v>
      </c>
      <c r="AL174" s="937"/>
    </row>
    <row r="175" spans="2:38" ht="27.4" customHeight="1" x14ac:dyDescent="0.4">
      <c r="B175" s="1374"/>
      <c r="C175" s="1375"/>
      <c r="D175" s="1019"/>
      <c r="E175" s="1020"/>
      <c r="F175" s="87" t="s">
        <v>568</v>
      </c>
      <c r="G175" s="83" t="s">
        <v>137</v>
      </c>
      <c r="H175" s="83" t="s">
        <v>345</v>
      </c>
      <c r="I175" s="83"/>
      <c r="J175" s="88"/>
      <c r="K175" s="246">
        <v>0.4</v>
      </c>
      <c r="L175" s="798"/>
      <c r="M175" s="411">
        <v>0.4</v>
      </c>
      <c r="N175" s="246">
        <v>0.4</v>
      </c>
      <c r="O175" s="335"/>
      <c r="P175" s="246">
        <v>0.4</v>
      </c>
      <c r="Q175" s="246"/>
      <c r="R175" s="246">
        <v>0.39</v>
      </c>
      <c r="S175" s="246"/>
      <c r="T175" s="246">
        <v>0.4</v>
      </c>
      <c r="U175" s="246"/>
      <c r="V175" s="246">
        <v>0.4</v>
      </c>
      <c r="W175" s="246"/>
      <c r="X175" s="246">
        <v>0.4</v>
      </c>
      <c r="Y175" s="246">
        <v>0.39</v>
      </c>
      <c r="Z175" s="246">
        <v>0.4</v>
      </c>
      <c r="AA175" s="898" t="s">
        <v>713</v>
      </c>
      <c r="AB175" s="246">
        <v>0.4</v>
      </c>
      <c r="AC175" s="835">
        <v>0.4</v>
      </c>
      <c r="AD175" s="816">
        <v>0.37</v>
      </c>
      <c r="AE175" s="835">
        <v>0.4</v>
      </c>
      <c r="AF175" s="816"/>
      <c r="AG175" s="835">
        <v>0.38</v>
      </c>
      <c r="AH175" s="913">
        <v>0.38</v>
      </c>
      <c r="AI175" s="937">
        <v>0.4</v>
      </c>
      <c r="AJ175" s="937">
        <v>0.4</v>
      </c>
      <c r="AK175" s="937">
        <v>0.38</v>
      </c>
      <c r="AL175" s="937"/>
    </row>
    <row r="176" spans="2:38" ht="27.4" customHeight="1" x14ac:dyDescent="0.4">
      <c r="B176" s="1374"/>
      <c r="C176" s="1375"/>
      <c r="D176" s="1019"/>
      <c r="E176" s="1020"/>
      <c r="F176" s="97" t="s">
        <v>569</v>
      </c>
      <c r="G176" s="56" t="s">
        <v>434</v>
      </c>
      <c r="H176" s="56" t="s">
        <v>217</v>
      </c>
      <c r="I176" s="56"/>
      <c r="J176" s="98"/>
      <c r="K176" s="246"/>
      <c r="L176" s="798"/>
      <c r="M176" s="411"/>
      <c r="N176" s="246"/>
      <c r="O176" s="777"/>
      <c r="P176" s="246"/>
      <c r="Q176" s="246"/>
      <c r="R176" s="246" t="s">
        <v>597</v>
      </c>
      <c r="S176" s="246"/>
      <c r="T176" s="246" t="s">
        <v>714</v>
      </c>
      <c r="U176" s="246"/>
      <c r="V176" s="246"/>
      <c r="W176" s="246"/>
      <c r="X176" s="246"/>
      <c r="Y176" s="246" t="s">
        <v>655</v>
      </c>
      <c r="Z176" s="246"/>
      <c r="AA176" s="898" t="s">
        <v>655</v>
      </c>
      <c r="AB176" s="246"/>
      <c r="AC176" s="835" t="s">
        <v>597</v>
      </c>
      <c r="AD176" s="816" t="s">
        <v>597</v>
      </c>
      <c r="AE176" s="835" t="s">
        <v>597</v>
      </c>
      <c r="AF176" s="816"/>
      <c r="AG176" s="835" t="s">
        <v>597</v>
      </c>
      <c r="AH176" s="913" t="s">
        <v>597</v>
      </c>
      <c r="AI176" s="937" t="s">
        <v>597</v>
      </c>
      <c r="AJ176" s="937" t="s">
        <v>597</v>
      </c>
      <c r="AK176" s="937" t="s">
        <v>597</v>
      </c>
      <c r="AL176" s="937"/>
    </row>
    <row r="177" spans="1:38" ht="27.4" customHeight="1" x14ac:dyDescent="0.4">
      <c r="B177" s="1374"/>
      <c r="C177" s="1375"/>
      <c r="D177" s="1019"/>
      <c r="E177" s="1020"/>
      <c r="F177" s="87" t="s">
        <v>570</v>
      </c>
      <c r="G177" s="83" t="s">
        <v>137</v>
      </c>
      <c r="H177" s="83" t="s">
        <v>345</v>
      </c>
      <c r="I177" s="83"/>
      <c r="J177" s="88"/>
      <c r="K177" s="246">
        <v>0.4</v>
      </c>
      <c r="L177" s="798"/>
      <c r="M177" s="411">
        <v>0.39</v>
      </c>
      <c r="N177" s="246">
        <v>0.4</v>
      </c>
      <c r="O177" s="335"/>
      <c r="P177" s="246">
        <v>0.4</v>
      </c>
      <c r="Q177" s="246"/>
      <c r="R177" s="246">
        <v>0.39</v>
      </c>
      <c r="S177" s="246"/>
      <c r="T177" s="246">
        <v>0.4</v>
      </c>
      <c r="U177" s="246"/>
      <c r="V177" s="246">
        <v>0.4</v>
      </c>
      <c r="W177" s="246"/>
      <c r="X177" s="246">
        <v>0.4</v>
      </c>
      <c r="Y177" s="246">
        <v>0.39</v>
      </c>
      <c r="Z177" s="246">
        <v>0.4</v>
      </c>
      <c r="AA177" s="898" t="s">
        <v>715</v>
      </c>
      <c r="AB177" s="246">
        <v>0.4</v>
      </c>
      <c r="AC177" s="835">
        <v>0.4</v>
      </c>
      <c r="AD177" s="816">
        <v>0.38</v>
      </c>
      <c r="AE177" s="835">
        <v>0.39</v>
      </c>
      <c r="AF177" s="816"/>
      <c r="AG177" s="835">
        <v>0.37</v>
      </c>
      <c r="AH177" s="913">
        <v>0.38</v>
      </c>
      <c r="AI177" s="937">
        <v>0.39</v>
      </c>
      <c r="AJ177" s="937">
        <v>0.38</v>
      </c>
      <c r="AK177" s="937">
        <v>0.38</v>
      </c>
      <c r="AL177" s="937"/>
    </row>
    <row r="178" spans="1:38" ht="27.4" customHeight="1" x14ac:dyDescent="0.4">
      <c r="B178" s="1374"/>
      <c r="C178" s="1375"/>
      <c r="D178" s="1019"/>
      <c r="E178" s="1020"/>
      <c r="F178" s="97" t="s">
        <v>572</v>
      </c>
      <c r="G178" s="56" t="s">
        <v>137</v>
      </c>
      <c r="H178" s="56" t="s">
        <v>491</v>
      </c>
      <c r="I178" s="56"/>
      <c r="J178" s="98"/>
      <c r="K178" s="246"/>
      <c r="L178" s="798"/>
      <c r="M178" s="411"/>
      <c r="N178" s="246"/>
      <c r="O178" s="777"/>
      <c r="P178" s="246"/>
      <c r="Q178" s="246"/>
      <c r="R178" s="246" t="s">
        <v>597</v>
      </c>
      <c r="S178" s="246"/>
      <c r="T178" s="246" t="s">
        <v>714</v>
      </c>
      <c r="U178" s="246"/>
      <c r="V178" s="246"/>
      <c r="W178" s="246"/>
      <c r="X178" s="246"/>
      <c r="Y178" s="246">
        <v>-0.6</v>
      </c>
      <c r="Z178" s="246"/>
      <c r="AA178" s="898" t="s">
        <v>655</v>
      </c>
      <c r="AB178" s="246"/>
      <c r="AC178" s="835" t="s">
        <v>597</v>
      </c>
      <c r="AD178" s="816" t="s">
        <v>597</v>
      </c>
      <c r="AE178" s="835" t="s">
        <v>597</v>
      </c>
      <c r="AF178" s="816"/>
      <c r="AG178" s="835" t="s">
        <v>597</v>
      </c>
      <c r="AH178" s="913" t="s">
        <v>597</v>
      </c>
      <c r="AI178" s="937" t="s">
        <v>597</v>
      </c>
      <c r="AJ178" s="937" t="s">
        <v>597</v>
      </c>
      <c r="AK178" s="937" t="s">
        <v>597</v>
      </c>
      <c r="AL178" s="937"/>
    </row>
    <row r="179" spans="1:38" ht="27.4" customHeight="1" x14ac:dyDescent="0.4">
      <c r="B179" s="1374"/>
      <c r="C179" s="1375"/>
      <c r="D179" s="1019"/>
      <c r="E179" s="1020"/>
      <c r="F179" s="87" t="s">
        <v>600</v>
      </c>
      <c r="G179" s="83" t="s">
        <v>137</v>
      </c>
      <c r="H179" s="83" t="s">
        <v>345</v>
      </c>
      <c r="I179" s="83"/>
      <c r="J179" s="88"/>
      <c r="K179" s="246">
        <v>0</v>
      </c>
      <c r="L179" s="798"/>
      <c r="M179" s="411">
        <v>0</v>
      </c>
      <c r="N179" s="246">
        <v>0</v>
      </c>
      <c r="O179" s="335"/>
      <c r="P179" s="246">
        <v>0</v>
      </c>
      <c r="Q179" s="246"/>
      <c r="R179" s="246">
        <v>0</v>
      </c>
      <c r="S179" s="246"/>
      <c r="T179" s="246">
        <v>0</v>
      </c>
      <c r="U179" s="246"/>
      <c r="V179" s="246">
        <v>0</v>
      </c>
      <c r="W179" s="246"/>
      <c r="X179" s="246">
        <v>0</v>
      </c>
      <c r="Y179" s="246">
        <v>0</v>
      </c>
      <c r="Z179" s="246">
        <v>0</v>
      </c>
      <c r="AA179" s="898">
        <v>0</v>
      </c>
      <c r="AB179" s="246">
        <v>0</v>
      </c>
      <c r="AC179" s="835">
        <v>0</v>
      </c>
      <c r="AD179" s="816">
        <v>0</v>
      </c>
      <c r="AE179" s="835">
        <v>0</v>
      </c>
      <c r="AF179" s="816"/>
      <c r="AG179" s="835">
        <v>0</v>
      </c>
      <c r="AH179" s="913">
        <v>0</v>
      </c>
      <c r="AI179" s="937">
        <v>0</v>
      </c>
      <c r="AJ179" s="937">
        <v>0.02</v>
      </c>
      <c r="AK179" s="937">
        <v>0.06</v>
      </c>
      <c r="AL179" s="937"/>
    </row>
    <row r="180" spans="1:38" ht="27.4" customHeight="1" thickBot="1" x14ac:dyDescent="0.45">
      <c r="B180" s="1374"/>
      <c r="C180" s="1375"/>
      <c r="D180" s="1019"/>
      <c r="E180" s="1020"/>
      <c r="F180" s="97" t="s">
        <v>574</v>
      </c>
      <c r="G180" s="56" t="s">
        <v>21</v>
      </c>
      <c r="H180" s="56"/>
      <c r="I180" s="56"/>
      <c r="J180" s="98" t="s">
        <v>575</v>
      </c>
      <c r="K180" s="246"/>
      <c r="M180" s="413"/>
      <c r="N180" s="896" t="s">
        <v>667</v>
      </c>
      <c r="O180" s="335"/>
      <c r="P180" s="246" t="s">
        <v>48</v>
      </c>
      <c r="Q180" s="246"/>
      <c r="R180" s="246" t="s">
        <v>48</v>
      </c>
      <c r="S180" s="246"/>
      <c r="T180" s="246" t="s">
        <v>48</v>
      </c>
      <c r="U180" s="246"/>
      <c r="V180" s="246" t="s">
        <v>48</v>
      </c>
      <c r="W180" s="246"/>
      <c r="X180" s="246" t="s">
        <v>48</v>
      </c>
      <c r="Y180" s="896" t="s">
        <v>667</v>
      </c>
      <c r="Z180" s="246" t="s">
        <v>48</v>
      </c>
      <c r="AA180" s="898" t="s">
        <v>667</v>
      </c>
      <c r="AB180" s="246" t="s">
        <v>48</v>
      </c>
      <c r="AC180" s="842" t="s">
        <v>48</v>
      </c>
      <c r="AD180" s="832" t="s">
        <v>716</v>
      </c>
      <c r="AE180" s="842" t="s">
        <v>48</v>
      </c>
      <c r="AF180" s="832"/>
      <c r="AG180" s="842" t="s">
        <v>48</v>
      </c>
      <c r="AH180" s="922" t="s">
        <v>48</v>
      </c>
      <c r="AI180" s="946" t="s">
        <v>48</v>
      </c>
      <c r="AJ180" s="946" t="s">
        <v>48</v>
      </c>
      <c r="AK180" s="946" t="s">
        <v>48</v>
      </c>
      <c r="AL180" s="946"/>
    </row>
    <row r="181" spans="1:38" s="487" customFormat="1" ht="27.4" customHeight="1" thickTop="1" x14ac:dyDescent="0.4">
      <c r="A181" s="237"/>
      <c r="B181" s="1374"/>
      <c r="C181" s="1375"/>
      <c r="D181" s="1019"/>
      <c r="E181" s="1020"/>
      <c r="F181" s="87" t="s">
        <v>569</v>
      </c>
      <c r="G181" s="83" t="s">
        <v>137</v>
      </c>
      <c r="H181" s="83" t="s">
        <v>73</v>
      </c>
      <c r="I181" s="83"/>
      <c r="J181" s="88"/>
      <c r="K181" s="493"/>
      <c r="L181" s="1005"/>
      <c r="M181" s="667"/>
      <c r="N181" s="493"/>
      <c r="O181" s="773"/>
      <c r="P181" s="493"/>
      <c r="Q181" s="493"/>
      <c r="R181" s="493"/>
      <c r="S181" s="493"/>
      <c r="T181" s="493" t="s">
        <v>717</v>
      </c>
      <c r="U181" s="493"/>
      <c r="V181" s="493"/>
      <c r="W181" s="493"/>
      <c r="X181" s="493"/>
      <c r="Y181" s="493"/>
      <c r="Z181" s="493"/>
      <c r="AA181" s="898"/>
      <c r="AB181" s="493"/>
      <c r="AC181" s="851"/>
      <c r="AD181" s="827"/>
      <c r="AE181" s="851"/>
      <c r="AF181" s="827"/>
      <c r="AG181" s="851"/>
      <c r="AH181" s="931"/>
      <c r="AI181" s="955" t="s">
        <v>21</v>
      </c>
      <c r="AJ181" s="955"/>
      <c r="AK181" s="955"/>
      <c r="AL181" s="955"/>
    </row>
    <row r="182" spans="1:38" s="240" customFormat="1" ht="27.4" customHeight="1" x14ac:dyDescent="0.45">
      <c r="A182" s="237"/>
      <c r="B182" s="1374"/>
      <c r="C182" s="1375"/>
      <c r="D182" s="1019"/>
      <c r="E182" s="1020"/>
      <c r="F182" s="97" t="s">
        <v>577</v>
      </c>
      <c r="G182" s="56" t="s">
        <v>578</v>
      </c>
      <c r="H182" s="56" t="s">
        <v>73</v>
      </c>
      <c r="I182" s="56"/>
      <c r="J182" s="98"/>
      <c r="K182" s="246" t="s">
        <v>718</v>
      </c>
      <c r="L182" s="1008">
        <f>VALUE(LEFT(K182,FIND("D",K182)-1))*24+VALUE(MID(K182,FIND("D",K182)+1,FIND("H",K182)-FIND("D",K182)-1))+VALUE(MID(K182,FIND("H",K182)+1,FIND("M",K182)-FIND("H",K182)-1))/60+VALUE(MID(K182,FIND("M",K182)+1,FIND("S",K182)-FIND("M",K182)-1))/3600</f>
        <v>4461.200277777778</v>
      </c>
      <c r="M182" s="411" t="s">
        <v>719</v>
      </c>
      <c r="N182" s="896" t="s">
        <v>718</v>
      </c>
      <c r="O182" s="1006">
        <f>VALUE(LEFT(N182,FIND("D",N182)-1))*24+VALUE(MID(N182,FIND("D",N182)+1,FIND("H",N182)-FIND("D",N182)-1))+VALUE(MID(N182,FIND("H",N182)+1,FIND("M",N182)-FIND("H",N182)-1))/60+VALUE(MID(N182,FIND("M",N182)+1,FIND("S",N182)-FIND("M",N182)-1))/3600</f>
        <v>4461.200277777778</v>
      </c>
      <c r="P182" s="896" t="s">
        <v>720</v>
      </c>
      <c r="Q182" s="246"/>
      <c r="R182" s="896" t="s">
        <v>721</v>
      </c>
      <c r="S182" s="246"/>
      <c r="T182" s="896" t="s">
        <v>722</v>
      </c>
      <c r="U182" s="246"/>
      <c r="V182" s="246"/>
      <c r="W182" s="246"/>
      <c r="X182" s="246"/>
      <c r="Y182" s="246"/>
      <c r="Z182" s="959" t="s">
        <v>723</v>
      </c>
      <c r="AA182" s="904">
        <f>+(180*24)+21+(17/60)</f>
        <v>4341.2833333333338</v>
      </c>
      <c r="AB182" s="246"/>
      <c r="AC182" s="835"/>
      <c r="AD182" s="816">
        <v>4461.3</v>
      </c>
      <c r="AE182" s="835"/>
      <c r="AF182" s="816"/>
      <c r="AG182" s="835">
        <v>4460</v>
      </c>
      <c r="AH182" s="913">
        <v>4461.3</v>
      </c>
      <c r="AI182" s="956" t="s">
        <v>724</v>
      </c>
      <c r="AJ182" s="937">
        <v>4462.97</v>
      </c>
      <c r="AK182" s="937">
        <v>4461.3</v>
      </c>
      <c r="AL182" s="937"/>
    </row>
    <row r="183" spans="1:38" s="240" customFormat="1" ht="27.4" customHeight="1" x14ac:dyDescent="0.45">
      <c r="A183" s="237"/>
      <c r="B183" s="1374"/>
      <c r="C183" s="1375"/>
      <c r="D183" s="1019"/>
      <c r="E183" s="1020"/>
      <c r="F183" s="87" t="s">
        <v>588</v>
      </c>
      <c r="G183" s="83" t="s">
        <v>578</v>
      </c>
      <c r="H183" s="83" t="s">
        <v>73</v>
      </c>
      <c r="I183" s="83"/>
      <c r="J183" s="88"/>
      <c r="K183" s="246" t="s">
        <v>725</v>
      </c>
      <c r="L183" s="1006">
        <f>VALUE(LEFT(K183,FIND("D",K183)-1))*24+VALUE(MID(K183,FIND("D",K183)+1,FIND("H",K183)-FIND("D",K183)-1))+VALUE(MID(K183,FIND("H",K183)+1,FIND("M",K183)-FIND("H",K183)-1))/60+VALUE(MID(K183,FIND("M",K183)+1,FIND("S",K183)-FIND("M",K183)-1))/3600</f>
        <v>3881.8475000000003</v>
      </c>
      <c r="M183" s="411" t="s">
        <v>726</v>
      </c>
      <c r="N183" s="896" t="s">
        <v>863</v>
      </c>
      <c r="O183" s="1006">
        <f>VALUE(LEFT(N183,FIND("D",N183)-1))*24+VALUE(MID(N183,FIND("D",N183)+1,FIND("H",N183)-FIND("D",N183)-1))+VALUE(MID(N183,FIND("H",N183)+1,FIND("M",N183)-FIND("H",N183)-1))/60+VALUE(MID(N183,FIND("M",N183)+1,FIND("S",N183)-FIND("M",N183)-1))/3600</f>
        <v>3925.7855555555557</v>
      </c>
      <c r="P183" s="896" t="s">
        <v>727</v>
      </c>
      <c r="Q183" s="246"/>
      <c r="R183" s="896" t="s">
        <v>728</v>
      </c>
      <c r="S183" s="246"/>
      <c r="T183" s="896" t="s">
        <v>729</v>
      </c>
      <c r="U183" s="246"/>
      <c r="V183" s="246"/>
      <c r="W183" s="246"/>
      <c r="X183" s="246"/>
      <c r="Y183" s="246"/>
      <c r="Z183" s="959" t="s">
        <v>730</v>
      </c>
      <c r="AA183" s="904">
        <f>(170*24)+7+(4/60)</f>
        <v>4087.0666666666666</v>
      </c>
      <c r="AB183" s="246"/>
      <c r="AC183" s="835"/>
      <c r="AD183" s="816">
        <v>4134.18</v>
      </c>
      <c r="AE183" s="835"/>
      <c r="AF183" s="816"/>
      <c r="AG183" s="835">
        <v>3661</v>
      </c>
      <c r="AH183" s="913">
        <v>4175.87</v>
      </c>
      <c r="AI183" s="956" t="s">
        <v>731</v>
      </c>
      <c r="AJ183" s="937">
        <v>4251.4799999999996</v>
      </c>
      <c r="AK183" s="937">
        <v>4266.5</v>
      </c>
      <c r="AL183" s="937"/>
    </row>
    <row r="184" spans="1:38" ht="27.4" customHeight="1" thickBot="1" x14ac:dyDescent="0.45">
      <c r="B184" s="1374"/>
      <c r="C184" s="1375"/>
      <c r="D184" s="1021"/>
      <c r="E184" s="1022"/>
      <c r="F184" s="97" t="s">
        <v>595</v>
      </c>
      <c r="G184" s="56" t="s">
        <v>115</v>
      </c>
      <c r="H184" s="56" t="s">
        <v>73</v>
      </c>
      <c r="I184" s="56" t="s">
        <v>21</v>
      </c>
      <c r="J184" s="98" t="s">
        <v>21</v>
      </c>
      <c r="K184" s="415"/>
      <c r="M184" s="411">
        <v>753</v>
      </c>
      <c r="N184" s="415">
        <v>753.03</v>
      </c>
      <c r="O184" s="351"/>
      <c r="P184" s="415">
        <v>753</v>
      </c>
      <c r="Q184" s="415"/>
      <c r="R184" s="415">
        <v>753.01</v>
      </c>
      <c r="S184" s="415"/>
      <c r="T184" s="415">
        <v>753.04</v>
      </c>
      <c r="U184" s="415"/>
      <c r="V184" s="415">
        <v>752.89</v>
      </c>
      <c r="W184" s="415"/>
      <c r="X184" s="415">
        <v>752.89</v>
      </c>
      <c r="Y184" s="415">
        <v>753.04</v>
      </c>
      <c r="Z184" s="415">
        <v>752.89</v>
      </c>
      <c r="AA184" s="898">
        <v>753</v>
      </c>
      <c r="AB184" s="415">
        <v>752.89</v>
      </c>
      <c r="AC184" s="839">
        <v>752.99</v>
      </c>
      <c r="AD184" s="822">
        <v>753.03</v>
      </c>
      <c r="AE184" s="839">
        <v>753</v>
      </c>
      <c r="AF184" s="822"/>
      <c r="AG184" s="839">
        <v>753.5</v>
      </c>
      <c r="AH184" s="919">
        <v>752.4</v>
      </c>
      <c r="AI184" s="943">
        <v>753.6</v>
      </c>
      <c r="AJ184" s="943">
        <v>752.9</v>
      </c>
      <c r="AK184" s="943">
        <v>753.01</v>
      </c>
      <c r="AL184" s="943"/>
    </row>
    <row r="185" spans="1:38" ht="27.4" customHeight="1" thickTop="1" x14ac:dyDescent="0.4">
      <c r="B185" s="1374"/>
      <c r="C185" s="1375"/>
      <c r="D185" s="1023" t="s">
        <v>596</v>
      </c>
      <c r="E185" s="1024"/>
      <c r="F185" s="343" t="s">
        <v>565</v>
      </c>
      <c r="G185" s="344" t="s">
        <v>566</v>
      </c>
      <c r="H185" s="344" t="s">
        <v>21</v>
      </c>
      <c r="I185" s="344"/>
      <c r="J185" s="345" t="s">
        <v>60</v>
      </c>
      <c r="K185" s="260">
        <v>2</v>
      </c>
      <c r="L185" s="798"/>
      <c r="M185" s="411">
        <v>2</v>
      </c>
      <c r="N185" s="260">
        <v>2</v>
      </c>
      <c r="O185" s="335"/>
      <c r="P185" s="260">
        <v>2</v>
      </c>
      <c r="Q185" s="260"/>
      <c r="R185" s="260">
        <v>2</v>
      </c>
      <c r="S185" s="260"/>
      <c r="T185" s="260">
        <v>2</v>
      </c>
      <c r="U185" s="260"/>
      <c r="V185" s="260">
        <v>2</v>
      </c>
      <c r="W185" s="260"/>
      <c r="X185" s="260">
        <v>2</v>
      </c>
      <c r="Y185" s="260">
        <v>2</v>
      </c>
      <c r="Z185" s="260">
        <v>2</v>
      </c>
      <c r="AA185" s="898">
        <v>2</v>
      </c>
      <c r="AB185" s="260">
        <v>2</v>
      </c>
      <c r="AC185" s="836">
        <v>2</v>
      </c>
      <c r="AD185" s="818">
        <v>2</v>
      </c>
      <c r="AE185" s="836">
        <v>2</v>
      </c>
      <c r="AF185" s="818"/>
      <c r="AG185" s="836">
        <v>2</v>
      </c>
      <c r="AH185" s="917">
        <v>2</v>
      </c>
      <c r="AI185" s="941">
        <v>2</v>
      </c>
      <c r="AJ185" s="941">
        <v>2</v>
      </c>
      <c r="AK185" s="941">
        <v>2</v>
      </c>
      <c r="AL185" s="941"/>
    </row>
    <row r="186" spans="1:38" ht="27.4" customHeight="1" x14ac:dyDescent="0.4">
      <c r="B186" s="1374"/>
      <c r="C186" s="1375"/>
      <c r="D186" s="1019"/>
      <c r="E186" s="1020"/>
      <c r="F186" s="97" t="s">
        <v>567</v>
      </c>
      <c r="G186" s="56" t="s">
        <v>137</v>
      </c>
      <c r="H186" s="56" t="s">
        <v>345</v>
      </c>
      <c r="I186" s="56"/>
      <c r="J186" s="98"/>
      <c r="K186" s="246">
        <v>0.38</v>
      </c>
      <c r="L186" s="798"/>
      <c r="M186" s="411">
        <v>0.38</v>
      </c>
      <c r="N186" s="246">
        <v>0.38</v>
      </c>
      <c r="O186" s="335"/>
      <c r="P186" s="246">
        <v>0.38</v>
      </c>
      <c r="Q186" s="246"/>
      <c r="R186" s="246">
        <v>0.34</v>
      </c>
      <c r="S186" s="246"/>
      <c r="T186" s="246">
        <v>0.36</v>
      </c>
      <c r="U186" s="246"/>
      <c r="V186" s="246">
        <v>0.37</v>
      </c>
      <c r="W186" s="246"/>
      <c r="X186" s="246">
        <v>0.37</v>
      </c>
      <c r="Y186" s="246">
        <v>0.38</v>
      </c>
      <c r="Z186" s="246">
        <v>0.37</v>
      </c>
      <c r="AA186" s="898" t="s">
        <v>732</v>
      </c>
      <c r="AB186" s="246">
        <v>0.37</v>
      </c>
      <c r="AC186" s="835">
        <v>0.38</v>
      </c>
      <c r="AD186" s="816">
        <v>0.36</v>
      </c>
      <c r="AE186" s="835">
        <v>0.38</v>
      </c>
      <c r="AF186" s="816"/>
      <c r="AG186" s="835">
        <v>0.35</v>
      </c>
      <c r="AH186" s="913">
        <v>0.35</v>
      </c>
      <c r="AI186" s="937">
        <v>0.34</v>
      </c>
      <c r="AJ186" s="937">
        <v>0.34</v>
      </c>
      <c r="AK186" s="937">
        <v>0.38</v>
      </c>
      <c r="AL186" s="937"/>
    </row>
    <row r="187" spans="1:38" ht="27.4" customHeight="1" x14ac:dyDescent="0.4">
      <c r="B187" s="1374"/>
      <c r="C187" s="1375"/>
      <c r="D187" s="1019"/>
      <c r="E187" s="1020"/>
      <c r="F187" s="87" t="s">
        <v>568</v>
      </c>
      <c r="G187" s="83" t="s">
        <v>137</v>
      </c>
      <c r="H187" s="83" t="s">
        <v>345</v>
      </c>
      <c r="I187" s="83"/>
      <c r="J187" s="88"/>
      <c r="K187" s="246">
        <v>0.38</v>
      </c>
      <c r="L187" s="798"/>
      <c r="M187" s="411">
        <v>0.38</v>
      </c>
      <c r="N187" s="246">
        <v>0.38</v>
      </c>
      <c r="O187" s="335"/>
      <c r="P187" s="246">
        <v>0.38</v>
      </c>
      <c r="Q187" s="246"/>
      <c r="R187" s="246">
        <v>0.32</v>
      </c>
      <c r="S187" s="246"/>
      <c r="T187" s="246">
        <v>0.32</v>
      </c>
      <c r="U187" s="246"/>
      <c r="V187" s="246">
        <v>0.33</v>
      </c>
      <c r="W187" s="246"/>
      <c r="X187" s="246">
        <v>0.33</v>
      </c>
      <c r="Y187" s="246">
        <v>0.33</v>
      </c>
      <c r="Z187" s="246">
        <v>0.33</v>
      </c>
      <c r="AA187" s="898" t="s">
        <v>733</v>
      </c>
      <c r="AB187" s="246">
        <v>0.33</v>
      </c>
      <c r="AC187" s="835">
        <v>0.38</v>
      </c>
      <c r="AD187" s="816">
        <v>0.33</v>
      </c>
      <c r="AE187" s="835">
        <v>0.38</v>
      </c>
      <c r="AF187" s="816"/>
      <c r="AG187" s="835">
        <v>0.32</v>
      </c>
      <c r="AH187" s="913">
        <v>0.32</v>
      </c>
      <c r="AI187" s="937">
        <v>0.31</v>
      </c>
      <c r="AJ187" s="937">
        <v>0.3</v>
      </c>
      <c r="AK187" s="937">
        <v>0.35</v>
      </c>
      <c r="AL187" s="937"/>
    </row>
    <row r="188" spans="1:38" ht="27.4" customHeight="1" x14ac:dyDescent="0.4">
      <c r="B188" s="1374"/>
      <c r="C188" s="1375"/>
      <c r="D188" s="1019"/>
      <c r="E188" s="1020"/>
      <c r="F188" s="97" t="s">
        <v>569</v>
      </c>
      <c r="G188" s="56" t="s">
        <v>137</v>
      </c>
      <c r="H188" s="56" t="s">
        <v>217</v>
      </c>
      <c r="I188" s="56"/>
      <c r="J188" s="98"/>
      <c r="K188" s="246">
        <v>13.84</v>
      </c>
      <c r="L188" s="798"/>
      <c r="M188" s="411">
        <v>14.14</v>
      </c>
      <c r="N188" s="246">
        <v>14.94</v>
      </c>
      <c r="O188" s="335"/>
      <c r="P188" s="246">
        <v>14.17</v>
      </c>
      <c r="Q188" s="246"/>
      <c r="R188" s="246">
        <v>14.6</v>
      </c>
      <c r="S188" s="246"/>
      <c r="T188" s="246">
        <v>14.5</v>
      </c>
      <c r="U188" s="246"/>
      <c r="V188" s="246">
        <v>14.5</v>
      </c>
      <c r="W188" s="246"/>
      <c r="X188" s="246">
        <v>14.5</v>
      </c>
      <c r="Y188" s="246">
        <v>15.3</v>
      </c>
      <c r="Z188" s="246">
        <v>14.5</v>
      </c>
      <c r="AA188" s="898" t="s">
        <v>734</v>
      </c>
      <c r="AB188" s="246">
        <v>14.5</v>
      </c>
      <c r="AC188" s="835">
        <v>13.84</v>
      </c>
      <c r="AD188" s="816">
        <v>14.46</v>
      </c>
      <c r="AE188" s="835">
        <v>14.14</v>
      </c>
      <c r="AF188" s="816"/>
      <c r="AG188" s="835">
        <v>14.68</v>
      </c>
      <c r="AH188" s="913">
        <v>13.84</v>
      </c>
      <c r="AI188" s="937" t="s">
        <v>735</v>
      </c>
      <c r="AJ188" s="937">
        <v>13.55</v>
      </c>
      <c r="AK188" s="937">
        <v>14.92</v>
      </c>
      <c r="AL188" s="937"/>
    </row>
    <row r="189" spans="1:38" ht="27.4" customHeight="1" x14ac:dyDescent="0.4">
      <c r="B189" s="1374"/>
      <c r="C189" s="1375"/>
      <c r="D189" s="1019"/>
      <c r="E189" s="1020"/>
      <c r="F189" s="87" t="s">
        <v>570</v>
      </c>
      <c r="G189" s="83" t="s">
        <v>137</v>
      </c>
      <c r="H189" s="83" t="s">
        <v>345</v>
      </c>
      <c r="I189" s="83"/>
      <c r="J189" s="88"/>
      <c r="K189" s="246">
        <v>0.35</v>
      </c>
      <c r="L189" s="798"/>
      <c r="M189" s="411">
        <v>0.35</v>
      </c>
      <c r="N189" s="246">
        <v>0.38</v>
      </c>
      <c r="O189" s="335"/>
      <c r="P189" s="246">
        <v>0.38</v>
      </c>
      <c r="Q189" s="246"/>
      <c r="R189" s="246">
        <v>0.31</v>
      </c>
      <c r="S189" s="246"/>
      <c r="T189" s="246">
        <v>0.31</v>
      </c>
      <c r="U189" s="246"/>
      <c r="V189" s="246">
        <v>0.32</v>
      </c>
      <c r="W189" s="246"/>
      <c r="X189" s="246">
        <v>0.32</v>
      </c>
      <c r="Y189" s="246">
        <v>0.32</v>
      </c>
      <c r="Z189" s="246">
        <v>0.32</v>
      </c>
      <c r="AA189" s="898" t="s">
        <v>736</v>
      </c>
      <c r="AB189" s="246">
        <v>0.32</v>
      </c>
      <c r="AC189" s="835">
        <v>0.35</v>
      </c>
      <c r="AD189" s="816">
        <v>0.31</v>
      </c>
      <c r="AE189" s="835">
        <v>0.35</v>
      </c>
      <c r="AF189" s="816"/>
      <c r="AG189" s="835">
        <v>0.3</v>
      </c>
      <c r="AH189" s="913">
        <v>0.31</v>
      </c>
      <c r="AI189" s="937">
        <v>0.3</v>
      </c>
      <c r="AJ189" s="937">
        <v>0.3</v>
      </c>
      <c r="AK189" s="937">
        <v>0.32</v>
      </c>
      <c r="AL189" s="937"/>
    </row>
    <row r="190" spans="1:38" ht="27.4" customHeight="1" x14ac:dyDescent="0.4">
      <c r="B190" s="1374"/>
      <c r="C190" s="1375"/>
      <c r="D190" s="1019"/>
      <c r="E190" s="1020"/>
      <c r="F190" s="97" t="s">
        <v>572</v>
      </c>
      <c r="G190" s="56" t="s">
        <v>137</v>
      </c>
      <c r="H190" s="56" t="s">
        <v>491</v>
      </c>
      <c r="I190" s="56"/>
      <c r="J190" s="98"/>
      <c r="K190" s="246">
        <v>14.1</v>
      </c>
      <c r="L190" s="798"/>
      <c r="M190" s="411">
        <v>14</v>
      </c>
      <c r="N190" s="246">
        <v>14</v>
      </c>
      <c r="O190" s="335"/>
      <c r="P190" s="246">
        <v>14</v>
      </c>
      <c r="Q190" s="246"/>
      <c r="R190" s="246">
        <v>14.1</v>
      </c>
      <c r="S190" s="246"/>
      <c r="T190" s="246">
        <v>14.4</v>
      </c>
      <c r="U190" s="246"/>
      <c r="V190" s="246">
        <v>14.2</v>
      </c>
      <c r="W190" s="246"/>
      <c r="X190" s="246">
        <v>14.2</v>
      </c>
      <c r="Y190" s="246">
        <v>13.8</v>
      </c>
      <c r="Z190" s="246">
        <v>14.2</v>
      </c>
      <c r="AA190" s="898" t="s">
        <v>737</v>
      </c>
      <c r="AB190" s="246">
        <v>14.2</v>
      </c>
      <c r="AC190" s="835">
        <v>14.1</v>
      </c>
      <c r="AD190" s="816">
        <v>14.5</v>
      </c>
      <c r="AE190" s="835">
        <v>14</v>
      </c>
      <c r="AF190" s="816"/>
      <c r="AG190" s="835">
        <v>14</v>
      </c>
      <c r="AH190" s="913">
        <v>13.9</v>
      </c>
      <c r="AI190" s="937">
        <v>13.5</v>
      </c>
      <c r="AJ190" s="937">
        <v>14.2</v>
      </c>
      <c r="AK190" s="937">
        <v>14.4</v>
      </c>
      <c r="AL190" s="937"/>
    </row>
    <row r="191" spans="1:38" ht="27.4" customHeight="1" x14ac:dyDescent="0.4">
      <c r="B191" s="1374"/>
      <c r="C191" s="1375"/>
      <c r="D191" s="1019"/>
      <c r="E191" s="1020"/>
      <c r="F191" s="87" t="s">
        <v>600</v>
      </c>
      <c r="G191" s="83" t="s">
        <v>137</v>
      </c>
      <c r="H191" s="83" t="s">
        <v>345</v>
      </c>
      <c r="I191" s="83"/>
      <c r="J191" s="88"/>
      <c r="K191" s="246">
        <v>0</v>
      </c>
      <c r="L191" s="798"/>
      <c r="M191" s="411">
        <v>0</v>
      </c>
      <c r="N191" s="246">
        <v>0</v>
      </c>
      <c r="O191" s="335"/>
      <c r="P191" s="246">
        <v>0</v>
      </c>
      <c r="Q191" s="246"/>
      <c r="R191" s="246">
        <v>0</v>
      </c>
      <c r="S191" s="246"/>
      <c r="T191" s="246">
        <v>0</v>
      </c>
      <c r="U191" s="246"/>
      <c r="V191" s="246">
        <v>0</v>
      </c>
      <c r="W191" s="246"/>
      <c r="X191" s="246">
        <v>0</v>
      </c>
      <c r="Y191" s="246">
        <v>0</v>
      </c>
      <c r="Z191" s="246">
        <v>0</v>
      </c>
      <c r="AA191" s="898">
        <v>0</v>
      </c>
      <c r="AB191" s="246">
        <v>0</v>
      </c>
      <c r="AC191" s="835">
        <v>0</v>
      </c>
      <c r="AD191" s="816">
        <v>0</v>
      </c>
      <c r="AE191" s="835">
        <v>0</v>
      </c>
      <c r="AF191" s="816"/>
      <c r="AG191" s="835">
        <v>0</v>
      </c>
      <c r="AH191" s="913">
        <v>0</v>
      </c>
      <c r="AI191" s="937">
        <v>0</v>
      </c>
      <c r="AJ191" s="937">
        <v>0</v>
      </c>
      <c r="AK191" s="937">
        <v>0</v>
      </c>
      <c r="AL191" s="937"/>
    </row>
    <row r="192" spans="1:38" ht="39" customHeight="1" x14ac:dyDescent="0.4">
      <c r="B192" s="1374"/>
      <c r="C192" s="1375"/>
      <c r="D192" s="1019"/>
      <c r="E192" s="1020"/>
      <c r="F192" s="97" t="s">
        <v>574</v>
      </c>
      <c r="G192" s="56" t="s">
        <v>21</v>
      </c>
      <c r="H192" s="56"/>
      <c r="I192" s="56"/>
      <c r="J192" s="98" t="s">
        <v>575</v>
      </c>
      <c r="K192" s="261" t="s">
        <v>48</v>
      </c>
      <c r="M192" s="412" t="s">
        <v>48</v>
      </c>
      <c r="N192" s="261" t="s">
        <v>48</v>
      </c>
      <c r="O192" s="768"/>
      <c r="P192" s="261" t="s">
        <v>48</v>
      </c>
      <c r="Q192" s="261"/>
      <c r="R192" s="261" t="s">
        <v>48</v>
      </c>
      <c r="S192" s="261"/>
      <c r="T192" s="261" t="s">
        <v>48</v>
      </c>
      <c r="U192" s="261"/>
      <c r="V192" s="261" t="s">
        <v>48</v>
      </c>
      <c r="W192" s="261"/>
      <c r="X192" s="261" t="s">
        <v>48</v>
      </c>
      <c r="Y192" s="261" t="s">
        <v>667</v>
      </c>
      <c r="Z192" s="261" t="s">
        <v>48</v>
      </c>
      <c r="AA192" s="898" t="s">
        <v>667</v>
      </c>
      <c r="AB192" s="261" t="s">
        <v>48</v>
      </c>
      <c r="AC192" s="837" t="s">
        <v>48</v>
      </c>
      <c r="AD192" s="817" t="s">
        <v>48</v>
      </c>
      <c r="AE192" s="837" t="s">
        <v>48</v>
      </c>
      <c r="AF192" s="817"/>
      <c r="AG192" s="837" t="s">
        <v>48</v>
      </c>
      <c r="AH192" s="914" t="s">
        <v>48</v>
      </c>
      <c r="AI192" s="938" t="s">
        <v>48</v>
      </c>
      <c r="AJ192" s="938" t="s">
        <v>48</v>
      </c>
      <c r="AK192" s="938" t="s">
        <v>48</v>
      </c>
      <c r="AL192" s="938"/>
    </row>
    <row r="193" spans="1:38" ht="27.4" customHeight="1" x14ac:dyDescent="0.4">
      <c r="B193" s="1374"/>
      <c r="C193" s="1375"/>
      <c r="D193" s="1019"/>
      <c r="E193" s="1020"/>
      <c r="F193" s="87" t="s">
        <v>569</v>
      </c>
      <c r="G193" s="83" t="s">
        <v>434</v>
      </c>
      <c r="H193" s="83" t="s">
        <v>73</v>
      </c>
      <c r="I193" s="83"/>
      <c r="J193" s="88"/>
      <c r="K193" s="246"/>
      <c r="L193" s="798"/>
      <c r="M193" s="411"/>
      <c r="N193" s="246"/>
      <c r="O193" s="335"/>
      <c r="P193" s="246"/>
      <c r="Q193" s="246"/>
      <c r="R193" s="246"/>
      <c r="S193" s="246"/>
      <c r="T193" s="246">
        <v>15.15</v>
      </c>
      <c r="U193" s="246"/>
      <c r="V193" s="246">
        <v>14.6</v>
      </c>
      <c r="W193" s="246"/>
      <c r="X193" s="246">
        <v>14.4</v>
      </c>
      <c r="Y193" s="246">
        <v>14.24</v>
      </c>
      <c r="Z193" s="246">
        <v>14.6</v>
      </c>
      <c r="AA193" s="898">
        <v>15</v>
      </c>
      <c r="AB193" s="246">
        <v>14.4</v>
      </c>
      <c r="AC193" s="835"/>
      <c r="AD193" s="816">
        <v>14.5</v>
      </c>
      <c r="AE193" s="835"/>
      <c r="AF193" s="816"/>
      <c r="AG193" s="835">
        <v>14.4</v>
      </c>
      <c r="AH193" s="913">
        <v>14.4</v>
      </c>
      <c r="AI193" s="937">
        <v>14.6</v>
      </c>
      <c r="AJ193" s="937">
        <v>14.1</v>
      </c>
      <c r="AK193" s="937">
        <v>14.98</v>
      </c>
      <c r="AL193" s="937"/>
    </row>
    <row r="194" spans="1:38" s="240" customFormat="1" ht="27.4" customHeight="1" x14ac:dyDescent="0.45">
      <c r="A194" s="237"/>
      <c r="B194" s="1374"/>
      <c r="C194" s="1375"/>
      <c r="D194" s="1019"/>
      <c r="E194" s="1020"/>
      <c r="F194" s="97" t="s">
        <v>577</v>
      </c>
      <c r="G194" s="56" t="s">
        <v>578</v>
      </c>
      <c r="H194" s="56" t="s">
        <v>73</v>
      </c>
      <c r="I194" s="56"/>
      <c r="J194" s="98"/>
      <c r="K194" s="896" t="s">
        <v>738</v>
      </c>
      <c r="L194" s="1008">
        <f>VALUE(LEFT(K194,FIND("D",K194)-1))*24+VALUE(MID(K194,FIND("D",K194)+1,FIND("H",K194)-FIND("D",K194)-1))+VALUE(MID(K194,FIND("H",K194)+1,FIND("M",K194)-FIND("H",K194)-1))/60+VALUE(MID(K194,FIND("M",K194)+1,FIND("S",K194)-FIND("M",K194)-1))/3600</f>
        <v>3002.7638888888887</v>
      </c>
      <c r="M194" s="995" t="s">
        <v>739</v>
      </c>
      <c r="N194" s="896" t="s">
        <v>738</v>
      </c>
      <c r="O194" s="1006">
        <f>VALUE(LEFT(N194,FIND("D",N194)-1))*24+VALUE(MID(N194,FIND("D",N194)+1,FIND("H",N194)-FIND("D",N194)-1))+VALUE(MID(N194,FIND("H",N194)+1,FIND("M",N194)-FIND("H",N194)-1))/60+VALUE(MID(N194,FIND("M",N194)+1,FIND("S",N194)-FIND("M",N194)-1))/3600</f>
        <v>3002.7638888888887</v>
      </c>
      <c r="P194" s="896" t="s">
        <v>740</v>
      </c>
      <c r="Q194" s="246"/>
      <c r="R194" s="896" t="s">
        <v>741</v>
      </c>
      <c r="S194" s="246"/>
      <c r="T194" s="896" t="s">
        <v>742</v>
      </c>
      <c r="U194" s="246"/>
      <c r="V194" s="246"/>
      <c r="W194" s="246"/>
      <c r="X194" s="246"/>
      <c r="Y194" s="246"/>
      <c r="Z194" s="896" t="s">
        <v>743</v>
      </c>
      <c r="AA194" s="905">
        <f>(125*24)+2+(49/60)</f>
        <v>3002.8166666666666</v>
      </c>
      <c r="AB194" s="896" t="s">
        <v>743</v>
      </c>
      <c r="AC194" s="835"/>
      <c r="AD194" s="816">
        <v>3002.82</v>
      </c>
      <c r="AE194" s="835">
        <v>3002.82</v>
      </c>
      <c r="AF194" s="816"/>
      <c r="AG194" s="835">
        <v>3002.82</v>
      </c>
      <c r="AH194" s="913">
        <v>3002.82</v>
      </c>
      <c r="AI194" s="956" t="s">
        <v>744</v>
      </c>
      <c r="AJ194" s="937">
        <v>3002.83</v>
      </c>
      <c r="AK194" s="937">
        <v>3002.83</v>
      </c>
      <c r="AL194" s="937"/>
    </row>
    <row r="195" spans="1:38" s="240" customFormat="1" ht="27.4" customHeight="1" x14ac:dyDescent="0.45">
      <c r="A195" s="237"/>
      <c r="B195" s="1374"/>
      <c r="C195" s="1375"/>
      <c r="D195" s="1019"/>
      <c r="E195" s="1020"/>
      <c r="F195" s="87" t="s">
        <v>588</v>
      </c>
      <c r="G195" s="83" t="s">
        <v>578</v>
      </c>
      <c r="H195" s="83" t="s">
        <v>73</v>
      </c>
      <c r="I195" s="83"/>
      <c r="J195" s="88"/>
      <c r="K195" s="896" t="s">
        <v>745</v>
      </c>
      <c r="L195" s="1006">
        <f>VALUE(LEFT(K195,FIND("D",K195)-1))*24+VALUE(MID(K195,FIND("D",K195)+1,FIND("H",K195)-FIND("D",K195)-1))+VALUE(MID(K195,FIND("H",K195)+1,FIND("M",K195)-FIND("H",K195)-1))/60+VALUE(MID(K195,FIND("M",K195)+1,FIND("S",K195)-FIND("M",K195)-1))/3600</f>
        <v>5232.6997222222226</v>
      </c>
      <c r="M195" s="995" t="s">
        <v>746</v>
      </c>
      <c r="N195" s="896" t="s">
        <v>862</v>
      </c>
      <c r="O195" s="1006">
        <f>VALUE(LEFT(N195,FIND("D",N195)-1))*24+VALUE(MID(N195,FIND("D",N195)+1,FIND("H",N195)-FIND("D",N195)-1))+VALUE(MID(N195,FIND("H",N195)+1,FIND("M",N195)-FIND("H",N195)-1))/60+VALUE(MID(N195,FIND("M",N195)+1,FIND("S",N195)-FIND("M",N195)-1))/3600</f>
        <v>5276.6808333333338</v>
      </c>
      <c r="P195" s="896" t="s">
        <v>747</v>
      </c>
      <c r="Q195" s="246"/>
      <c r="R195" s="896" t="s">
        <v>748</v>
      </c>
      <c r="S195" s="246"/>
      <c r="T195" s="896" t="s">
        <v>749</v>
      </c>
      <c r="U195" s="246"/>
      <c r="V195" s="246"/>
      <c r="W195" s="246"/>
      <c r="X195" s="246"/>
      <c r="Y195" s="246"/>
      <c r="Z195" s="896" t="s">
        <v>750</v>
      </c>
      <c r="AA195" s="905">
        <f>(226*24)+14+(1/24)</f>
        <v>5438.041666666667</v>
      </c>
      <c r="AB195" s="896" t="s">
        <v>751</v>
      </c>
      <c r="AC195" s="835"/>
      <c r="AD195" s="816">
        <v>5484.98</v>
      </c>
      <c r="AE195" s="835"/>
      <c r="AF195" s="816"/>
      <c r="AG195" s="835"/>
      <c r="AH195" s="913">
        <v>5526.79</v>
      </c>
      <c r="AI195" s="956" t="s">
        <v>752</v>
      </c>
      <c r="AJ195" s="937">
        <v>5594.45</v>
      </c>
      <c r="AK195" s="937">
        <v>5617.48</v>
      </c>
      <c r="AL195" s="937"/>
    </row>
    <row r="196" spans="1:38" ht="27.4" customHeight="1" thickBot="1" x14ac:dyDescent="0.45">
      <c r="B196" s="1374"/>
      <c r="C196" s="1375"/>
      <c r="D196" s="1021"/>
      <c r="E196" s="1022"/>
      <c r="F196" s="348" t="s">
        <v>595</v>
      </c>
      <c r="G196" s="349" t="s">
        <v>115</v>
      </c>
      <c r="H196" s="349" t="s">
        <v>73</v>
      </c>
      <c r="I196" s="349" t="s">
        <v>21</v>
      </c>
      <c r="J196" s="350" t="s">
        <v>21</v>
      </c>
      <c r="K196" s="246">
        <v>752.99</v>
      </c>
      <c r="L196" s="798"/>
      <c r="M196" s="411">
        <v>753</v>
      </c>
      <c r="N196" s="246">
        <v>753.03</v>
      </c>
      <c r="O196" s="335"/>
      <c r="P196" s="246">
        <v>753</v>
      </c>
      <c r="Q196" s="246"/>
      <c r="R196" s="246">
        <v>752.8</v>
      </c>
      <c r="S196" s="246"/>
      <c r="T196" s="246">
        <v>753.1</v>
      </c>
      <c r="U196" s="246"/>
      <c r="V196" s="246">
        <v>753.2</v>
      </c>
      <c r="W196" s="246"/>
      <c r="X196" s="246">
        <v>753.2</v>
      </c>
      <c r="Y196" s="246"/>
      <c r="Z196" s="246">
        <v>753.2</v>
      </c>
      <c r="AB196" s="246">
        <v>753.2</v>
      </c>
      <c r="AC196" s="835">
        <v>752.99</v>
      </c>
      <c r="AD196" s="816">
        <v>753.05</v>
      </c>
      <c r="AE196" s="835">
        <v>753</v>
      </c>
      <c r="AF196" s="816"/>
      <c r="AG196" s="835">
        <v>753.5</v>
      </c>
      <c r="AH196" s="913">
        <v>752.4</v>
      </c>
      <c r="AI196" s="937">
        <v>753.4</v>
      </c>
      <c r="AJ196" s="937">
        <v>752.9</v>
      </c>
      <c r="AK196" s="937">
        <v>753.01</v>
      </c>
      <c r="AL196" s="937"/>
    </row>
    <row r="197" spans="1:38" ht="27.4" customHeight="1" thickTop="1" x14ac:dyDescent="0.4">
      <c r="B197" s="1374"/>
      <c r="C197" s="1375"/>
      <c r="D197" s="1033" t="s">
        <v>616</v>
      </c>
      <c r="E197" s="1034"/>
      <c r="F197" s="103" t="s">
        <v>523</v>
      </c>
      <c r="G197" s="61" t="s">
        <v>21</v>
      </c>
      <c r="H197" s="61" t="s">
        <v>21</v>
      </c>
      <c r="I197" s="61"/>
      <c r="J197" s="104" t="s">
        <v>451</v>
      </c>
      <c r="K197" s="347"/>
      <c r="L197" s="799"/>
      <c r="M197" s="410"/>
      <c r="N197" s="347"/>
      <c r="O197" s="35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  <c r="AB197" s="347"/>
      <c r="AC197" s="838" t="s">
        <v>59</v>
      </c>
      <c r="AD197" s="820" t="s">
        <v>59</v>
      </c>
      <c r="AE197" s="838" t="s">
        <v>59</v>
      </c>
      <c r="AF197" s="820"/>
      <c r="AG197" s="838" t="s">
        <v>59</v>
      </c>
      <c r="AH197" s="918" t="s">
        <v>59</v>
      </c>
      <c r="AI197" s="942" t="s">
        <v>59</v>
      </c>
      <c r="AJ197" s="942" t="s">
        <v>59</v>
      </c>
      <c r="AK197" s="942">
        <v>1</v>
      </c>
      <c r="AL197" s="942"/>
    </row>
    <row r="198" spans="1:38" ht="27.4" customHeight="1" x14ac:dyDescent="0.4">
      <c r="B198" s="1374"/>
      <c r="C198" s="1375"/>
      <c r="D198" s="1035"/>
      <c r="E198" s="1036"/>
      <c r="F198" s="97" t="s">
        <v>617</v>
      </c>
      <c r="G198" s="56" t="s">
        <v>137</v>
      </c>
      <c r="H198" s="56" t="s">
        <v>345</v>
      </c>
      <c r="I198" s="56"/>
      <c r="J198" s="98"/>
      <c r="K198" s="246"/>
      <c r="L198" s="798"/>
      <c r="M198" s="411"/>
      <c r="N198" s="246"/>
      <c r="O198" s="255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B198" s="246"/>
      <c r="AC198" s="835" t="s">
        <v>21</v>
      </c>
      <c r="AD198" s="816" t="s">
        <v>21</v>
      </c>
      <c r="AE198" s="835" t="s">
        <v>21</v>
      </c>
      <c r="AF198" s="816"/>
      <c r="AG198" s="835" t="s">
        <v>21</v>
      </c>
      <c r="AH198" s="913" t="s">
        <v>21</v>
      </c>
      <c r="AI198" s="937" t="s">
        <v>21</v>
      </c>
      <c r="AJ198" s="937" t="s">
        <v>21</v>
      </c>
      <c r="AK198" s="937">
        <v>0.01</v>
      </c>
      <c r="AL198" s="937"/>
    </row>
    <row r="199" spans="1:38" ht="27.4" customHeight="1" thickBot="1" x14ac:dyDescent="0.5">
      <c r="B199" s="1374"/>
      <c r="C199" s="1375"/>
      <c r="D199" s="1380"/>
      <c r="E199" s="1383"/>
      <c r="F199" s="339" t="s">
        <v>595</v>
      </c>
      <c r="G199" s="111" t="s">
        <v>115</v>
      </c>
      <c r="H199" s="111" t="s">
        <v>73</v>
      </c>
      <c r="I199" s="111" t="s">
        <v>21</v>
      </c>
      <c r="J199" s="112" t="s">
        <v>21</v>
      </c>
      <c r="K199" s="352"/>
      <c r="L199" s="1000"/>
      <c r="M199" s="413"/>
      <c r="N199" s="352"/>
      <c r="O199" s="36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898">
        <v>753</v>
      </c>
      <c r="AB199" s="352"/>
      <c r="AC199" s="839">
        <v>752.99</v>
      </c>
      <c r="AD199" s="822">
        <v>753.05</v>
      </c>
      <c r="AE199" s="906">
        <v>753</v>
      </c>
      <c r="AF199" s="822"/>
      <c r="AG199" s="839">
        <v>753.55</v>
      </c>
      <c r="AH199" s="919">
        <v>752.4</v>
      </c>
      <c r="AI199" s="943">
        <v>753.6</v>
      </c>
      <c r="AJ199" s="943">
        <v>752.9</v>
      </c>
      <c r="AK199" s="943">
        <v>749.6</v>
      </c>
      <c r="AL199" s="943"/>
    </row>
    <row r="200" spans="1:38" ht="27.4" customHeight="1" thickTop="1" thickBot="1" x14ac:dyDescent="0.45">
      <c r="B200" s="1374"/>
      <c r="C200" s="1375"/>
      <c r="D200" s="1368" t="s">
        <v>618</v>
      </c>
      <c r="E200" s="1369"/>
      <c r="F200" s="343" t="s">
        <v>753</v>
      </c>
      <c r="G200" s="344" t="s">
        <v>72</v>
      </c>
      <c r="H200" s="344"/>
      <c r="I200" s="344"/>
      <c r="J200" s="345"/>
      <c r="K200" s="347"/>
      <c r="L200" s="799"/>
      <c r="M200" s="410"/>
      <c r="N200" s="347"/>
      <c r="O200" s="346"/>
      <c r="P200" s="347"/>
      <c r="Q200" s="347"/>
      <c r="R200" s="347"/>
      <c r="S200" s="347"/>
      <c r="T200" s="347">
        <v>0</v>
      </c>
      <c r="U200" s="347"/>
      <c r="V200" s="347">
        <v>0</v>
      </c>
      <c r="W200" s="347"/>
      <c r="X200" s="347">
        <v>0</v>
      </c>
      <c r="Y200" s="347"/>
      <c r="Z200" s="347">
        <v>0</v>
      </c>
      <c r="AB200" s="347">
        <v>0</v>
      </c>
      <c r="AC200" s="838">
        <v>0</v>
      </c>
      <c r="AD200" s="820">
        <v>0</v>
      </c>
      <c r="AE200" s="839">
        <v>0</v>
      </c>
      <c r="AF200" s="820"/>
      <c r="AG200" s="838">
        <v>0</v>
      </c>
      <c r="AH200" s="918">
        <v>0</v>
      </c>
      <c r="AI200" s="942">
        <v>0</v>
      </c>
      <c r="AJ200" s="942">
        <v>3</v>
      </c>
      <c r="AK200" s="942">
        <v>10</v>
      </c>
      <c r="AL200" s="942"/>
    </row>
    <row r="201" spans="1:38" ht="27.4" customHeight="1" thickTop="1" thickBot="1" x14ac:dyDescent="0.45">
      <c r="B201" s="1374"/>
      <c r="C201" s="1375"/>
      <c r="D201" s="1370"/>
      <c r="E201" s="1371"/>
      <c r="F201" s="348" t="s">
        <v>401</v>
      </c>
      <c r="G201" s="349" t="s">
        <v>77</v>
      </c>
      <c r="H201" s="349"/>
      <c r="I201" s="349" t="s">
        <v>620</v>
      </c>
      <c r="J201" s="350" t="s">
        <v>621</v>
      </c>
      <c r="K201" s="352"/>
      <c r="L201" s="1000"/>
      <c r="M201" s="418"/>
      <c r="N201" s="352"/>
      <c r="O201" s="351"/>
      <c r="P201" s="352"/>
      <c r="Q201" s="352"/>
      <c r="R201" s="352"/>
      <c r="S201" s="352"/>
      <c r="T201" s="352" t="s">
        <v>622</v>
      </c>
      <c r="U201" s="352"/>
      <c r="V201" s="352"/>
      <c r="W201" s="352"/>
      <c r="X201" s="352"/>
      <c r="Y201" s="352"/>
      <c r="Z201" s="352"/>
      <c r="AB201" s="352"/>
      <c r="AC201" s="839" t="s">
        <v>622</v>
      </c>
      <c r="AD201" s="822" t="s">
        <v>622</v>
      </c>
      <c r="AE201" s="839" t="s">
        <v>622</v>
      </c>
      <c r="AF201" s="822"/>
      <c r="AG201" s="839" t="s">
        <v>622</v>
      </c>
      <c r="AH201" s="919" t="s">
        <v>622</v>
      </c>
      <c r="AI201" s="943" t="s">
        <v>622</v>
      </c>
      <c r="AJ201" s="943" t="s">
        <v>622</v>
      </c>
      <c r="AK201" s="943" t="s">
        <v>622</v>
      </c>
      <c r="AL201" s="943"/>
    </row>
    <row r="202" spans="1:38" ht="27.4" customHeight="1" thickTop="1" x14ac:dyDescent="0.4">
      <c r="B202" s="1374"/>
      <c r="C202" s="1375"/>
      <c r="D202" s="1033" t="s">
        <v>624</v>
      </c>
      <c r="E202" s="1034"/>
      <c r="F202" s="103" t="s">
        <v>625</v>
      </c>
      <c r="G202" s="61" t="s">
        <v>137</v>
      </c>
      <c r="H202" s="61" t="s">
        <v>345</v>
      </c>
      <c r="I202" s="61"/>
      <c r="J202" s="104"/>
      <c r="K202" s="260">
        <v>6.2</v>
      </c>
      <c r="L202" s="798"/>
      <c r="M202" s="411">
        <v>6.2</v>
      </c>
      <c r="N202" s="335">
        <v>6.2</v>
      </c>
      <c r="O202" s="335"/>
      <c r="P202" s="335">
        <v>6.2</v>
      </c>
      <c r="Q202" s="335"/>
      <c r="R202" s="335">
        <v>6.2</v>
      </c>
      <c r="S202" s="335"/>
      <c r="T202" s="335">
        <v>6.3</v>
      </c>
      <c r="U202" s="335"/>
      <c r="V202" s="335">
        <v>6.2</v>
      </c>
      <c r="W202" s="335"/>
      <c r="X202" s="335">
        <v>6.2</v>
      </c>
      <c r="Y202" s="335">
        <v>6.3</v>
      </c>
      <c r="Z202" s="335">
        <v>6.2</v>
      </c>
      <c r="AA202" s="898" t="s">
        <v>708</v>
      </c>
      <c r="AB202" s="335">
        <v>6.2</v>
      </c>
      <c r="AC202" s="841">
        <v>6.2</v>
      </c>
      <c r="AD202" s="831">
        <v>6.4</v>
      </c>
      <c r="AE202" s="841">
        <v>6.2</v>
      </c>
      <c r="AF202" s="831"/>
      <c r="AG202" s="841">
        <v>6.2</v>
      </c>
      <c r="AH202" s="921">
        <v>6.3</v>
      </c>
      <c r="AI202" s="945">
        <v>6.3</v>
      </c>
      <c r="AJ202" s="945">
        <v>6.21</v>
      </c>
      <c r="AK202" s="945">
        <v>6.22</v>
      </c>
      <c r="AL202" s="945"/>
    </row>
    <row r="203" spans="1:38" ht="27.4" customHeight="1" x14ac:dyDescent="0.4">
      <c r="B203" s="1374"/>
      <c r="C203" s="1375"/>
      <c r="D203" s="1035"/>
      <c r="E203" s="1036"/>
      <c r="F203" s="97" t="s">
        <v>626</v>
      </c>
      <c r="G203" s="56" t="s">
        <v>137</v>
      </c>
      <c r="H203" s="56" t="s">
        <v>345</v>
      </c>
      <c r="I203" s="56"/>
      <c r="J203" s="98"/>
      <c r="K203" s="246">
        <v>0</v>
      </c>
      <c r="L203" s="798"/>
      <c r="M203" s="411">
        <v>0</v>
      </c>
      <c r="N203" s="335">
        <v>0</v>
      </c>
      <c r="O203" s="335"/>
      <c r="P203" s="335">
        <v>0</v>
      </c>
      <c r="Q203" s="335"/>
      <c r="R203" s="335">
        <v>0</v>
      </c>
      <c r="S203" s="335"/>
      <c r="T203" s="335">
        <v>0</v>
      </c>
      <c r="U203" s="335"/>
      <c r="V203" s="335">
        <v>0</v>
      </c>
      <c r="W203" s="335"/>
      <c r="X203" s="335">
        <v>0</v>
      </c>
      <c r="Y203" s="335">
        <v>0</v>
      </c>
      <c r="Z203" s="335">
        <v>0</v>
      </c>
      <c r="AA203" s="898">
        <v>0</v>
      </c>
      <c r="AB203" s="335">
        <v>0</v>
      </c>
      <c r="AC203" s="841">
        <v>0</v>
      </c>
      <c r="AD203" s="831">
        <v>0</v>
      </c>
      <c r="AE203" s="841">
        <v>0</v>
      </c>
      <c r="AF203" s="831"/>
      <c r="AG203" s="841">
        <v>0</v>
      </c>
      <c r="AH203" s="921">
        <v>0</v>
      </c>
      <c r="AI203" s="945">
        <v>0</v>
      </c>
      <c r="AJ203" s="945">
        <v>0</v>
      </c>
      <c r="AK203" s="945">
        <v>0</v>
      </c>
      <c r="AL203" s="945"/>
    </row>
    <row r="204" spans="1:38" ht="27.4" customHeight="1" x14ac:dyDescent="0.4">
      <c r="B204" s="1374"/>
      <c r="C204" s="1375"/>
      <c r="D204" s="1035"/>
      <c r="E204" s="1036"/>
      <c r="F204" s="87" t="s">
        <v>627</v>
      </c>
      <c r="G204" s="83" t="s">
        <v>137</v>
      </c>
      <c r="H204" s="83" t="s">
        <v>345</v>
      </c>
      <c r="I204" s="83"/>
      <c r="J204" s="88"/>
      <c r="K204" s="246">
        <v>0</v>
      </c>
      <c r="L204" s="798"/>
      <c r="M204" s="411">
        <v>0</v>
      </c>
      <c r="N204" s="335">
        <v>0</v>
      </c>
      <c r="O204" s="335"/>
      <c r="P204" s="335">
        <v>0</v>
      </c>
      <c r="Q204" s="335"/>
      <c r="R204" s="335">
        <v>0</v>
      </c>
      <c r="S204" s="335"/>
      <c r="T204" s="335">
        <v>0</v>
      </c>
      <c r="U204" s="335"/>
      <c r="V204" s="335">
        <v>0</v>
      </c>
      <c r="W204" s="335"/>
      <c r="X204" s="335">
        <v>0</v>
      </c>
      <c r="Y204" s="335">
        <v>0</v>
      </c>
      <c r="Z204" s="335">
        <v>0</v>
      </c>
      <c r="AA204" s="898">
        <v>0</v>
      </c>
      <c r="AB204" s="335">
        <v>0</v>
      </c>
      <c r="AC204" s="841">
        <v>0</v>
      </c>
      <c r="AD204" s="831">
        <v>0</v>
      </c>
      <c r="AE204" s="841">
        <v>0</v>
      </c>
      <c r="AF204" s="831"/>
      <c r="AG204" s="841">
        <v>0</v>
      </c>
      <c r="AH204" s="921">
        <v>0</v>
      </c>
      <c r="AI204" s="945">
        <v>0</v>
      </c>
      <c r="AJ204" s="945">
        <v>0</v>
      </c>
      <c r="AK204" s="945">
        <v>0</v>
      </c>
      <c r="AL204" s="945"/>
    </row>
    <row r="205" spans="1:38" ht="27.4" customHeight="1" x14ac:dyDescent="0.4">
      <c r="B205" s="1374"/>
      <c r="C205" s="1375"/>
      <c r="D205" s="1035"/>
      <c r="E205" s="1036"/>
      <c r="F205" s="97" t="s">
        <v>628</v>
      </c>
      <c r="G205" s="56" t="s">
        <v>137</v>
      </c>
      <c r="H205" s="56" t="s">
        <v>345</v>
      </c>
      <c r="I205" s="56"/>
      <c r="J205" s="98"/>
      <c r="K205" s="246">
        <v>0</v>
      </c>
      <c r="L205" s="798"/>
      <c r="M205" s="411">
        <v>0</v>
      </c>
      <c r="N205" s="335">
        <v>0</v>
      </c>
      <c r="O205" s="335"/>
      <c r="P205" s="335">
        <v>0</v>
      </c>
      <c r="Q205" s="335"/>
      <c r="R205" s="335">
        <v>0</v>
      </c>
      <c r="S205" s="335"/>
      <c r="T205" s="335">
        <v>0</v>
      </c>
      <c r="U205" s="335"/>
      <c r="V205" s="335">
        <v>0</v>
      </c>
      <c r="W205" s="335"/>
      <c r="X205" s="335">
        <v>0</v>
      </c>
      <c r="Y205" s="335">
        <v>0</v>
      </c>
      <c r="Z205" s="335">
        <v>0</v>
      </c>
      <c r="AA205" s="898">
        <v>0</v>
      </c>
      <c r="AB205" s="335">
        <v>0</v>
      </c>
      <c r="AC205" s="841">
        <v>0</v>
      </c>
      <c r="AD205" s="831">
        <v>0</v>
      </c>
      <c r="AE205" s="841">
        <v>0</v>
      </c>
      <c r="AF205" s="831"/>
      <c r="AG205" s="841">
        <v>0</v>
      </c>
      <c r="AH205" s="921">
        <v>0</v>
      </c>
      <c r="AI205" s="945">
        <v>0</v>
      </c>
      <c r="AJ205" s="945">
        <v>0</v>
      </c>
      <c r="AK205" s="945">
        <v>0</v>
      </c>
      <c r="AL205" s="945"/>
    </row>
    <row r="206" spans="1:38" ht="27.4" customHeight="1" x14ac:dyDescent="0.4">
      <c r="B206" s="1374"/>
      <c r="C206" s="1375"/>
      <c r="D206" s="1035"/>
      <c r="E206" s="1036"/>
      <c r="F206" s="87" t="s">
        <v>629</v>
      </c>
      <c r="G206" s="83" t="s">
        <v>137</v>
      </c>
      <c r="H206" s="83" t="s">
        <v>345</v>
      </c>
      <c r="I206" s="83"/>
      <c r="J206" s="88"/>
      <c r="K206" s="246">
        <v>0</v>
      </c>
      <c r="L206" s="798"/>
      <c r="M206" s="411">
        <v>0</v>
      </c>
      <c r="N206" s="335">
        <v>0</v>
      </c>
      <c r="O206" s="335"/>
      <c r="P206" s="335">
        <v>0</v>
      </c>
      <c r="Q206" s="335"/>
      <c r="R206" s="335">
        <v>0</v>
      </c>
      <c r="S206" s="335"/>
      <c r="T206" s="335">
        <v>0</v>
      </c>
      <c r="U206" s="335"/>
      <c r="V206" s="335">
        <v>0</v>
      </c>
      <c r="W206" s="335"/>
      <c r="X206" s="335">
        <v>0</v>
      </c>
      <c r="Y206" s="335">
        <v>0</v>
      </c>
      <c r="Z206" s="335">
        <v>0</v>
      </c>
      <c r="AA206" s="898">
        <v>0</v>
      </c>
      <c r="AB206" s="335">
        <v>0</v>
      </c>
      <c r="AC206" s="841">
        <v>0</v>
      </c>
      <c r="AD206" s="831">
        <v>0</v>
      </c>
      <c r="AE206" s="841">
        <v>0</v>
      </c>
      <c r="AF206" s="831"/>
      <c r="AG206" s="841">
        <v>0</v>
      </c>
      <c r="AH206" s="921">
        <v>0</v>
      </c>
      <c r="AI206" s="945">
        <v>0</v>
      </c>
      <c r="AJ206" s="945">
        <v>0</v>
      </c>
      <c r="AK206" s="945">
        <v>0</v>
      </c>
      <c r="AL206" s="945"/>
    </row>
    <row r="207" spans="1:38" ht="27.4" customHeight="1" thickBot="1" x14ac:dyDescent="0.45">
      <c r="B207" s="1376"/>
      <c r="C207" s="1377"/>
      <c r="D207" s="1037"/>
      <c r="E207" s="1038"/>
      <c r="F207" s="89" t="s">
        <v>630</v>
      </c>
      <c r="G207" s="90" t="s">
        <v>137</v>
      </c>
      <c r="H207" s="90" t="s">
        <v>345</v>
      </c>
      <c r="I207" s="90"/>
      <c r="J207" s="91"/>
      <c r="K207" s="502">
        <v>0</v>
      </c>
      <c r="L207" s="1007"/>
      <c r="M207" s="907">
        <v>0</v>
      </c>
      <c r="N207" s="907">
        <v>0</v>
      </c>
      <c r="O207" s="907"/>
      <c r="P207" s="907">
        <v>0</v>
      </c>
      <c r="Q207" s="907"/>
      <c r="R207" s="907">
        <v>0</v>
      </c>
      <c r="S207" s="907"/>
      <c r="T207" s="907">
        <v>0</v>
      </c>
      <c r="U207" s="907"/>
      <c r="V207" s="907">
        <v>0</v>
      </c>
      <c r="W207" s="907"/>
      <c r="X207" s="907">
        <v>0</v>
      </c>
      <c r="Y207" s="907">
        <v>0</v>
      </c>
      <c r="Z207" s="907">
        <v>0</v>
      </c>
      <c r="AA207" s="908">
        <v>0</v>
      </c>
      <c r="AB207" s="907">
        <v>0</v>
      </c>
      <c r="AC207" s="909">
        <v>0</v>
      </c>
      <c r="AD207" s="910">
        <v>0</v>
      </c>
      <c r="AE207" s="909">
        <v>0</v>
      </c>
      <c r="AF207" s="910"/>
      <c r="AG207" s="909">
        <v>0</v>
      </c>
      <c r="AH207" s="932">
        <v>0</v>
      </c>
      <c r="AI207" s="957">
        <v>0</v>
      </c>
      <c r="AJ207" s="957">
        <v>0</v>
      </c>
      <c r="AK207" s="957">
        <v>0</v>
      </c>
      <c r="AL207" s="957"/>
    </row>
    <row r="208" spans="1:38" ht="27.4" customHeight="1" thickBot="1" x14ac:dyDescent="0.5">
      <c r="B208" s="48"/>
      <c r="C208" s="48"/>
      <c r="D208" s="59"/>
      <c r="E208" s="59"/>
      <c r="F208" s="9"/>
      <c r="G208" s="36"/>
      <c r="H208" s="36"/>
      <c r="I208" s="49"/>
      <c r="J208" s="36"/>
      <c r="K208" s="240"/>
      <c r="L208" s="240"/>
      <c r="M208" s="240"/>
      <c r="N208" s="240"/>
      <c r="O208" s="240"/>
      <c r="AI208" s="240"/>
      <c r="AJ208" s="240"/>
      <c r="AK208" s="240"/>
      <c r="AL208" s="240"/>
    </row>
    <row r="209" spans="2:38" ht="27.4" customHeight="1" x14ac:dyDescent="0.4">
      <c r="B209" s="5"/>
      <c r="C209" s="5"/>
      <c r="D209" s="60"/>
      <c r="E209" s="1013" t="s">
        <v>201</v>
      </c>
      <c r="F209" s="1014"/>
      <c r="G209" s="1014"/>
      <c r="H209" s="1014"/>
      <c r="I209" s="1014"/>
      <c r="J209" s="1014"/>
      <c r="K209" s="1124"/>
      <c r="L209" s="998"/>
      <c r="M209" s="1124"/>
      <c r="N209" s="1124"/>
      <c r="O209" s="1124"/>
      <c r="P209" s="1124"/>
      <c r="Q209" s="1124"/>
      <c r="R209" s="1124"/>
      <c r="S209" s="1124"/>
      <c r="T209" s="1124"/>
      <c r="U209" s="1124"/>
      <c r="V209" s="1124"/>
      <c r="W209" s="1124"/>
      <c r="X209" s="1124"/>
      <c r="Y209" s="1124"/>
      <c r="Z209" s="1124"/>
      <c r="AA209" s="1329"/>
      <c r="AB209" s="1124"/>
      <c r="AC209" s="1126"/>
      <c r="AD209" s="1128"/>
      <c r="AE209" s="1126"/>
      <c r="AF209" s="1128"/>
      <c r="AG209" s="1126"/>
      <c r="AH209" s="1128"/>
      <c r="AI209" s="1126"/>
      <c r="AJ209" s="1126"/>
      <c r="AK209" s="1126"/>
      <c r="AL209" s="1126"/>
    </row>
    <row r="210" spans="2:38" ht="42" customHeight="1" thickBot="1" x14ac:dyDescent="0.45">
      <c r="B210" s="5"/>
      <c r="C210" s="5"/>
      <c r="D210" s="60"/>
      <c r="E210" s="1015"/>
      <c r="F210" s="1016"/>
      <c r="G210" s="1016"/>
      <c r="H210" s="1016"/>
      <c r="I210" s="1016"/>
      <c r="J210" s="1016"/>
      <c r="K210" s="1125"/>
      <c r="L210" s="999"/>
      <c r="M210" s="1125"/>
      <c r="N210" s="1125"/>
      <c r="O210" s="1125"/>
      <c r="P210" s="1125"/>
      <c r="Q210" s="1125"/>
      <c r="R210" s="1125"/>
      <c r="S210" s="1125"/>
      <c r="T210" s="1125"/>
      <c r="U210" s="1125"/>
      <c r="V210" s="1125"/>
      <c r="W210" s="1125"/>
      <c r="X210" s="1125"/>
      <c r="Y210" s="1125"/>
      <c r="Z210" s="1125"/>
      <c r="AA210" s="1330"/>
      <c r="AB210" s="1125"/>
      <c r="AC210" s="1127"/>
      <c r="AD210" s="1129"/>
      <c r="AE210" s="1127"/>
      <c r="AF210" s="1129"/>
      <c r="AG210" s="1127"/>
      <c r="AH210" s="1129"/>
      <c r="AI210" s="1127"/>
      <c r="AJ210" s="1127"/>
      <c r="AK210" s="1127"/>
      <c r="AL210" s="1127"/>
    </row>
    <row r="211" spans="2:38" ht="27.4" customHeight="1" thickBot="1" x14ac:dyDescent="0.45">
      <c r="B211" s="5"/>
      <c r="C211" s="5"/>
      <c r="D211" s="60"/>
      <c r="E211" s="1011" t="s">
        <v>123</v>
      </c>
      <c r="F211" s="1012"/>
      <c r="G211" s="1012"/>
      <c r="H211" s="1012"/>
      <c r="I211" s="1012"/>
      <c r="J211" s="1012"/>
      <c r="K211" s="409" t="s">
        <v>336</v>
      </c>
      <c r="L211" s="852"/>
      <c r="M211" s="408" t="s">
        <v>205</v>
      </c>
      <c r="N211" s="409" t="s">
        <v>336</v>
      </c>
      <c r="O211" s="408"/>
      <c r="P211" s="408" t="s">
        <v>205</v>
      </c>
      <c r="Q211" s="408"/>
      <c r="R211" s="408" t="s">
        <v>206</v>
      </c>
      <c r="S211" s="408"/>
      <c r="T211" s="408" t="s">
        <v>206</v>
      </c>
      <c r="U211" s="408"/>
      <c r="V211" s="408" t="s">
        <v>206</v>
      </c>
      <c r="W211" s="408"/>
      <c r="X211" s="408" t="s">
        <v>206</v>
      </c>
      <c r="Y211" s="408" t="s">
        <v>754</v>
      </c>
      <c r="Z211" s="408" t="s">
        <v>632</v>
      </c>
      <c r="AA211" s="902" t="s">
        <v>754</v>
      </c>
      <c r="AB211" s="408" t="s">
        <v>632</v>
      </c>
      <c r="AC211" s="408" t="s">
        <v>635</v>
      </c>
      <c r="AD211" s="409" t="s">
        <v>208</v>
      </c>
      <c r="AE211" s="409" t="s">
        <v>253</v>
      </c>
      <c r="AF211" s="852"/>
      <c r="AG211" s="409" t="s">
        <v>253</v>
      </c>
      <c r="AH211" s="409" t="s">
        <v>208</v>
      </c>
      <c r="AI211" s="409" t="s">
        <v>206</v>
      </c>
      <c r="AJ211" s="409" t="s">
        <v>210</v>
      </c>
      <c r="AK211" s="409" t="s">
        <v>210</v>
      </c>
      <c r="AL211" s="408"/>
    </row>
  </sheetData>
  <mergeCells count="87">
    <mergeCell ref="B173:C207"/>
    <mergeCell ref="D173:E184"/>
    <mergeCell ref="D185:E196"/>
    <mergeCell ref="D142:E152"/>
    <mergeCell ref="D157:E172"/>
    <mergeCell ref="D155:E156"/>
    <mergeCell ref="D153:E154"/>
    <mergeCell ref="B112:C172"/>
    <mergeCell ref="D112:E125"/>
    <mergeCell ref="D130:E141"/>
    <mergeCell ref="D126:E129"/>
    <mergeCell ref="D197:E199"/>
    <mergeCell ref="E211:J211"/>
    <mergeCell ref="E209:J210"/>
    <mergeCell ref="D200:E201"/>
    <mergeCell ref="D202:E207"/>
    <mergeCell ref="N209:N210"/>
    <mergeCell ref="O209:O210"/>
    <mergeCell ref="D78:E81"/>
    <mergeCell ref="K209:K210"/>
    <mergeCell ref="D65:E68"/>
    <mergeCell ref="D96:E98"/>
    <mergeCell ref="M209:M210"/>
    <mergeCell ref="B65:C111"/>
    <mergeCell ref="D92:E95"/>
    <mergeCell ref="D109:E111"/>
    <mergeCell ref="D105:E108"/>
    <mergeCell ref="D89:E91"/>
    <mergeCell ref="D99:E104"/>
    <mergeCell ref="D82:E88"/>
    <mergeCell ref="D69:E72"/>
    <mergeCell ref="D73:E77"/>
    <mergeCell ref="A1:J1"/>
    <mergeCell ref="B2:J2"/>
    <mergeCell ref="B3:E3"/>
    <mergeCell ref="F3:I3"/>
    <mergeCell ref="H5:H7"/>
    <mergeCell ref="I5:I7"/>
    <mergeCell ref="J5:J7"/>
    <mergeCell ref="B5:C7"/>
    <mergeCell ref="D5:E7"/>
    <mergeCell ref="F5:F7"/>
    <mergeCell ref="G5:G7"/>
    <mergeCell ref="P209:P210"/>
    <mergeCell ref="Q209:Q210"/>
    <mergeCell ref="R5:S5"/>
    <mergeCell ref="R209:R210"/>
    <mergeCell ref="S209:S210"/>
    <mergeCell ref="P5:Q5"/>
    <mergeCell ref="T209:T210"/>
    <mergeCell ref="U209:U210"/>
    <mergeCell ref="X5:Y5"/>
    <mergeCell ref="X209:X210"/>
    <mergeCell ref="Y209:Y210"/>
    <mergeCell ref="V5:W5"/>
    <mergeCell ref="V209:V210"/>
    <mergeCell ref="W209:W210"/>
    <mergeCell ref="T5:U5"/>
    <mergeCell ref="B8:C64"/>
    <mergeCell ref="AK5:AL5"/>
    <mergeCell ref="D8:E12"/>
    <mergeCell ref="D13:E17"/>
    <mergeCell ref="D18:E20"/>
    <mergeCell ref="D21:E24"/>
    <mergeCell ref="D25:E44"/>
    <mergeCell ref="Z5:AA5"/>
    <mergeCell ref="N5:O5"/>
    <mergeCell ref="K5:M5"/>
    <mergeCell ref="AC5:AD5"/>
    <mergeCell ref="AE5:AF5"/>
    <mergeCell ref="AG5:AH5"/>
    <mergeCell ref="AK209:AK210"/>
    <mergeCell ref="AL209:AL210"/>
    <mergeCell ref="D45:E46"/>
    <mergeCell ref="D47:E54"/>
    <mergeCell ref="D55:E64"/>
    <mergeCell ref="AI209:AI210"/>
    <mergeCell ref="AJ209:AJ210"/>
    <mergeCell ref="Z209:Z210"/>
    <mergeCell ref="AA209:AA210"/>
    <mergeCell ref="AB209:AB210"/>
    <mergeCell ref="AC209:AC210"/>
    <mergeCell ref="AD209:AD210"/>
    <mergeCell ref="AE209:AE210"/>
    <mergeCell ref="AF209:AF210"/>
    <mergeCell ref="AG209:AG210"/>
    <mergeCell ref="AH209:AH210"/>
  </mergeCells>
  <phoneticPr fontId="23" type="noConversion"/>
  <conditionalFormatting sqref="K7:XFD7">
    <cfRule type="containsText" dxfId="5" priority="1" operator="containsText" text="F/S">
      <formula>NOT(ISERROR(SEARCH("F/S",K7)))</formula>
    </cfRule>
  </conditionalFormatting>
  <dataValidations disablePrompts="1" count="3">
    <dataValidation type="list" allowBlank="1" showInputMessage="1" showErrorMessage="1" sqref="K57:L57 K60:L60 N57" xr:uid="{FD3AD332-973F-4BF7-AEC6-1E863E2AB555}">
      <formula1>"1–2, 2–3, 1–3"</formula1>
    </dataValidation>
    <dataValidation type="list" allowBlank="1" showInputMessage="1" showErrorMessage="1" sqref="K211:L211 N211 AD211:AE211 AG211:AK211" xr:uid="{CBB763B8-BC80-47D8-AEF1-7853F46BF3BE}">
      <formula1>"C.C, F.M, G.P, I.A, K.T, L.M, L.CH, M.P, M.M"</formula1>
    </dataValidation>
    <dataValidation type="list" allowBlank="1" showInputMessage="1" showErrorMessage="1" sqref="AG57 AC57:AE57 AI57:AL57" xr:uid="{9EA131E0-491B-43C9-BAF0-70F5D4C27B89}">
      <formula1>"1–2, 2–3, 1–3,1"</formula1>
    </dataValidation>
  </dataValidations>
  <pageMargins left="0.25" right="0.25" top="0.35" bottom="0.75" header="0.3" footer="0.3"/>
  <pageSetup paperSize="9" scale="57" fitToHeight="0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7F45-A619-467B-A01F-1CAF1C3A5E77}">
  <sheetPr codeName="Hoja13">
    <tabColor theme="9" tint="0.39997558519241921"/>
    <pageSetUpPr fitToPage="1"/>
  </sheetPr>
  <dimension ref="A1:AD115"/>
  <sheetViews>
    <sheetView showGridLines="0" zoomScale="55" zoomScaleNormal="55" workbookViewId="0">
      <pane xSplit="10" ySplit="7" topLeftCell="Y8" activePane="bottomRight" state="frozen"/>
      <selection pane="topRight" activeCell="L1" sqref="L1"/>
      <selection pane="bottomLeft" activeCell="A8" sqref="A8"/>
      <selection pane="bottomRight" activeCell="Y109" sqref="Y109:Y110"/>
    </sheetView>
  </sheetViews>
  <sheetFormatPr baseColWidth="10" defaultColWidth="10.625" defaultRowHeight="16.149999999999999" customHeight="1" x14ac:dyDescent="0.45"/>
  <cols>
    <col min="1" max="1" width="0.125" style="237" customWidth="1"/>
    <col min="2" max="2" width="2.625" style="3" customWidth="1"/>
    <col min="3" max="3" width="6" style="3" customWidth="1"/>
    <col min="4" max="4" width="15" style="58" customWidth="1"/>
    <col min="5" max="5" width="12.625" style="58" customWidth="1"/>
    <col min="6" max="6" width="33.625" style="1" customWidth="1"/>
    <col min="7" max="7" width="9.625" style="1" customWidth="1"/>
    <col min="8" max="8" width="12.375" style="1" customWidth="1"/>
    <col min="9" max="9" width="11.625" style="2" hidden="1" customWidth="1"/>
    <col min="10" max="10" width="17" style="2" bestFit="1" customWidth="1"/>
    <col min="11" max="11" width="10.125" style="240" bestFit="1" customWidth="1"/>
    <col min="12" max="12" width="10.625" style="240" customWidth="1"/>
    <col min="13" max="16384" width="10.625" style="240"/>
  </cols>
  <sheetData>
    <row r="1" spans="2:30" s="237" customFormat="1" ht="52.5" customHeight="1" x14ac:dyDescent="0.4">
      <c r="B1" s="1388" t="s">
        <v>0</v>
      </c>
      <c r="C1" s="1388"/>
      <c r="D1" s="1388"/>
      <c r="E1" s="1388"/>
      <c r="F1" s="1388"/>
      <c r="G1" s="1388"/>
      <c r="H1" s="1388"/>
      <c r="I1" s="1388"/>
      <c r="J1" s="1388"/>
    </row>
    <row r="2" spans="2:30" s="237" customFormat="1" ht="33.75" customHeight="1" x14ac:dyDescent="0.4">
      <c r="B2" s="1040" t="s">
        <v>1</v>
      </c>
      <c r="C2" s="1041"/>
      <c r="D2" s="1041"/>
      <c r="E2" s="1041"/>
      <c r="F2" s="1041" t="s">
        <v>211</v>
      </c>
      <c r="G2" s="1041"/>
      <c r="H2" s="1041" t="s">
        <v>212</v>
      </c>
      <c r="I2" s="1041"/>
      <c r="J2" s="1041"/>
    </row>
    <row r="3" spans="2:30" s="237" customFormat="1" ht="39.75" customHeight="1" x14ac:dyDescent="0.4">
      <c r="B3" s="1390" t="s">
        <v>124</v>
      </c>
      <c r="C3" s="1390"/>
      <c r="D3" s="1390"/>
      <c r="E3" s="1389" t="s">
        <v>755</v>
      </c>
      <c r="F3" s="1389"/>
      <c r="G3" s="1389"/>
      <c r="H3" s="1389"/>
      <c r="I3" s="1389"/>
      <c r="J3" s="257" t="s">
        <v>4</v>
      </c>
    </row>
    <row r="4" spans="2:30" ht="6" customHeight="1" thickBot="1" x14ac:dyDescent="0.5">
      <c r="B4" s="191"/>
      <c r="C4" s="191"/>
      <c r="D4" s="191"/>
      <c r="E4" s="191"/>
      <c r="F4" s="195"/>
      <c r="G4" s="195"/>
      <c r="H4" s="193"/>
      <c r="I4" s="193"/>
      <c r="J4" s="193"/>
    </row>
    <row r="5" spans="2:30" ht="27.4" customHeight="1" thickBot="1" x14ac:dyDescent="0.5">
      <c r="B5" s="1045" t="s">
        <v>126</v>
      </c>
      <c r="C5" s="1046"/>
      <c r="D5" s="1046" t="s">
        <v>5</v>
      </c>
      <c r="E5" s="1046"/>
      <c r="F5" s="1051" t="s">
        <v>6</v>
      </c>
      <c r="G5" s="1054" t="s">
        <v>7</v>
      </c>
      <c r="H5" s="1393" t="s">
        <v>339</v>
      </c>
      <c r="I5" s="1396" t="s">
        <v>8</v>
      </c>
      <c r="J5" s="1058" t="s">
        <v>9</v>
      </c>
      <c r="K5" s="1385">
        <v>46144</v>
      </c>
      <c r="L5" s="1387"/>
      <c r="M5" s="1385">
        <v>46145</v>
      </c>
      <c r="N5" s="1387"/>
      <c r="O5" s="1385">
        <v>46147</v>
      </c>
      <c r="P5" s="1387"/>
      <c r="Q5" s="893">
        <v>46148</v>
      </c>
      <c r="R5" s="893">
        <v>46150</v>
      </c>
      <c r="S5" s="893">
        <v>46153</v>
      </c>
      <c r="T5" s="1385">
        <v>46154</v>
      </c>
      <c r="U5" s="1387"/>
      <c r="V5" s="893">
        <v>46155</v>
      </c>
      <c r="W5" s="1385">
        <v>46156</v>
      </c>
      <c r="X5" s="1387"/>
      <c r="Y5" s="1385">
        <v>46156</v>
      </c>
      <c r="Z5" s="1386"/>
      <c r="AA5" s="933">
        <v>46157</v>
      </c>
      <c r="AB5" s="903">
        <v>46159</v>
      </c>
      <c r="AC5" s="1121">
        <v>46160</v>
      </c>
      <c r="AD5" s="1123"/>
    </row>
    <row r="6" spans="2:30" ht="27.4" customHeight="1" thickBot="1" x14ac:dyDescent="0.5">
      <c r="B6" s="1047"/>
      <c r="C6" s="1048"/>
      <c r="D6" s="1048"/>
      <c r="E6" s="1048"/>
      <c r="F6" s="1052"/>
      <c r="G6" s="1055"/>
      <c r="H6" s="1394"/>
      <c r="I6" s="1397"/>
      <c r="J6" s="1059"/>
      <c r="K6" s="55">
        <v>0.125</v>
      </c>
      <c r="L6" s="110"/>
      <c r="M6" s="55">
        <v>0.20833333333333334</v>
      </c>
      <c r="N6" s="110"/>
      <c r="O6" s="55">
        <v>6.25E-2</v>
      </c>
      <c r="P6" s="110">
        <v>0.47916666666666669</v>
      </c>
      <c r="Q6" s="55">
        <v>0.89583333333333304</v>
      </c>
      <c r="R6" s="55">
        <v>0.125</v>
      </c>
      <c r="S6" s="110">
        <v>0.625</v>
      </c>
      <c r="T6" s="792">
        <v>8.3333333333333329E-2</v>
      </c>
      <c r="U6" s="110">
        <v>0.70833333333333337</v>
      </c>
      <c r="V6" s="792">
        <v>0.16666666666666666</v>
      </c>
      <c r="W6" s="792">
        <v>0.125</v>
      </c>
      <c r="X6" s="110"/>
      <c r="Y6" s="792">
        <v>0.70833333333333337</v>
      </c>
      <c r="Z6" s="792"/>
      <c r="AA6" s="934">
        <v>0.75</v>
      </c>
      <c r="AB6" s="934">
        <v>0.125</v>
      </c>
      <c r="AC6" s="934">
        <v>0.125</v>
      </c>
      <c r="AD6" s="934"/>
    </row>
    <row r="7" spans="2:30" s="304" customFormat="1" ht="27.4" customHeight="1" thickBot="1" x14ac:dyDescent="0.5">
      <c r="B7" s="1049"/>
      <c r="C7" s="1050"/>
      <c r="D7" s="1344"/>
      <c r="E7" s="1344"/>
      <c r="F7" s="1391"/>
      <c r="G7" s="1392"/>
      <c r="H7" s="1395"/>
      <c r="I7" s="1398"/>
      <c r="J7" s="1399"/>
      <c r="K7" s="300">
        <v>155</v>
      </c>
      <c r="L7" s="301"/>
      <c r="M7" s="300">
        <v>155</v>
      </c>
      <c r="N7" s="301"/>
      <c r="O7" s="300">
        <v>155</v>
      </c>
      <c r="P7" s="301">
        <v>155</v>
      </c>
      <c r="Q7" s="300">
        <v>155</v>
      </c>
      <c r="R7" s="300">
        <v>155</v>
      </c>
      <c r="S7" s="301" t="s">
        <v>756</v>
      </c>
      <c r="T7" s="793" t="s">
        <v>756</v>
      </c>
      <c r="U7" s="892"/>
      <c r="V7" s="301" t="s">
        <v>756</v>
      </c>
      <c r="W7" s="301" t="s">
        <v>757</v>
      </c>
      <c r="X7" s="301"/>
      <c r="Y7" s="301" t="s">
        <v>757</v>
      </c>
      <c r="Z7" s="793"/>
      <c r="AA7" s="935" t="s">
        <v>757</v>
      </c>
      <c r="AB7" s="935">
        <v>203</v>
      </c>
      <c r="AC7" s="935">
        <v>150</v>
      </c>
      <c r="AD7" s="935"/>
    </row>
    <row r="8" spans="2:30" ht="27.4" customHeight="1" x14ac:dyDescent="0.45">
      <c r="B8" s="1400" t="s">
        <v>758</v>
      </c>
      <c r="C8" s="1400"/>
      <c r="D8" s="1401" t="s">
        <v>759</v>
      </c>
      <c r="E8" s="1402"/>
      <c r="F8" s="734" t="s">
        <v>237</v>
      </c>
      <c r="G8" s="56" t="s">
        <v>21</v>
      </c>
      <c r="H8" s="56"/>
      <c r="I8" s="56"/>
      <c r="J8" s="98" t="s">
        <v>224</v>
      </c>
      <c r="K8" s="498" t="s">
        <v>225</v>
      </c>
      <c r="L8" s="342"/>
      <c r="M8" s="498" t="s">
        <v>225</v>
      </c>
      <c r="N8" s="342" t="s">
        <v>225</v>
      </c>
      <c r="O8" s="498" t="s">
        <v>200</v>
      </c>
      <c r="P8" s="342" t="s">
        <v>200</v>
      </c>
      <c r="Q8" s="498" t="s">
        <v>200</v>
      </c>
      <c r="R8" s="498" t="s">
        <v>200</v>
      </c>
      <c r="S8" s="342" t="s">
        <v>200</v>
      </c>
      <c r="T8" s="808" t="s">
        <v>200</v>
      </c>
      <c r="U8" s="342" t="s">
        <v>200</v>
      </c>
      <c r="V8" s="342" t="s">
        <v>200</v>
      </c>
      <c r="W8" s="342" t="s">
        <v>200</v>
      </c>
      <c r="X8" s="342"/>
      <c r="Y8" s="342" t="s">
        <v>200</v>
      </c>
      <c r="Z8" s="808"/>
      <c r="AA8" s="937" t="s">
        <v>200</v>
      </c>
      <c r="AB8" s="937" t="s">
        <v>200</v>
      </c>
      <c r="AC8" s="937" t="s">
        <v>200</v>
      </c>
      <c r="AD8" s="937"/>
    </row>
    <row r="9" spans="2:30" ht="27.4" customHeight="1" x14ac:dyDescent="0.45">
      <c r="B9" s="1400"/>
      <c r="C9" s="1400"/>
      <c r="D9" s="1401"/>
      <c r="E9" s="1402"/>
      <c r="F9" s="732" t="s">
        <v>760</v>
      </c>
      <c r="G9" s="83" t="s">
        <v>27</v>
      </c>
      <c r="H9" s="83" t="s">
        <v>217</v>
      </c>
      <c r="I9" s="83"/>
      <c r="J9" s="88" t="s">
        <v>239</v>
      </c>
      <c r="K9" s="498">
        <v>232</v>
      </c>
      <c r="L9" s="342"/>
      <c r="M9" s="498">
        <v>231</v>
      </c>
      <c r="N9" s="342"/>
      <c r="O9" s="498">
        <v>232.7</v>
      </c>
      <c r="P9" s="342">
        <v>232.1</v>
      </c>
      <c r="Q9" s="498">
        <v>232.7</v>
      </c>
      <c r="R9" s="498">
        <v>232.5</v>
      </c>
      <c r="S9" s="342">
        <v>232.7</v>
      </c>
      <c r="T9" s="808">
        <v>231</v>
      </c>
      <c r="U9" s="342">
        <v>232.8</v>
      </c>
      <c r="V9" s="342">
        <v>232.7</v>
      </c>
      <c r="W9" s="342">
        <v>232.6</v>
      </c>
      <c r="X9" s="342"/>
      <c r="Y9" s="342">
        <v>232.6</v>
      </c>
      <c r="Z9" s="808"/>
      <c r="AA9" s="937">
        <v>232.7</v>
      </c>
      <c r="AB9" s="937">
        <v>232.7</v>
      </c>
      <c r="AC9" s="937">
        <v>232.7</v>
      </c>
      <c r="AD9" s="937"/>
    </row>
    <row r="10" spans="2:30" ht="27.4" customHeight="1" x14ac:dyDescent="0.45">
      <c r="B10" s="1400"/>
      <c r="C10" s="1400"/>
      <c r="D10" s="1401"/>
      <c r="E10" s="1402"/>
      <c r="F10" s="734" t="s">
        <v>761</v>
      </c>
      <c r="G10" s="56" t="s">
        <v>48</v>
      </c>
      <c r="H10" s="56" t="s">
        <v>217</v>
      </c>
      <c r="I10" s="56"/>
      <c r="J10" s="98" t="s">
        <v>239</v>
      </c>
      <c r="K10" s="498">
        <v>7</v>
      </c>
      <c r="L10" s="342"/>
      <c r="M10" s="498">
        <v>7</v>
      </c>
      <c r="N10" s="342"/>
      <c r="O10" s="498">
        <v>7</v>
      </c>
      <c r="P10" s="342">
        <v>7</v>
      </c>
      <c r="Q10" s="498">
        <v>6.9</v>
      </c>
      <c r="R10" s="498">
        <v>6.9</v>
      </c>
      <c r="S10" s="342">
        <v>6.9</v>
      </c>
      <c r="T10" s="808">
        <v>7</v>
      </c>
      <c r="U10" s="342">
        <v>6.9</v>
      </c>
      <c r="V10" s="342">
        <v>7</v>
      </c>
      <c r="W10" s="342">
        <v>7</v>
      </c>
      <c r="X10" s="342"/>
      <c r="Y10" s="342">
        <v>7</v>
      </c>
      <c r="Z10" s="808"/>
      <c r="AA10" s="937">
        <v>7</v>
      </c>
      <c r="AB10" s="937">
        <v>6.9</v>
      </c>
      <c r="AC10" s="937">
        <v>6.9</v>
      </c>
      <c r="AD10" s="937"/>
    </row>
    <row r="11" spans="2:30" ht="27.4" customHeight="1" x14ac:dyDescent="0.45">
      <c r="B11" s="1400"/>
      <c r="C11" s="1400"/>
      <c r="D11" s="1401"/>
      <c r="E11" s="1402"/>
      <c r="F11" s="732" t="s">
        <v>241</v>
      </c>
      <c r="G11" s="83" t="s">
        <v>27</v>
      </c>
      <c r="H11" s="83" t="s">
        <v>217</v>
      </c>
      <c r="I11" s="83"/>
      <c r="J11" s="88" t="s">
        <v>73</v>
      </c>
      <c r="K11" s="498">
        <v>233.5</v>
      </c>
      <c r="L11" s="342"/>
      <c r="M11" s="498">
        <v>232.4</v>
      </c>
      <c r="N11" s="342"/>
      <c r="O11" s="498">
        <v>232.7</v>
      </c>
      <c r="P11" s="342">
        <v>233</v>
      </c>
      <c r="Q11" s="498">
        <v>232.7</v>
      </c>
      <c r="R11" s="498">
        <v>232.8</v>
      </c>
      <c r="S11" s="342">
        <v>232.7</v>
      </c>
      <c r="T11" s="808">
        <v>232.4</v>
      </c>
      <c r="U11" s="342">
        <v>233.74</v>
      </c>
      <c r="V11" s="342">
        <v>232.7</v>
      </c>
      <c r="W11" s="342">
        <v>233.62</v>
      </c>
      <c r="X11" s="342"/>
      <c r="Y11" s="342">
        <v>233.62</v>
      </c>
      <c r="Z11" s="808"/>
      <c r="AA11" s="937">
        <v>232.7</v>
      </c>
      <c r="AB11" s="937">
        <v>232.7</v>
      </c>
      <c r="AC11" s="937">
        <v>233.78</v>
      </c>
      <c r="AD11" s="937"/>
    </row>
    <row r="12" spans="2:30" ht="27.4" customHeight="1" x14ac:dyDescent="0.45">
      <c r="B12" s="1400"/>
      <c r="C12" s="1400"/>
      <c r="D12" s="1401"/>
      <c r="E12" s="1402"/>
      <c r="F12" s="734" t="s">
        <v>242</v>
      </c>
      <c r="G12" s="56" t="s">
        <v>48</v>
      </c>
      <c r="H12" s="56" t="s">
        <v>217</v>
      </c>
      <c r="I12" s="56"/>
      <c r="J12" s="98" t="s">
        <v>73</v>
      </c>
      <c r="K12" s="498">
        <v>0</v>
      </c>
      <c r="L12" s="342"/>
      <c r="M12" s="498">
        <v>0</v>
      </c>
      <c r="N12" s="342"/>
      <c r="O12" s="498">
        <v>0.6</v>
      </c>
      <c r="P12" s="342">
        <v>0</v>
      </c>
      <c r="Q12" s="498">
        <v>0.6</v>
      </c>
      <c r="R12" s="498">
        <v>0.6</v>
      </c>
      <c r="S12" s="342">
        <v>0.6</v>
      </c>
      <c r="T12" s="808">
        <v>0</v>
      </c>
      <c r="U12" s="342">
        <v>0</v>
      </c>
      <c r="V12" s="342">
        <v>0.6</v>
      </c>
      <c r="W12" s="342">
        <v>0</v>
      </c>
      <c r="X12" s="342"/>
      <c r="Y12" s="342">
        <v>0</v>
      </c>
      <c r="Z12" s="808"/>
      <c r="AA12" s="937">
        <v>0.6</v>
      </c>
      <c r="AB12" s="937">
        <v>0</v>
      </c>
      <c r="AC12" s="937">
        <v>0</v>
      </c>
      <c r="AD12" s="937"/>
    </row>
    <row r="13" spans="2:30" ht="27.4" customHeight="1" x14ac:dyDescent="0.45">
      <c r="B13" s="1400"/>
      <c r="C13" s="1400"/>
      <c r="D13" s="1401"/>
      <c r="E13" s="1402"/>
      <c r="F13" s="734" t="s">
        <v>762</v>
      </c>
      <c r="G13" s="56" t="s">
        <v>21</v>
      </c>
      <c r="H13" s="56" t="s">
        <v>217</v>
      </c>
      <c r="I13" s="56"/>
      <c r="J13" s="98" t="s">
        <v>763</v>
      </c>
      <c r="K13" s="498"/>
      <c r="L13" s="342"/>
      <c r="M13" s="498"/>
      <c r="N13" s="342"/>
      <c r="O13" s="498"/>
      <c r="P13" s="342"/>
      <c r="Q13" s="498"/>
      <c r="R13" s="498"/>
      <c r="S13" s="342"/>
      <c r="T13" s="808"/>
      <c r="U13" s="342"/>
      <c r="V13" s="342"/>
      <c r="W13" s="342"/>
      <c r="X13" s="342"/>
      <c r="Y13" s="342" t="s">
        <v>764</v>
      </c>
      <c r="Z13" s="808"/>
      <c r="AA13" s="937" t="s">
        <v>764</v>
      </c>
      <c r="AB13" s="937" t="s">
        <v>764</v>
      </c>
      <c r="AC13" s="937" t="s">
        <v>764</v>
      </c>
      <c r="AD13" s="937"/>
    </row>
    <row r="14" spans="2:30" ht="27.4" customHeight="1" x14ac:dyDescent="0.45">
      <c r="B14" s="1400"/>
      <c r="C14" s="1400"/>
      <c r="D14" s="1401"/>
      <c r="E14" s="1402"/>
      <c r="F14" s="732" t="s">
        <v>243</v>
      </c>
      <c r="G14" s="83" t="s">
        <v>21</v>
      </c>
      <c r="H14" s="83"/>
      <c r="I14" s="83"/>
      <c r="J14" s="88" t="s">
        <v>224</v>
      </c>
      <c r="K14" s="498" t="s">
        <v>200</v>
      </c>
      <c r="L14" s="342"/>
      <c r="M14" s="498" t="s">
        <v>200</v>
      </c>
      <c r="N14" s="342"/>
      <c r="O14" s="498" t="s">
        <v>200</v>
      </c>
      <c r="P14" s="342" t="s">
        <v>200</v>
      </c>
      <c r="Q14" s="498" t="s">
        <v>200</v>
      </c>
      <c r="R14" s="498" t="s">
        <v>200</v>
      </c>
      <c r="S14" s="342" t="s">
        <v>200</v>
      </c>
      <c r="T14" s="808" t="s">
        <v>200</v>
      </c>
      <c r="U14" s="342" t="s">
        <v>200</v>
      </c>
      <c r="V14" s="342" t="s">
        <v>200</v>
      </c>
      <c r="W14" s="342" t="s">
        <v>200</v>
      </c>
      <c r="X14" s="342"/>
      <c r="Y14" s="342" t="s">
        <v>200</v>
      </c>
      <c r="Z14" s="808"/>
      <c r="AA14" s="937" t="s">
        <v>200</v>
      </c>
      <c r="AB14" s="937" t="s">
        <v>200</v>
      </c>
      <c r="AC14" s="937" t="s">
        <v>200</v>
      </c>
      <c r="AD14" s="937"/>
    </row>
    <row r="15" spans="2:30" ht="27.4" customHeight="1" x14ac:dyDescent="0.45">
      <c r="B15" s="1400"/>
      <c r="C15" s="1400"/>
      <c r="D15" s="1401"/>
      <c r="E15" s="1402"/>
      <c r="F15" s="734" t="s">
        <v>765</v>
      </c>
      <c r="G15" s="56" t="s">
        <v>27</v>
      </c>
      <c r="H15" s="56" t="s">
        <v>217</v>
      </c>
      <c r="I15" s="56"/>
      <c r="J15" s="98" t="s">
        <v>239</v>
      </c>
      <c r="K15" s="498">
        <v>233.6</v>
      </c>
      <c r="L15" s="342"/>
      <c r="M15" s="498">
        <v>232.1</v>
      </c>
      <c r="N15" s="342"/>
      <c r="O15" s="498">
        <v>232.8</v>
      </c>
      <c r="P15" s="342">
        <v>232.6</v>
      </c>
      <c r="Q15" s="498">
        <v>232.7</v>
      </c>
      <c r="R15" s="498">
        <v>232.5</v>
      </c>
      <c r="S15" s="342">
        <v>232.8</v>
      </c>
      <c r="T15" s="808">
        <v>232.1</v>
      </c>
      <c r="U15" s="342">
        <v>232.7</v>
      </c>
      <c r="V15" s="342">
        <v>232.8</v>
      </c>
      <c r="W15" s="342">
        <v>232.8</v>
      </c>
      <c r="X15" s="342"/>
      <c r="Y15" s="342">
        <v>232.8</v>
      </c>
      <c r="Z15" s="808"/>
      <c r="AA15" s="937">
        <v>232.7</v>
      </c>
      <c r="AB15" s="937">
        <v>232.7</v>
      </c>
      <c r="AC15" s="937">
        <v>232.8</v>
      </c>
      <c r="AD15" s="937"/>
    </row>
    <row r="16" spans="2:30" ht="27.4" customHeight="1" x14ac:dyDescent="0.45">
      <c r="B16" s="1400"/>
      <c r="C16" s="1400"/>
      <c r="D16" s="1401"/>
      <c r="E16" s="1402"/>
      <c r="F16" s="732" t="s">
        <v>766</v>
      </c>
      <c r="G16" s="83" t="s">
        <v>48</v>
      </c>
      <c r="H16" s="83" t="s">
        <v>217</v>
      </c>
      <c r="I16" s="83"/>
      <c r="J16" s="88" t="s">
        <v>239</v>
      </c>
      <c r="K16" s="498">
        <v>6</v>
      </c>
      <c r="L16" s="342"/>
      <c r="M16" s="498">
        <v>6</v>
      </c>
      <c r="N16" s="342"/>
      <c r="O16" s="498">
        <v>6</v>
      </c>
      <c r="P16" s="342">
        <v>6</v>
      </c>
      <c r="Q16" s="498">
        <v>5.9</v>
      </c>
      <c r="R16" s="498">
        <v>6</v>
      </c>
      <c r="S16" s="342">
        <v>5.9</v>
      </c>
      <c r="T16" s="808">
        <v>6</v>
      </c>
      <c r="U16" s="342">
        <v>5.9</v>
      </c>
      <c r="V16" s="342">
        <v>6</v>
      </c>
      <c r="W16" s="342">
        <v>5.9</v>
      </c>
      <c r="X16" s="342"/>
      <c r="Y16" s="342">
        <v>5.9</v>
      </c>
      <c r="Z16" s="808"/>
      <c r="AA16" s="937">
        <v>6</v>
      </c>
      <c r="AB16" s="937">
        <v>6.9</v>
      </c>
      <c r="AC16" s="937">
        <v>6</v>
      </c>
      <c r="AD16" s="937"/>
    </row>
    <row r="17" spans="2:30" ht="27.4" customHeight="1" x14ac:dyDescent="0.45">
      <c r="B17" s="1400"/>
      <c r="C17" s="1400"/>
      <c r="D17" s="1401"/>
      <c r="E17" s="1402"/>
      <c r="F17" s="734" t="s">
        <v>244</v>
      </c>
      <c r="G17" s="56" t="s">
        <v>27</v>
      </c>
      <c r="H17" s="56" t="s">
        <v>217</v>
      </c>
      <c r="I17" s="56"/>
      <c r="J17" s="98" t="s">
        <v>73</v>
      </c>
      <c r="K17" s="498">
        <v>233.3</v>
      </c>
      <c r="L17" s="342"/>
      <c r="M17" s="498">
        <v>232.5</v>
      </c>
      <c r="N17" s="342"/>
      <c r="O17" s="498">
        <v>232.8</v>
      </c>
      <c r="P17" s="342">
        <v>233.3</v>
      </c>
      <c r="Q17" s="498">
        <v>232.8</v>
      </c>
      <c r="R17" s="498">
        <v>232.6</v>
      </c>
      <c r="S17" s="342">
        <v>232.5</v>
      </c>
      <c r="T17" s="808">
        <v>232.5</v>
      </c>
      <c r="U17" s="342">
        <v>233.35</v>
      </c>
      <c r="V17" s="342">
        <v>232.8</v>
      </c>
      <c r="W17" s="342">
        <v>233.4</v>
      </c>
      <c r="X17" s="342"/>
      <c r="Y17" s="342">
        <v>233.4</v>
      </c>
      <c r="Z17" s="808"/>
      <c r="AA17" s="937">
        <v>232.8</v>
      </c>
      <c r="AB17" s="937">
        <v>232.7</v>
      </c>
      <c r="AC17" s="937">
        <v>233.41</v>
      </c>
      <c r="AD17" s="937"/>
    </row>
    <row r="18" spans="2:30" ht="27.4" customHeight="1" x14ac:dyDescent="0.45">
      <c r="B18" s="1400"/>
      <c r="C18" s="1400"/>
      <c r="D18" s="1401"/>
      <c r="E18" s="1402"/>
      <c r="F18" s="732" t="s">
        <v>245</v>
      </c>
      <c r="G18" s="83" t="s">
        <v>48</v>
      </c>
      <c r="H18" s="83" t="s">
        <v>217</v>
      </c>
      <c r="I18" s="83"/>
      <c r="J18" s="88" t="s">
        <v>73</v>
      </c>
      <c r="K18" s="498">
        <v>3.88</v>
      </c>
      <c r="L18" s="342"/>
      <c r="M18" s="498">
        <v>3.85</v>
      </c>
      <c r="N18" s="342"/>
      <c r="O18" s="498">
        <v>0</v>
      </c>
      <c r="P18" s="342">
        <v>3.92</v>
      </c>
      <c r="Q18" s="498">
        <v>0</v>
      </c>
      <c r="R18" s="498">
        <v>0</v>
      </c>
      <c r="S18" s="342">
        <v>0</v>
      </c>
      <c r="T18" s="808">
        <v>3.85</v>
      </c>
      <c r="U18" s="342">
        <v>3.92</v>
      </c>
      <c r="V18" s="342">
        <v>0</v>
      </c>
      <c r="W18" s="342">
        <v>3.92</v>
      </c>
      <c r="X18" s="342"/>
      <c r="Y18" s="342">
        <v>3.92</v>
      </c>
      <c r="Z18" s="808"/>
      <c r="AA18" s="937">
        <v>0</v>
      </c>
      <c r="AB18" s="937">
        <v>3.96</v>
      </c>
      <c r="AC18" s="937">
        <v>4</v>
      </c>
      <c r="AD18" s="937"/>
    </row>
    <row r="19" spans="2:30" ht="27.4" customHeight="1" x14ac:dyDescent="0.45">
      <c r="B19" s="1400"/>
      <c r="C19" s="1400"/>
      <c r="D19" s="1401"/>
      <c r="E19" s="1402"/>
      <c r="F19" s="734" t="s">
        <v>762</v>
      </c>
      <c r="G19" s="56" t="s">
        <v>21</v>
      </c>
      <c r="H19" s="56" t="s">
        <v>217</v>
      </c>
      <c r="I19" s="56"/>
      <c r="J19" s="98" t="s">
        <v>763</v>
      </c>
      <c r="K19" s="498"/>
      <c r="L19" s="342"/>
      <c r="M19" s="498"/>
      <c r="N19" s="342"/>
      <c r="O19" s="498"/>
      <c r="P19" s="342"/>
      <c r="Q19" s="498"/>
      <c r="R19" s="498"/>
      <c r="S19" s="342"/>
      <c r="T19" s="808"/>
      <c r="U19" s="342"/>
      <c r="V19" s="342"/>
      <c r="W19" s="342"/>
      <c r="X19" s="342"/>
      <c r="Y19" s="342" t="s">
        <v>764</v>
      </c>
      <c r="Z19" s="808"/>
      <c r="AA19" s="937" t="s">
        <v>764</v>
      </c>
      <c r="AB19" s="937" t="s">
        <v>764</v>
      </c>
      <c r="AC19" s="937" t="s">
        <v>764</v>
      </c>
      <c r="AD19" s="937"/>
    </row>
    <row r="20" spans="2:30" ht="27.4" customHeight="1" x14ac:dyDescent="0.45">
      <c r="B20" s="1400"/>
      <c r="C20" s="1400"/>
      <c r="D20" s="1401"/>
      <c r="E20" s="1402"/>
      <c r="F20" s="734" t="s">
        <v>246</v>
      </c>
      <c r="G20" s="56" t="s">
        <v>21</v>
      </c>
      <c r="H20" s="56"/>
      <c r="I20" s="56"/>
      <c r="J20" s="98" t="s">
        <v>224</v>
      </c>
      <c r="K20" s="498" t="s">
        <v>200</v>
      </c>
      <c r="L20" s="342"/>
      <c r="M20" s="498" t="s">
        <v>200</v>
      </c>
      <c r="N20" s="342"/>
      <c r="O20" s="498" t="s">
        <v>200</v>
      </c>
      <c r="P20" s="342" t="s">
        <v>200</v>
      </c>
      <c r="Q20" s="498" t="s">
        <v>200</v>
      </c>
      <c r="R20" s="498" t="s">
        <v>200</v>
      </c>
      <c r="S20" s="342" t="s">
        <v>200</v>
      </c>
      <c r="T20" s="808" t="s">
        <v>200</v>
      </c>
      <c r="U20" s="342" t="s">
        <v>200</v>
      </c>
      <c r="V20" s="342" t="s">
        <v>200</v>
      </c>
      <c r="W20" s="342" t="s">
        <v>200</v>
      </c>
      <c r="X20" s="342"/>
      <c r="Y20" s="342" t="s">
        <v>200</v>
      </c>
      <c r="Z20" s="808"/>
      <c r="AA20" s="937" t="s">
        <v>200</v>
      </c>
      <c r="AB20" s="937" t="s">
        <v>200</v>
      </c>
      <c r="AC20" s="937" t="s">
        <v>200</v>
      </c>
      <c r="AD20" s="937"/>
    </row>
    <row r="21" spans="2:30" ht="27.4" customHeight="1" x14ac:dyDescent="0.45">
      <c r="B21" s="1400"/>
      <c r="C21" s="1400"/>
      <c r="D21" s="1401"/>
      <c r="E21" s="1402"/>
      <c r="F21" s="732" t="s">
        <v>767</v>
      </c>
      <c r="G21" s="83" t="s">
        <v>27</v>
      </c>
      <c r="H21" s="83" t="s">
        <v>217</v>
      </c>
      <c r="I21" s="83"/>
      <c r="J21" s="88" t="s">
        <v>239</v>
      </c>
      <c r="K21" s="498">
        <v>232.7</v>
      </c>
      <c r="L21" s="342"/>
      <c r="M21" s="498">
        <v>232.7</v>
      </c>
      <c r="N21" s="342"/>
      <c r="O21" s="498">
        <v>232.4</v>
      </c>
      <c r="P21" s="342">
        <v>232.4</v>
      </c>
      <c r="Q21" s="498">
        <v>232.4</v>
      </c>
      <c r="R21" s="498">
        <v>232.3</v>
      </c>
      <c r="S21" s="342">
        <v>232.2</v>
      </c>
      <c r="T21" s="808">
        <v>232.7</v>
      </c>
      <c r="U21" s="342">
        <v>232.4</v>
      </c>
      <c r="V21" s="342">
        <v>232.4</v>
      </c>
      <c r="W21" s="342">
        <v>232.4</v>
      </c>
      <c r="X21" s="342"/>
      <c r="Y21" s="342">
        <v>232.4</v>
      </c>
      <c r="Z21" s="808"/>
      <c r="AA21" s="937">
        <v>232.4</v>
      </c>
      <c r="AB21" s="937">
        <v>232.4</v>
      </c>
      <c r="AC21" s="937">
        <v>232.4</v>
      </c>
      <c r="AD21" s="937"/>
    </row>
    <row r="22" spans="2:30" ht="27.4" customHeight="1" x14ac:dyDescent="0.45">
      <c r="B22" s="1400"/>
      <c r="C22" s="1400"/>
      <c r="D22" s="1401"/>
      <c r="E22" s="1402"/>
      <c r="F22" s="734" t="s">
        <v>768</v>
      </c>
      <c r="G22" s="56" t="s">
        <v>48</v>
      </c>
      <c r="H22" s="56" t="s">
        <v>217</v>
      </c>
      <c r="I22" s="56"/>
      <c r="J22" s="98" t="s">
        <v>239</v>
      </c>
      <c r="K22" s="498">
        <v>0</v>
      </c>
      <c r="L22" s="342"/>
      <c r="M22" s="498">
        <v>0</v>
      </c>
      <c r="N22" s="342"/>
      <c r="O22" s="498">
        <v>0</v>
      </c>
      <c r="P22" s="342">
        <v>0</v>
      </c>
      <c r="Q22" s="498">
        <v>0</v>
      </c>
      <c r="R22" s="498">
        <v>0</v>
      </c>
      <c r="S22" s="342">
        <v>0</v>
      </c>
      <c r="T22" s="808">
        <v>0</v>
      </c>
      <c r="U22" s="342">
        <v>0</v>
      </c>
      <c r="V22" s="342">
        <v>0</v>
      </c>
      <c r="W22" s="342">
        <v>0</v>
      </c>
      <c r="X22" s="342"/>
      <c r="Y22" s="342">
        <v>0</v>
      </c>
      <c r="Z22" s="808"/>
      <c r="AA22" s="937">
        <v>0</v>
      </c>
      <c r="AB22" s="937">
        <v>0</v>
      </c>
      <c r="AC22" s="937">
        <v>0</v>
      </c>
      <c r="AD22" s="937"/>
    </row>
    <row r="23" spans="2:30" ht="27.4" customHeight="1" x14ac:dyDescent="0.45">
      <c r="B23" s="1400"/>
      <c r="C23" s="1400"/>
      <c r="D23" s="1401"/>
      <c r="E23" s="1402"/>
      <c r="F23" s="732" t="s">
        <v>247</v>
      </c>
      <c r="G23" s="83" t="s">
        <v>27</v>
      </c>
      <c r="H23" s="83" t="s">
        <v>217</v>
      </c>
      <c r="I23" s="83"/>
      <c r="J23" s="88" t="s">
        <v>73</v>
      </c>
      <c r="K23" s="498"/>
      <c r="L23" s="342"/>
      <c r="M23" s="498"/>
      <c r="N23" s="342"/>
      <c r="O23" s="498"/>
      <c r="P23" s="342">
        <v>232.6</v>
      </c>
      <c r="Q23" s="498">
        <v>232.3</v>
      </c>
      <c r="R23" s="498">
        <v>232.4</v>
      </c>
      <c r="S23" s="342">
        <v>232.1</v>
      </c>
      <c r="T23" s="808">
        <v>232.6</v>
      </c>
      <c r="U23" s="342">
        <v>232.33</v>
      </c>
      <c r="V23" s="342">
        <v>232.4</v>
      </c>
      <c r="W23" s="342">
        <v>232.3</v>
      </c>
      <c r="X23" s="342"/>
      <c r="Y23" s="342">
        <v>232.3</v>
      </c>
      <c r="Z23" s="808"/>
      <c r="AA23" s="937">
        <v>232.3</v>
      </c>
      <c r="AB23" s="937">
        <v>232.3</v>
      </c>
      <c r="AC23" s="937">
        <v>231.33</v>
      </c>
      <c r="AD23" s="937"/>
    </row>
    <row r="24" spans="2:30" ht="27.4" customHeight="1" x14ac:dyDescent="0.45">
      <c r="B24" s="1400"/>
      <c r="C24" s="1400"/>
      <c r="D24" s="1401"/>
      <c r="E24" s="1402"/>
      <c r="F24" s="734" t="s">
        <v>248</v>
      </c>
      <c r="G24" s="56" t="s">
        <v>48</v>
      </c>
      <c r="H24" s="56" t="s">
        <v>217</v>
      </c>
      <c r="I24" s="56"/>
      <c r="J24" s="98" t="s">
        <v>73</v>
      </c>
      <c r="K24" s="498"/>
      <c r="L24" s="342"/>
      <c r="M24" s="498"/>
      <c r="N24" s="342"/>
      <c r="O24" s="498"/>
      <c r="P24" s="342">
        <v>3.26</v>
      </c>
      <c r="Q24" s="498">
        <v>0</v>
      </c>
      <c r="R24" s="498">
        <v>0</v>
      </c>
      <c r="S24" s="342">
        <v>0</v>
      </c>
      <c r="T24" s="808">
        <v>0</v>
      </c>
      <c r="U24" s="342">
        <v>2.96</v>
      </c>
      <c r="V24" s="342">
        <v>0</v>
      </c>
      <c r="W24" s="342">
        <v>3.32</v>
      </c>
      <c r="X24" s="342"/>
      <c r="Y24" s="342">
        <v>3.32</v>
      </c>
      <c r="Z24" s="808"/>
      <c r="AA24" s="937">
        <v>0</v>
      </c>
      <c r="AB24" s="937">
        <v>0</v>
      </c>
      <c r="AC24" s="937">
        <v>2.72</v>
      </c>
      <c r="AD24" s="937"/>
    </row>
    <row r="25" spans="2:30" ht="27.4" customHeight="1" thickBot="1" x14ac:dyDescent="0.5">
      <c r="B25" s="1400"/>
      <c r="C25" s="1400"/>
      <c r="D25" s="1401"/>
      <c r="E25" s="1402"/>
      <c r="F25" s="734" t="s">
        <v>762</v>
      </c>
      <c r="G25" s="56" t="s">
        <v>21</v>
      </c>
      <c r="H25" s="56" t="s">
        <v>217</v>
      </c>
      <c r="I25" s="56"/>
      <c r="J25" s="98" t="s">
        <v>763</v>
      </c>
      <c r="K25" s="498"/>
      <c r="L25" s="342"/>
      <c r="M25" s="498"/>
      <c r="N25" s="342"/>
      <c r="O25" s="498"/>
      <c r="P25" s="342"/>
      <c r="Q25" s="498"/>
      <c r="R25" s="498"/>
      <c r="S25" s="342"/>
      <c r="T25" s="808"/>
      <c r="U25" s="342"/>
      <c r="V25" s="342"/>
      <c r="W25" s="342"/>
      <c r="X25" s="342"/>
      <c r="Y25" s="342" t="s">
        <v>764</v>
      </c>
      <c r="Z25" s="808"/>
      <c r="AA25" s="937" t="s">
        <v>764</v>
      </c>
      <c r="AB25" s="937" t="s">
        <v>764</v>
      </c>
      <c r="AC25" s="937" t="s">
        <v>764</v>
      </c>
      <c r="AD25" s="937"/>
    </row>
    <row r="26" spans="2:30" ht="27.4" customHeight="1" x14ac:dyDescent="0.45">
      <c r="B26" s="1331" t="s">
        <v>638</v>
      </c>
      <c r="C26" s="1429"/>
      <c r="D26" s="1430" t="s">
        <v>769</v>
      </c>
      <c r="E26" s="1411" t="s">
        <v>770</v>
      </c>
      <c r="F26" s="733" t="s">
        <v>38</v>
      </c>
      <c r="G26" s="95" t="s">
        <v>39</v>
      </c>
      <c r="H26" s="95" t="s">
        <v>350</v>
      </c>
      <c r="I26" s="95"/>
      <c r="J26" s="96"/>
      <c r="K26" s="243">
        <v>57.8</v>
      </c>
      <c r="L26" s="244"/>
      <c r="M26" s="243">
        <v>55.4</v>
      </c>
      <c r="N26" s="244"/>
      <c r="O26" s="243">
        <v>57.5</v>
      </c>
      <c r="P26" s="244">
        <v>57.4</v>
      </c>
      <c r="Q26" s="243">
        <v>57.4</v>
      </c>
      <c r="R26" s="243">
        <v>57.2</v>
      </c>
      <c r="S26" s="244">
        <v>57.8</v>
      </c>
      <c r="T26" s="873">
        <v>55.4</v>
      </c>
      <c r="U26" s="881">
        <v>57.4</v>
      </c>
      <c r="V26" s="244">
        <v>57.5</v>
      </c>
      <c r="W26" s="244">
        <v>58.5</v>
      </c>
      <c r="X26" s="244"/>
      <c r="Y26" s="244">
        <v>56</v>
      </c>
      <c r="Z26" s="873"/>
      <c r="AA26" s="960">
        <v>57</v>
      </c>
      <c r="AB26" s="960">
        <v>59.6</v>
      </c>
      <c r="AC26" s="960">
        <v>57</v>
      </c>
      <c r="AD26" s="960"/>
    </row>
    <row r="27" spans="2:30" ht="27.4" customHeight="1" x14ac:dyDescent="0.45">
      <c r="B27" s="1332"/>
      <c r="C27" s="1068"/>
      <c r="D27" s="1109"/>
      <c r="E27" s="1412"/>
      <c r="F27" s="734" t="s">
        <v>40</v>
      </c>
      <c r="G27" s="56" t="s">
        <v>39</v>
      </c>
      <c r="H27" s="56" t="s">
        <v>350</v>
      </c>
      <c r="I27" s="56"/>
      <c r="J27" s="98"/>
      <c r="K27" s="245">
        <v>55.2</v>
      </c>
      <c r="L27" s="246"/>
      <c r="M27" s="245">
        <v>54.6</v>
      </c>
      <c r="N27" s="246"/>
      <c r="O27" s="245">
        <v>60</v>
      </c>
      <c r="P27" s="246" t="s">
        <v>771</v>
      </c>
      <c r="Q27" s="245">
        <v>59.9</v>
      </c>
      <c r="R27" s="245">
        <v>58.9</v>
      </c>
      <c r="S27" s="246">
        <v>60</v>
      </c>
      <c r="T27" s="795">
        <v>54.6</v>
      </c>
      <c r="U27" s="342">
        <v>60</v>
      </c>
      <c r="V27" s="246">
        <v>60</v>
      </c>
      <c r="W27" s="246">
        <v>61.1</v>
      </c>
      <c r="X27" s="246"/>
      <c r="Y27" s="246">
        <v>58.5</v>
      </c>
      <c r="Z27" s="795"/>
      <c r="AA27" s="937">
        <v>59.3</v>
      </c>
      <c r="AB27" s="937">
        <v>57.1</v>
      </c>
      <c r="AC27" s="937">
        <v>59.4</v>
      </c>
      <c r="AD27" s="937"/>
    </row>
    <row r="28" spans="2:30" ht="27.4" customHeight="1" x14ac:dyDescent="0.45">
      <c r="B28" s="1332"/>
      <c r="C28" s="1068"/>
      <c r="D28" s="1109"/>
      <c r="E28" s="1412"/>
      <c r="F28" s="732" t="s">
        <v>41</v>
      </c>
      <c r="G28" s="83" t="s">
        <v>39</v>
      </c>
      <c r="H28" s="83" t="s">
        <v>350</v>
      </c>
      <c r="I28" s="83"/>
      <c r="J28" s="88"/>
      <c r="K28" s="245">
        <v>60.3</v>
      </c>
      <c r="L28" s="246"/>
      <c r="M28" s="245">
        <v>60.5</v>
      </c>
      <c r="N28" s="246"/>
      <c r="O28" s="245">
        <v>54.8</v>
      </c>
      <c r="P28" s="246">
        <v>54.6</v>
      </c>
      <c r="Q28" s="245">
        <v>54.6</v>
      </c>
      <c r="R28" s="245">
        <v>55.2</v>
      </c>
      <c r="S28" s="246">
        <v>55.2</v>
      </c>
      <c r="T28" s="795">
        <v>60.5</v>
      </c>
      <c r="U28" s="342">
        <v>55</v>
      </c>
      <c r="V28" s="246">
        <v>54.8</v>
      </c>
      <c r="W28" s="246">
        <v>55.9</v>
      </c>
      <c r="X28" s="246"/>
      <c r="Y28" s="246">
        <v>53.5</v>
      </c>
      <c r="Z28" s="795"/>
      <c r="AA28" s="937">
        <v>54.3</v>
      </c>
      <c r="AB28" s="937">
        <v>59.6</v>
      </c>
      <c r="AC28" s="937">
        <v>54.6</v>
      </c>
      <c r="AD28" s="937"/>
    </row>
    <row r="29" spans="2:30" ht="27.4" customHeight="1" x14ac:dyDescent="0.45">
      <c r="B29" s="1332"/>
      <c r="C29" s="1068"/>
      <c r="D29" s="1109"/>
      <c r="E29" s="1412"/>
      <c r="F29" s="734" t="s">
        <v>43</v>
      </c>
      <c r="G29" s="56" t="s">
        <v>189</v>
      </c>
      <c r="H29" s="56" t="s">
        <v>217</v>
      </c>
      <c r="I29" s="56"/>
      <c r="J29" s="98"/>
      <c r="K29" s="245">
        <v>200</v>
      </c>
      <c r="L29" s="246"/>
      <c r="M29" s="245">
        <v>202.5</v>
      </c>
      <c r="N29" s="246"/>
      <c r="O29" s="245">
        <v>198.7</v>
      </c>
      <c r="P29" s="246">
        <v>198</v>
      </c>
      <c r="Q29" s="245">
        <v>197.5</v>
      </c>
      <c r="R29" s="245">
        <v>198.2</v>
      </c>
      <c r="S29" s="246">
        <v>198.9</v>
      </c>
      <c r="T29" s="795">
        <v>202.5</v>
      </c>
      <c r="U29" s="342">
        <v>194.1</v>
      </c>
      <c r="V29" s="246">
        <v>198.7</v>
      </c>
      <c r="W29" s="246">
        <v>204.1</v>
      </c>
      <c r="X29" s="246"/>
      <c r="Y29" s="246">
        <v>83.4</v>
      </c>
      <c r="Z29" s="795"/>
      <c r="AA29" s="937">
        <v>197.6</v>
      </c>
      <c r="AB29" s="937">
        <v>197.4</v>
      </c>
      <c r="AC29" s="937">
        <v>197.4</v>
      </c>
      <c r="AD29" s="937"/>
    </row>
    <row r="30" spans="2:30" ht="27.4" customHeight="1" x14ac:dyDescent="0.45">
      <c r="B30" s="1332"/>
      <c r="C30" s="1068"/>
      <c r="D30" s="1109"/>
      <c r="E30" s="1412"/>
      <c r="F30" s="732" t="s">
        <v>45</v>
      </c>
      <c r="G30" s="83" t="s">
        <v>190</v>
      </c>
      <c r="H30" s="83" t="s">
        <v>217</v>
      </c>
      <c r="I30" s="83"/>
      <c r="J30" s="88"/>
      <c r="K30" s="245">
        <v>105.4</v>
      </c>
      <c r="L30" s="246"/>
      <c r="M30" s="245">
        <v>107.5</v>
      </c>
      <c r="N30" s="246"/>
      <c r="O30" s="245">
        <v>103.3</v>
      </c>
      <c r="P30" s="246">
        <v>102</v>
      </c>
      <c r="Q30" s="245">
        <v>102.3</v>
      </c>
      <c r="R30" s="245">
        <v>104.2</v>
      </c>
      <c r="S30" s="246">
        <v>104</v>
      </c>
      <c r="T30" s="795">
        <v>107.5</v>
      </c>
      <c r="U30" s="342">
        <v>0.10100000000000001</v>
      </c>
      <c r="V30" s="246">
        <v>103.3</v>
      </c>
      <c r="W30" s="246">
        <v>108.4</v>
      </c>
      <c r="X30" s="246"/>
      <c r="Y30" s="246">
        <v>35.799999999999997</v>
      </c>
      <c r="Z30" s="795"/>
      <c r="AA30" s="937">
        <v>103.8</v>
      </c>
      <c r="AB30" s="937">
        <v>103.9</v>
      </c>
      <c r="AC30" s="937">
        <v>103.5</v>
      </c>
      <c r="AD30" s="937"/>
    </row>
    <row r="31" spans="2:30" ht="27.4" customHeight="1" x14ac:dyDescent="0.45">
      <c r="B31" s="1332"/>
      <c r="C31" s="1068"/>
      <c r="D31" s="1109"/>
      <c r="E31" s="1412"/>
      <c r="F31" s="734" t="s">
        <v>47</v>
      </c>
      <c r="G31" s="56" t="s">
        <v>48</v>
      </c>
      <c r="H31" s="56" t="s">
        <v>350</v>
      </c>
      <c r="I31" s="56"/>
      <c r="J31" s="98"/>
      <c r="K31" s="245">
        <v>346</v>
      </c>
      <c r="L31" s="246"/>
      <c r="M31" s="245">
        <v>348</v>
      </c>
      <c r="N31" s="246"/>
      <c r="O31" s="245">
        <v>345</v>
      </c>
      <c r="P31" s="246">
        <v>345</v>
      </c>
      <c r="Q31" s="245">
        <v>343.8</v>
      </c>
      <c r="R31" s="245">
        <v>342.5</v>
      </c>
      <c r="S31" s="246">
        <v>346</v>
      </c>
      <c r="T31" s="795">
        <v>348</v>
      </c>
      <c r="U31" s="342">
        <v>335.4</v>
      </c>
      <c r="V31" s="246">
        <v>345</v>
      </c>
      <c r="W31" s="246">
        <v>347.4</v>
      </c>
      <c r="X31" s="246"/>
      <c r="Y31" s="246">
        <v>138</v>
      </c>
      <c r="Z31" s="795"/>
      <c r="AA31" s="937">
        <v>344.4</v>
      </c>
      <c r="AB31" s="937">
        <v>343.2</v>
      </c>
      <c r="AC31" s="937">
        <v>341.4</v>
      </c>
      <c r="AD31" s="937"/>
    </row>
    <row r="32" spans="2:30" ht="27.4" customHeight="1" x14ac:dyDescent="0.45">
      <c r="B32" s="1332"/>
      <c r="C32" s="1068"/>
      <c r="D32" s="1109"/>
      <c r="E32" s="1412"/>
      <c r="F32" s="732" t="s">
        <v>49</v>
      </c>
      <c r="G32" s="83" t="s">
        <v>48</v>
      </c>
      <c r="H32" s="83" t="s">
        <v>350</v>
      </c>
      <c r="I32" s="83"/>
      <c r="J32" s="88"/>
      <c r="K32" s="245">
        <v>348</v>
      </c>
      <c r="L32" s="246"/>
      <c r="M32" s="245">
        <v>347</v>
      </c>
      <c r="N32" s="246"/>
      <c r="O32" s="245">
        <v>346.4</v>
      </c>
      <c r="P32" s="246">
        <v>345</v>
      </c>
      <c r="Q32" s="245">
        <v>346.6</v>
      </c>
      <c r="R32" s="245">
        <v>344.8</v>
      </c>
      <c r="S32" s="246">
        <v>348</v>
      </c>
      <c r="T32" s="795">
        <v>347</v>
      </c>
      <c r="U32" s="342">
        <v>338.4</v>
      </c>
      <c r="V32" s="246">
        <v>346.4</v>
      </c>
      <c r="W32" s="246">
        <v>351.6</v>
      </c>
      <c r="X32" s="246"/>
      <c r="Y32" s="246">
        <v>146.5</v>
      </c>
      <c r="Z32" s="795"/>
      <c r="AA32" s="937">
        <v>345.6</v>
      </c>
      <c r="AB32" s="937">
        <v>343.8</v>
      </c>
      <c r="AC32" s="937">
        <v>343.2</v>
      </c>
      <c r="AD32" s="937"/>
    </row>
    <row r="33" spans="2:30" ht="27.4" customHeight="1" x14ac:dyDescent="0.45">
      <c r="B33" s="1332"/>
      <c r="C33" s="1068"/>
      <c r="D33" s="1109"/>
      <c r="E33" s="1412"/>
      <c r="F33" s="734" t="s">
        <v>50</v>
      </c>
      <c r="G33" s="56" t="s">
        <v>48</v>
      </c>
      <c r="H33" s="56" t="s">
        <v>350</v>
      </c>
      <c r="I33" s="56"/>
      <c r="J33" s="98"/>
      <c r="K33" s="245">
        <v>340</v>
      </c>
      <c r="L33" s="246"/>
      <c r="M33" s="245">
        <v>341</v>
      </c>
      <c r="N33" s="246"/>
      <c r="O33" s="245">
        <v>329.4</v>
      </c>
      <c r="P33" s="246">
        <v>327</v>
      </c>
      <c r="Q33" s="245">
        <v>328.2</v>
      </c>
      <c r="R33" s="245">
        <v>330.2</v>
      </c>
      <c r="S33" s="246">
        <v>331</v>
      </c>
      <c r="T33" s="795">
        <v>341</v>
      </c>
      <c r="U33" s="342">
        <v>319.8</v>
      </c>
      <c r="V33" s="246">
        <v>329.4</v>
      </c>
      <c r="W33" s="246">
        <v>344</v>
      </c>
      <c r="X33" s="246"/>
      <c r="Y33" s="246">
        <v>129.6</v>
      </c>
      <c r="Z33" s="795"/>
      <c r="AA33" s="937">
        <v>330</v>
      </c>
      <c r="AB33" s="961">
        <v>327</v>
      </c>
      <c r="AC33" s="961">
        <v>346.3</v>
      </c>
      <c r="AD33" s="937"/>
    </row>
    <row r="34" spans="2:30" ht="27.4" customHeight="1" x14ac:dyDescent="0.45">
      <c r="B34" s="1332"/>
      <c r="C34" s="1068"/>
      <c r="D34" s="1109"/>
      <c r="E34" s="1412"/>
      <c r="F34" s="732" t="s">
        <v>26</v>
      </c>
      <c r="G34" s="83" t="s">
        <v>27</v>
      </c>
      <c r="H34" s="83" t="s">
        <v>350</v>
      </c>
      <c r="I34" s="83"/>
      <c r="J34" s="88"/>
      <c r="K34" s="976">
        <v>219.3</v>
      </c>
      <c r="L34" s="710"/>
      <c r="M34" s="976">
        <v>220.1</v>
      </c>
      <c r="N34" s="710"/>
      <c r="O34" s="976">
        <v>218.7</v>
      </c>
      <c r="P34" s="972">
        <v>218</v>
      </c>
      <c r="Q34" s="976">
        <v>218.4</v>
      </c>
      <c r="R34" s="976">
        <v>217.5</v>
      </c>
      <c r="S34" s="710">
        <v>379</v>
      </c>
      <c r="T34" s="974">
        <v>220.1</v>
      </c>
      <c r="U34" s="882">
        <v>381.22438274590985</v>
      </c>
      <c r="V34" s="972">
        <v>218.7</v>
      </c>
      <c r="W34" s="710">
        <v>382.43681831120813</v>
      </c>
      <c r="X34" s="710"/>
      <c r="Y34" s="972">
        <v>219.3</v>
      </c>
      <c r="Z34" s="874"/>
      <c r="AA34" s="978" t="s">
        <v>772</v>
      </c>
      <c r="AB34" s="961">
        <v>380.8779725843961</v>
      </c>
      <c r="AC34" s="961">
        <v>379.14592177682721</v>
      </c>
      <c r="AD34" s="961"/>
    </row>
    <row r="35" spans="2:30" ht="27.4" customHeight="1" x14ac:dyDescent="0.45">
      <c r="B35" s="1332"/>
      <c r="C35" s="1068"/>
      <c r="D35" s="1109"/>
      <c r="E35" s="1412"/>
      <c r="F35" s="734" t="s">
        <v>28</v>
      </c>
      <c r="G35" s="56" t="s">
        <v>27</v>
      </c>
      <c r="H35" s="56" t="s">
        <v>350</v>
      </c>
      <c r="I35" s="56"/>
      <c r="J35" s="98"/>
      <c r="K35" s="976">
        <v>218.5</v>
      </c>
      <c r="L35" s="710"/>
      <c r="M35" s="976">
        <v>219.9</v>
      </c>
      <c r="N35" s="710"/>
      <c r="O35" s="976">
        <v>218.2</v>
      </c>
      <c r="P35" s="972">
        <v>218</v>
      </c>
      <c r="Q35" s="976">
        <v>217.8</v>
      </c>
      <c r="R35" s="976">
        <v>217.6</v>
      </c>
      <c r="S35" s="710">
        <v>380</v>
      </c>
      <c r="T35" s="974">
        <v>219.9</v>
      </c>
      <c r="U35" s="882">
        <v>380.18515226136856</v>
      </c>
      <c r="V35" s="972">
        <v>218.2</v>
      </c>
      <c r="W35" s="710">
        <v>381.57079290742365</v>
      </c>
      <c r="X35" s="710"/>
      <c r="Y35" s="972">
        <v>218.3</v>
      </c>
      <c r="Z35" s="874"/>
      <c r="AA35" s="978">
        <v>218.3</v>
      </c>
      <c r="AB35" s="961">
        <v>379.66553701909788</v>
      </c>
      <c r="AC35" s="961">
        <v>376.72105064623076</v>
      </c>
      <c r="AD35" s="961"/>
    </row>
    <row r="36" spans="2:30" ht="27.4" customHeight="1" thickBot="1" x14ac:dyDescent="0.5">
      <c r="B36" s="1332"/>
      <c r="C36" s="1068"/>
      <c r="D36" s="1109"/>
      <c r="E36" s="1413"/>
      <c r="F36" s="735" t="s">
        <v>29</v>
      </c>
      <c r="G36" s="92" t="s">
        <v>27</v>
      </c>
      <c r="H36" s="92" t="s">
        <v>350</v>
      </c>
      <c r="I36" s="92"/>
      <c r="J36" s="93"/>
      <c r="K36" s="977">
        <v>218</v>
      </c>
      <c r="L36" s="711"/>
      <c r="M36" s="977">
        <v>218.5</v>
      </c>
      <c r="N36" s="711"/>
      <c r="O36" s="977">
        <v>218.1</v>
      </c>
      <c r="P36" s="973">
        <v>218</v>
      </c>
      <c r="Q36" s="977">
        <v>218.2</v>
      </c>
      <c r="R36" s="977">
        <v>217.2</v>
      </c>
      <c r="S36" s="711">
        <v>381</v>
      </c>
      <c r="T36" s="975">
        <v>218.5</v>
      </c>
      <c r="U36" s="883">
        <v>380.70476750363923</v>
      </c>
      <c r="V36" s="973">
        <v>218.1</v>
      </c>
      <c r="W36" s="711">
        <v>383.47604879574942</v>
      </c>
      <c r="X36" s="711"/>
      <c r="Y36" s="973">
        <v>218.3</v>
      </c>
      <c r="Z36" s="875"/>
      <c r="AA36" s="979">
        <v>218.2</v>
      </c>
      <c r="AB36" s="962">
        <v>380.01194718061168</v>
      </c>
      <c r="AC36" s="962">
        <v>376.54784556547389</v>
      </c>
      <c r="AD36" s="962"/>
    </row>
    <row r="37" spans="2:30" ht="27.4" customHeight="1" x14ac:dyDescent="0.45">
      <c r="B37" s="1332"/>
      <c r="C37" s="1068"/>
      <c r="D37" s="1109"/>
      <c r="E37" s="1103" t="s">
        <v>773</v>
      </c>
      <c r="F37" s="736" t="s">
        <v>38</v>
      </c>
      <c r="G37" s="85" t="s">
        <v>39</v>
      </c>
      <c r="H37" s="85" t="s">
        <v>350</v>
      </c>
      <c r="I37" s="85"/>
      <c r="J37" s="86"/>
      <c r="K37" s="259">
        <v>59.5</v>
      </c>
      <c r="L37" s="260"/>
      <c r="M37" s="259">
        <v>58.6</v>
      </c>
      <c r="N37" s="260"/>
      <c r="O37" s="259">
        <v>59.5</v>
      </c>
      <c r="P37" s="260">
        <v>59</v>
      </c>
      <c r="Q37" s="259">
        <v>58.9</v>
      </c>
      <c r="R37" s="259">
        <v>58.8</v>
      </c>
      <c r="S37" s="260">
        <v>59.1</v>
      </c>
      <c r="T37" s="798">
        <v>58.6</v>
      </c>
      <c r="U37" s="884">
        <v>59.1</v>
      </c>
      <c r="V37" s="260">
        <v>59.5</v>
      </c>
      <c r="W37" s="260">
        <v>60.1</v>
      </c>
      <c r="X37" s="260"/>
      <c r="Y37" s="260">
        <v>58.7</v>
      </c>
      <c r="Z37" s="798"/>
      <c r="AA37" s="941">
        <v>58.5</v>
      </c>
      <c r="AB37" s="941">
        <v>58.8</v>
      </c>
      <c r="AC37" s="941">
        <v>58.8</v>
      </c>
      <c r="AD37" s="941"/>
    </row>
    <row r="38" spans="2:30" ht="27.4" customHeight="1" x14ac:dyDescent="0.45">
      <c r="B38" s="1332"/>
      <c r="C38" s="1068"/>
      <c r="D38" s="1109"/>
      <c r="E38" s="1105"/>
      <c r="F38" s="732" t="s">
        <v>40</v>
      </c>
      <c r="G38" s="83" t="s">
        <v>39</v>
      </c>
      <c r="H38" s="83" t="s">
        <v>350</v>
      </c>
      <c r="I38" s="83"/>
      <c r="J38" s="88"/>
      <c r="K38" s="245">
        <v>56.2</v>
      </c>
      <c r="L38" s="246"/>
      <c r="M38" s="245">
        <v>57.3</v>
      </c>
      <c r="N38" s="246"/>
      <c r="O38" s="245">
        <v>61.8</v>
      </c>
      <c r="P38" s="246">
        <v>61.4</v>
      </c>
      <c r="Q38" s="245">
        <v>61.2</v>
      </c>
      <c r="R38" s="245">
        <v>61.1</v>
      </c>
      <c r="S38" s="246">
        <v>62.6</v>
      </c>
      <c r="T38" s="795">
        <v>57.3</v>
      </c>
      <c r="U38" s="342">
        <v>61.8</v>
      </c>
      <c r="V38" s="246">
        <v>61.8</v>
      </c>
      <c r="W38" s="246">
        <v>62.5</v>
      </c>
      <c r="X38" s="246"/>
      <c r="Y38" s="246">
        <v>60.9</v>
      </c>
      <c r="Z38" s="795"/>
      <c r="AA38" s="937">
        <v>60.5</v>
      </c>
      <c r="AB38" s="937">
        <v>60.9</v>
      </c>
      <c r="AC38" s="937">
        <v>60.9</v>
      </c>
      <c r="AD38" s="937"/>
    </row>
    <row r="39" spans="2:30" ht="27.4" customHeight="1" x14ac:dyDescent="0.45">
      <c r="B39" s="1332"/>
      <c r="C39" s="1068"/>
      <c r="D39" s="1109"/>
      <c r="E39" s="1105"/>
      <c r="F39" s="734" t="s">
        <v>41</v>
      </c>
      <c r="G39" s="56" t="s">
        <v>39</v>
      </c>
      <c r="H39" s="56" t="s">
        <v>350</v>
      </c>
      <c r="I39" s="56"/>
      <c r="J39" s="98"/>
      <c r="K39" s="245">
        <v>61.8</v>
      </c>
      <c r="L39" s="246"/>
      <c r="M39" s="245">
        <v>60.9</v>
      </c>
      <c r="N39" s="246"/>
      <c r="O39" s="245">
        <v>56.2</v>
      </c>
      <c r="P39" s="246">
        <v>59.8</v>
      </c>
      <c r="Q39" s="245">
        <v>55.8</v>
      </c>
      <c r="R39" s="245">
        <v>55.5</v>
      </c>
      <c r="S39" s="246">
        <v>56.3</v>
      </c>
      <c r="T39" s="795">
        <v>60.9</v>
      </c>
      <c r="U39" s="342">
        <v>56</v>
      </c>
      <c r="V39" s="246">
        <v>56.2</v>
      </c>
      <c r="W39" s="246">
        <v>56.8</v>
      </c>
      <c r="X39" s="246"/>
      <c r="Y39" s="246">
        <v>55.4</v>
      </c>
      <c r="Z39" s="795"/>
      <c r="AA39" s="937">
        <v>55.3</v>
      </c>
      <c r="AB39" s="937">
        <v>55.5</v>
      </c>
      <c r="AC39" s="937">
        <v>55.5</v>
      </c>
      <c r="AD39" s="937"/>
    </row>
    <row r="40" spans="2:30" ht="27.4" customHeight="1" x14ac:dyDescent="0.45">
      <c r="B40" s="1332"/>
      <c r="C40" s="1068"/>
      <c r="D40" s="1109"/>
      <c r="E40" s="1105"/>
      <c r="F40" s="732" t="s">
        <v>43</v>
      </c>
      <c r="G40" s="83" t="s">
        <v>189</v>
      </c>
      <c r="H40" s="83" t="s">
        <v>217</v>
      </c>
      <c r="I40" s="83"/>
      <c r="J40" s="88"/>
      <c r="K40" s="245">
        <v>262.60000000000002</v>
      </c>
      <c r="L40" s="246"/>
      <c r="M40" s="245">
        <v>265.2</v>
      </c>
      <c r="N40" s="246"/>
      <c r="O40" s="245">
        <v>262.3</v>
      </c>
      <c r="P40" s="246">
        <v>243</v>
      </c>
      <c r="Q40" s="245">
        <v>260.8</v>
      </c>
      <c r="R40" s="245">
        <v>258.2</v>
      </c>
      <c r="S40" s="246">
        <v>258.2</v>
      </c>
      <c r="T40" s="795">
        <v>265.2</v>
      </c>
      <c r="U40" s="342">
        <v>260.39999999999998</v>
      </c>
      <c r="V40" s="246">
        <v>262.3</v>
      </c>
      <c r="W40" s="246">
        <v>263.5</v>
      </c>
      <c r="X40" s="246"/>
      <c r="Y40" s="246">
        <v>261.60000000000002</v>
      </c>
      <c r="Z40" s="795"/>
      <c r="AA40" s="937">
        <v>261.10000000000002</v>
      </c>
      <c r="AB40" s="937">
        <v>258.89999999999998</v>
      </c>
      <c r="AC40" s="937">
        <v>265.89999999999998</v>
      </c>
      <c r="AD40" s="937"/>
    </row>
    <row r="41" spans="2:30" ht="27.4" customHeight="1" x14ac:dyDescent="0.45">
      <c r="B41" s="1332"/>
      <c r="C41" s="1068"/>
      <c r="D41" s="1109"/>
      <c r="E41" s="1105"/>
      <c r="F41" s="734" t="s">
        <v>45</v>
      </c>
      <c r="G41" s="56" t="s">
        <v>190</v>
      </c>
      <c r="H41" s="56" t="s">
        <v>217</v>
      </c>
      <c r="I41" s="56"/>
      <c r="J41" s="98"/>
      <c r="K41" s="245">
        <v>133.6</v>
      </c>
      <c r="L41" s="246"/>
      <c r="M41" s="245">
        <v>131.5</v>
      </c>
      <c r="N41" s="246"/>
      <c r="O41" s="245">
        <v>132.9</v>
      </c>
      <c r="P41" s="246">
        <v>121</v>
      </c>
      <c r="Q41" s="245">
        <v>131.4</v>
      </c>
      <c r="R41" s="245">
        <v>128.5</v>
      </c>
      <c r="S41" s="246">
        <v>127</v>
      </c>
      <c r="T41" s="795">
        <v>131.5</v>
      </c>
      <c r="U41" s="342">
        <v>0.13200000000000001</v>
      </c>
      <c r="V41" s="246">
        <v>132.9</v>
      </c>
      <c r="W41" s="246">
        <v>136.80000000000001</v>
      </c>
      <c r="X41" s="246"/>
      <c r="Y41" s="246">
        <v>129.69999999999999</v>
      </c>
      <c r="Z41" s="795"/>
      <c r="AA41" s="937">
        <v>135.30000000000001</v>
      </c>
      <c r="AB41" s="937">
        <v>130.9</v>
      </c>
      <c r="AC41" s="937">
        <v>133.19999999999999</v>
      </c>
      <c r="AD41" s="937"/>
    </row>
    <row r="42" spans="2:30" ht="27.4" customHeight="1" x14ac:dyDescent="0.45">
      <c r="B42" s="1332"/>
      <c r="C42" s="1068"/>
      <c r="D42" s="1109"/>
      <c r="E42" s="1105"/>
      <c r="F42" s="732" t="s">
        <v>47</v>
      </c>
      <c r="G42" s="83" t="s">
        <v>48</v>
      </c>
      <c r="H42" s="83" t="s">
        <v>350</v>
      </c>
      <c r="I42" s="83"/>
      <c r="J42" s="88"/>
      <c r="K42" s="245">
        <v>445.8</v>
      </c>
      <c r="L42" s="246"/>
      <c r="M42" s="245">
        <v>447.2</v>
      </c>
      <c r="N42" s="246"/>
      <c r="O42" s="245">
        <v>444</v>
      </c>
      <c r="P42" s="246">
        <v>415</v>
      </c>
      <c r="Q42" s="245">
        <v>447.6</v>
      </c>
      <c r="R42" s="245">
        <v>442.5</v>
      </c>
      <c r="S42" s="246">
        <v>379</v>
      </c>
      <c r="T42" s="795">
        <v>447.2</v>
      </c>
      <c r="U42" s="342">
        <v>442.8</v>
      </c>
      <c r="V42" s="246">
        <v>444</v>
      </c>
      <c r="W42" s="246">
        <v>448.2</v>
      </c>
      <c r="X42" s="246"/>
      <c r="Y42" s="246">
        <v>451.2</v>
      </c>
      <c r="Z42" s="795"/>
      <c r="AA42" s="937">
        <v>445.2</v>
      </c>
      <c r="AB42" s="937">
        <v>439.2</v>
      </c>
      <c r="AC42" s="937">
        <v>456.6</v>
      </c>
      <c r="AD42" s="937"/>
    </row>
    <row r="43" spans="2:30" ht="27.4" customHeight="1" x14ac:dyDescent="0.45">
      <c r="B43" s="1332"/>
      <c r="C43" s="1068"/>
      <c r="D43" s="1109"/>
      <c r="E43" s="1105"/>
      <c r="F43" s="734" t="s">
        <v>49</v>
      </c>
      <c r="G43" s="56" t="s">
        <v>48</v>
      </c>
      <c r="H43" s="56" t="s">
        <v>350</v>
      </c>
      <c r="I43" s="56"/>
      <c r="J43" s="98"/>
      <c r="K43" s="245">
        <v>443.4</v>
      </c>
      <c r="L43" s="246"/>
      <c r="M43" s="245">
        <v>445.23</v>
      </c>
      <c r="N43" s="246"/>
      <c r="O43" s="245">
        <v>441</v>
      </c>
      <c r="P43" s="246">
        <v>411</v>
      </c>
      <c r="Q43" s="245">
        <v>444.4</v>
      </c>
      <c r="R43" s="245">
        <v>443.2</v>
      </c>
      <c r="S43" s="246">
        <v>378</v>
      </c>
      <c r="T43" s="795">
        <v>445.23</v>
      </c>
      <c r="U43" s="342">
        <v>439.8</v>
      </c>
      <c r="V43" s="246">
        <v>441</v>
      </c>
      <c r="W43" s="246">
        <v>442.2</v>
      </c>
      <c r="X43" s="246"/>
      <c r="Y43" s="246">
        <v>450</v>
      </c>
      <c r="Z43" s="795"/>
      <c r="AA43" s="937">
        <v>440.4</v>
      </c>
      <c r="AB43" s="937">
        <v>435</v>
      </c>
      <c r="AC43" s="937">
        <v>447.6</v>
      </c>
      <c r="AD43" s="937"/>
    </row>
    <row r="44" spans="2:30" ht="27.4" customHeight="1" x14ac:dyDescent="0.45">
      <c r="B44" s="1332"/>
      <c r="C44" s="1068"/>
      <c r="D44" s="1109"/>
      <c r="E44" s="1105"/>
      <c r="F44" s="732" t="s">
        <v>50</v>
      </c>
      <c r="G44" s="83" t="s">
        <v>48</v>
      </c>
      <c r="H44" s="83" t="s">
        <v>350</v>
      </c>
      <c r="I44" s="83"/>
      <c r="J44" s="88"/>
      <c r="K44" s="245">
        <v>453</v>
      </c>
      <c r="L44" s="246"/>
      <c r="M44" s="245">
        <v>452</v>
      </c>
      <c r="N44" s="246"/>
      <c r="O44" s="245">
        <v>450</v>
      </c>
      <c r="P44" s="246">
        <v>420</v>
      </c>
      <c r="Q44" s="245">
        <v>454.2</v>
      </c>
      <c r="R44" s="245">
        <v>450.8</v>
      </c>
      <c r="S44" s="246">
        <v>380</v>
      </c>
      <c r="T44" s="795">
        <v>452</v>
      </c>
      <c r="U44" s="342">
        <v>445.2</v>
      </c>
      <c r="V44" s="246">
        <v>450</v>
      </c>
      <c r="W44" s="246">
        <v>453</v>
      </c>
      <c r="X44" s="246"/>
      <c r="Y44" s="246">
        <v>452.4</v>
      </c>
      <c r="Z44" s="795"/>
      <c r="AA44" s="937">
        <v>454.2</v>
      </c>
      <c r="AB44" s="937">
        <v>445.2</v>
      </c>
      <c r="AC44" s="937">
        <v>457.6</v>
      </c>
      <c r="AD44" s="937"/>
    </row>
    <row r="45" spans="2:30" ht="27.4" customHeight="1" x14ac:dyDescent="0.45">
      <c r="B45" s="1332"/>
      <c r="C45" s="1068"/>
      <c r="D45" s="1109"/>
      <c r="E45" s="1105"/>
      <c r="F45" s="734" t="s">
        <v>26</v>
      </c>
      <c r="G45" s="56" t="s">
        <v>27</v>
      </c>
      <c r="H45" s="56" t="s">
        <v>350</v>
      </c>
      <c r="I45" s="56"/>
      <c r="J45" s="98"/>
      <c r="K45" s="245">
        <v>219.6</v>
      </c>
      <c r="L45" s="710"/>
      <c r="M45" s="245">
        <v>220.1</v>
      </c>
      <c r="N45" s="710"/>
      <c r="O45" s="245">
        <v>219.5</v>
      </c>
      <c r="P45" s="710">
        <v>217</v>
      </c>
      <c r="Q45" s="245">
        <v>217.1</v>
      </c>
      <c r="R45" s="245">
        <v>218.2</v>
      </c>
      <c r="S45" s="710">
        <v>430</v>
      </c>
      <c r="T45" s="874">
        <v>220.1</v>
      </c>
      <c r="U45" s="882">
        <v>380.01194718061168</v>
      </c>
      <c r="V45" s="710">
        <v>219.5</v>
      </c>
      <c r="W45" s="710">
        <v>383.64925387650629</v>
      </c>
      <c r="X45" s="710"/>
      <c r="Y45" s="710">
        <v>215.9</v>
      </c>
      <c r="Z45" s="874"/>
      <c r="AA45" s="961">
        <v>218.7</v>
      </c>
      <c r="AB45" s="961">
        <v>380.5315624228823</v>
      </c>
      <c r="AC45" s="961">
        <v>377.93348621152899</v>
      </c>
      <c r="AD45" s="961"/>
    </row>
    <row r="46" spans="2:30" ht="27.4" customHeight="1" x14ac:dyDescent="0.45">
      <c r="B46" s="1332"/>
      <c r="C46" s="1068"/>
      <c r="D46" s="1109"/>
      <c r="E46" s="1105"/>
      <c r="F46" s="732" t="s">
        <v>28</v>
      </c>
      <c r="G46" s="83" t="s">
        <v>27</v>
      </c>
      <c r="H46" s="83" t="s">
        <v>350</v>
      </c>
      <c r="I46" s="83"/>
      <c r="J46" s="88"/>
      <c r="K46" s="245">
        <v>219.5</v>
      </c>
      <c r="L46" s="710"/>
      <c r="M46" s="245">
        <v>220.6</v>
      </c>
      <c r="N46" s="710"/>
      <c r="O46" s="245">
        <v>219.2</v>
      </c>
      <c r="P46" s="710">
        <v>217</v>
      </c>
      <c r="Q46" s="245">
        <v>216.6</v>
      </c>
      <c r="R46" s="245">
        <v>218.5</v>
      </c>
      <c r="S46" s="710">
        <v>432</v>
      </c>
      <c r="T46" s="874">
        <v>220.6</v>
      </c>
      <c r="U46" s="882">
        <v>380.18515226136856</v>
      </c>
      <c r="V46" s="710">
        <v>219.2</v>
      </c>
      <c r="W46" s="710">
        <v>382.2636132304512</v>
      </c>
      <c r="X46" s="710"/>
      <c r="Y46" s="710">
        <v>216</v>
      </c>
      <c r="Z46" s="874"/>
      <c r="AA46" s="961">
        <v>218.3</v>
      </c>
      <c r="AB46" s="961">
        <v>379.83874209985481</v>
      </c>
      <c r="AC46" s="961">
        <v>378.97271669607034</v>
      </c>
      <c r="AD46" s="961"/>
    </row>
    <row r="47" spans="2:30" ht="27.4" customHeight="1" x14ac:dyDescent="0.45">
      <c r="B47" s="1332"/>
      <c r="C47" s="1068"/>
      <c r="D47" s="1109"/>
      <c r="E47" s="1105"/>
      <c r="F47" s="734" t="s">
        <v>29</v>
      </c>
      <c r="G47" s="56" t="s">
        <v>27</v>
      </c>
      <c r="H47" s="56" t="s">
        <v>350</v>
      </c>
      <c r="I47" s="56"/>
      <c r="J47" s="98"/>
      <c r="K47" s="245">
        <v>219.2</v>
      </c>
      <c r="L47" s="710"/>
      <c r="M47" s="245">
        <v>220.3</v>
      </c>
      <c r="N47" s="710"/>
      <c r="O47" s="245">
        <v>218.9</v>
      </c>
      <c r="P47" s="710">
        <v>217</v>
      </c>
      <c r="Q47" s="245">
        <v>216.4</v>
      </c>
      <c r="R47" s="245">
        <v>218.5</v>
      </c>
      <c r="S47" s="710">
        <v>438</v>
      </c>
      <c r="T47" s="874">
        <v>220.3</v>
      </c>
      <c r="U47" s="882">
        <v>380.01194718061168</v>
      </c>
      <c r="V47" s="710">
        <v>218.9</v>
      </c>
      <c r="W47" s="710">
        <v>381.74399798818052</v>
      </c>
      <c r="X47" s="710"/>
      <c r="Y47" s="710">
        <v>215.3</v>
      </c>
      <c r="Z47" s="874"/>
      <c r="AA47" s="961">
        <v>217.9</v>
      </c>
      <c r="AB47" s="961">
        <v>379.31912685758408</v>
      </c>
      <c r="AC47" s="961">
        <v>378.27989637304279</v>
      </c>
      <c r="AD47" s="961"/>
    </row>
    <row r="48" spans="2:30" ht="27.4" customHeight="1" thickBot="1" x14ac:dyDescent="0.5">
      <c r="B48" s="1333"/>
      <c r="C48" s="1070"/>
      <c r="D48" s="1431"/>
      <c r="E48" s="405"/>
      <c r="F48" s="737" t="s">
        <v>774</v>
      </c>
      <c r="G48" s="386"/>
      <c r="H48" s="386" t="s">
        <v>167</v>
      </c>
      <c r="I48" s="386"/>
      <c r="J48" s="387" t="s">
        <v>167</v>
      </c>
      <c r="K48" s="496" t="s">
        <v>168</v>
      </c>
      <c r="L48" s="261"/>
      <c r="M48" s="496" t="s">
        <v>168</v>
      </c>
      <c r="N48" s="261"/>
      <c r="O48" s="496" t="s">
        <v>775</v>
      </c>
      <c r="P48" s="261" t="s">
        <v>168</v>
      </c>
      <c r="Q48" s="496" t="s">
        <v>168</v>
      </c>
      <c r="R48" s="496" t="s">
        <v>168</v>
      </c>
      <c r="S48" s="261" t="s">
        <v>169</v>
      </c>
      <c r="T48" s="796" t="s">
        <v>168</v>
      </c>
      <c r="U48" s="885" t="s">
        <v>168</v>
      </c>
      <c r="V48" s="261" t="s">
        <v>168</v>
      </c>
      <c r="W48" s="261" t="s">
        <v>151</v>
      </c>
      <c r="X48" s="261"/>
      <c r="Y48" s="261" t="s">
        <v>168</v>
      </c>
      <c r="Z48" s="796"/>
      <c r="AA48" s="938" t="s">
        <v>168</v>
      </c>
      <c r="AB48" s="938" t="s">
        <v>168</v>
      </c>
      <c r="AC48" s="938" t="s">
        <v>168</v>
      </c>
      <c r="AD48" s="938"/>
    </row>
    <row r="49" spans="2:30" ht="27.4" customHeight="1" thickTop="1" x14ac:dyDescent="0.45">
      <c r="B49" s="1432" t="s">
        <v>776</v>
      </c>
      <c r="C49" s="1433"/>
      <c r="D49" s="1085" t="s">
        <v>777</v>
      </c>
      <c r="E49" s="1084"/>
      <c r="F49" s="738" t="s">
        <v>778</v>
      </c>
      <c r="G49" s="57" t="s">
        <v>21</v>
      </c>
      <c r="H49" s="57"/>
      <c r="I49" s="57"/>
      <c r="J49" s="100" t="s">
        <v>276</v>
      </c>
      <c r="K49" s="503" t="s">
        <v>370</v>
      </c>
      <c r="L49" s="398"/>
      <c r="M49" s="503" t="s">
        <v>370</v>
      </c>
      <c r="N49" s="398"/>
      <c r="O49" s="503" t="s">
        <v>370</v>
      </c>
      <c r="P49" s="398" t="s">
        <v>200</v>
      </c>
      <c r="Q49" s="503" t="s">
        <v>200</v>
      </c>
      <c r="R49" s="503" t="s">
        <v>200</v>
      </c>
      <c r="S49" s="398" t="s">
        <v>200</v>
      </c>
      <c r="T49" s="876" t="s">
        <v>200</v>
      </c>
      <c r="U49" s="886" t="s">
        <v>200</v>
      </c>
      <c r="V49" s="398" t="s">
        <v>200</v>
      </c>
      <c r="W49" s="398" t="s">
        <v>200</v>
      </c>
      <c r="X49" s="398"/>
      <c r="Y49" s="398" t="s">
        <v>200</v>
      </c>
      <c r="Z49" s="876"/>
      <c r="AA49" s="963" t="s">
        <v>200</v>
      </c>
      <c r="AB49" s="963" t="s">
        <v>200</v>
      </c>
      <c r="AC49" s="963" t="s">
        <v>200</v>
      </c>
      <c r="AD49" s="963"/>
    </row>
    <row r="50" spans="2:30" ht="27.4" customHeight="1" x14ac:dyDescent="0.45">
      <c r="B50" s="1432"/>
      <c r="C50" s="1433"/>
      <c r="D50" s="1434"/>
      <c r="E50" s="1435"/>
      <c r="F50" s="732" t="s">
        <v>779</v>
      </c>
      <c r="G50" s="83" t="s">
        <v>48</v>
      </c>
      <c r="H50" s="83"/>
      <c r="I50" s="83"/>
      <c r="J50" s="88" t="s">
        <v>780</v>
      </c>
      <c r="K50" s="498">
        <v>0</v>
      </c>
      <c r="L50" s="246"/>
      <c r="M50" s="498">
        <v>0</v>
      </c>
      <c r="N50" s="246"/>
      <c r="O50" s="498">
        <v>0</v>
      </c>
      <c r="P50" s="246">
        <v>0</v>
      </c>
      <c r="Q50" s="498">
        <v>0</v>
      </c>
      <c r="R50" s="498">
        <v>0</v>
      </c>
      <c r="S50" s="246">
        <v>0</v>
      </c>
      <c r="T50" s="795">
        <v>0</v>
      </c>
      <c r="U50" s="342">
        <v>0</v>
      </c>
      <c r="V50" s="246">
        <v>0</v>
      </c>
      <c r="W50" s="246">
        <v>0</v>
      </c>
      <c r="X50" s="246"/>
      <c r="Y50" s="246">
        <v>0</v>
      </c>
      <c r="Z50" s="795"/>
      <c r="AA50" s="937">
        <v>0</v>
      </c>
      <c r="AB50" s="937">
        <v>0</v>
      </c>
      <c r="AC50" s="937">
        <v>0</v>
      </c>
      <c r="AD50" s="937"/>
    </row>
    <row r="51" spans="2:30" ht="27.4" customHeight="1" x14ac:dyDescent="0.45">
      <c r="B51" s="1432"/>
      <c r="C51" s="1433"/>
      <c r="D51" s="1434"/>
      <c r="E51" s="1435"/>
      <c r="F51" s="734" t="s">
        <v>781</v>
      </c>
      <c r="G51" s="56" t="s">
        <v>48</v>
      </c>
      <c r="H51" s="56"/>
      <c r="I51" s="56"/>
      <c r="J51" s="98" t="s">
        <v>780</v>
      </c>
      <c r="K51" s="498">
        <v>0</v>
      </c>
      <c r="L51" s="246"/>
      <c r="M51" s="498">
        <v>0</v>
      </c>
      <c r="N51" s="246"/>
      <c r="O51" s="498">
        <v>0</v>
      </c>
      <c r="P51" s="246">
        <v>0</v>
      </c>
      <c r="Q51" s="498">
        <v>0</v>
      </c>
      <c r="R51" s="498">
        <v>0</v>
      </c>
      <c r="S51" s="246">
        <v>0</v>
      </c>
      <c r="T51" s="795">
        <v>0</v>
      </c>
      <c r="U51" s="342">
        <v>0</v>
      </c>
      <c r="V51" s="246">
        <v>0</v>
      </c>
      <c r="W51" s="246">
        <v>0</v>
      </c>
      <c r="X51" s="246"/>
      <c r="Y51" s="246">
        <v>0</v>
      </c>
      <c r="Z51" s="795"/>
      <c r="AA51" s="937">
        <v>0</v>
      </c>
      <c r="AB51" s="937">
        <v>0</v>
      </c>
      <c r="AC51" s="937">
        <v>0</v>
      </c>
      <c r="AD51" s="937"/>
    </row>
    <row r="52" spans="2:30" ht="27.4" customHeight="1" x14ac:dyDescent="0.45">
      <c r="B52" s="1432"/>
      <c r="C52" s="1433"/>
      <c r="D52" s="1434"/>
      <c r="E52" s="1435"/>
      <c r="F52" s="732" t="s">
        <v>782</v>
      </c>
      <c r="G52" s="83" t="s">
        <v>48</v>
      </c>
      <c r="H52" s="83"/>
      <c r="I52" s="83"/>
      <c r="J52" s="88" t="s">
        <v>780</v>
      </c>
      <c r="K52" s="498">
        <v>0</v>
      </c>
      <c r="L52" s="246"/>
      <c r="M52" s="498">
        <v>0</v>
      </c>
      <c r="N52" s="246"/>
      <c r="O52" s="498">
        <v>0</v>
      </c>
      <c r="P52" s="246">
        <v>0</v>
      </c>
      <c r="Q52" s="498">
        <v>0</v>
      </c>
      <c r="R52" s="498">
        <v>0</v>
      </c>
      <c r="S52" s="246">
        <v>0</v>
      </c>
      <c r="T52" s="795">
        <v>0</v>
      </c>
      <c r="U52" s="342">
        <v>0</v>
      </c>
      <c r="V52" s="246">
        <v>0</v>
      </c>
      <c r="W52" s="246">
        <v>0</v>
      </c>
      <c r="X52" s="246"/>
      <c r="Y52" s="246">
        <v>0</v>
      </c>
      <c r="Z52" s="795"/>
      <c r="AA52" s="937">
        <v>0</v>
      </c>
      <c r="AB52" s="937">
        <v>0</v>
      </c>
      <c r="AC52" s="937">
        <v>0</v>
      </c>
      <c r="AD52" s="937"/>
    </row>
    <row r="53" spans="2:30" ht="27.4" customHeight="1" x14ac:dyDescent="0.45">
      <c r="B53" s="1432"/>
      <c r="C53" s="1433"/>
      <c r="D53" s="1434"/>
      <c r="E53" s="1435"/>
      <c r="F53" s="734" t="s">
        <v>783</v>
      </c>
      <c r="G53" s="56" t="s">
        <v>48</v>
      </c>
      <c r="H53" s="56"/>
      <c r="I53" s="56"/>
      <c r="J53" s="98" t="s">
        <v>784</v>
      </c>
      <c r="K53" s="498">
        <v>6.5</v>
      </c>
      <c r="L53" s="246"/>
      <c r="M53" s="498">
        <v>6.4</v>
      </c>
      <c r="N53" s="246"/>
      <c r="O53" s="498">
        <v>6.7</v>
      </c>
      <c r="P53" s="246">
        <v>6.6</v>
      </c>
      <c r="Q53" s="498">
        <v>6.5</v>
      </c>
      <c r="R53" s="498">
        <v>6.6</v>
      </c>
      <c r="S53" s="246">
        <v>6.7</v>
      </c>
      <c r="T53" s="795">
        <v>6.4</v>
      </c>
      <c r="U53" s="342">
        <v>6.4</v>
      </c>
      <c r="V53" s="246">
        <v>6.7</v>
      </c>
      <c r="W53" s="246">
        <v>6.6</v>
      </c>
      <c r="X53" s="246"/>
      <c r="Y53" s="246">
        <v>3</v>
      </c>
      <c r="Z53" s="795"/>
      <c r="AA53" s="937">
        <v>6.8</v>
      </c>
      <c r="AB53" s="937">
        <v>6.2</v>
      </c>
      <c r="AC53" s="937">
        <v>7</v>
      </c>
      <c r="AD53" s="937"/>
    </row>
    <row r="54" spans="2:30" ht="27.4" customHeight="1" x14ac:dyDescent="0.45">
      <c r="B54" s="1432"/>
      <c r="C54" s="1433"/>
      <c r="D54" s="1434"/>
      <c r="E54" s="1435"/>
      <c r="F54" s="732" t="s">
        <v>785</v>
      </c>
      <c r="G54" s="83" t="s">
        <v>27</v>
      </c>
      <c r="H54" s="83"/>
      <c r="I54" s="83"/>
      <c r="J54" s="88" t="s">
        <v>786</v>
      </c>
      <c r="K54" s="498">
        <v>12.68</v>
      </c>
      <c r="L54" s="246"/>
      <c r="M54" s="498">
        <v>12.65</v>
      </c>
      <c r="N54" s="246"/>
      <c r="O54" s="498">
        <v>12.71</v>
      </c>
      <c r="P54" s="246">
        <v>12.7</v>
      </c>
      <c r="Q54" s="498">
        <v>12.7</v>
      </c>
      <c r="R54" s="498">
        <v>12.6</v>
      </c>
      <c r="S54" s="246">
        <v>12.71</v>
      </c>
      <c r="T54" s="795">
        <v>12.65</v>
      </c>
      <c r="U54" s="342">
        <v>12.78</v>
      </c>
      <c r="V54" s="246">
        <v>12.71</v>
      </c>
      <c r="W54" s="246">
        <v>12.84</v>
      </c>
      <c r="X54" s="246"/>
      <c r="Y54" s="246">
        <v>12.6</v>
      </c>
      <c r="Z54" s="795"/>
      <c r="AA54" s="937">
        <v>12.7</v>
      </c>
      <c r="AB54" s="937">
        <v>12.77</v>
      </c>
      <c r="AC54" s="937">
        <v>12.63</v>
      </c>
      <c r="AD54" s="937"/>
    </row>
    <row r="55" spans="2:30" ht="27.4" customHeight="1" x14ac:dyDescent="0.45">
      <c r="B55" s="1432"/>
      <c r="C55" s="1433"/>
      <c r="D55" s="1434"/>
      <c r="E55" s="1435"/>
      <c r="F55" s="734" t="s">
        <v>787</v>
      </c>
      <c r="G55" s="56" t="s">
        <v>48</v>
      </c>
      <c r="H55" s="56"/>
      <c r="I55" s="56"/>
      <c r="J55" s="98" t="s">
        <v>788</v>
      </c>
      <c r="K55" s="498">
        <v>6.32</v>
      </c>
      <c r="L55" s="246"/>
      <c r="M55" s="498">
        <v>6.33</v>
      </c>
      <c r="N55" s="246"/>
      <c r="O55" s="498">
        <v>6.68</v>
      </c>
      <c r="P55" s="246">
        <v>6.33</v>
      </c>
      <c r="Q55" s="498">
        <v>6.2</v>
      </c>
      <c r="R55" s="498">
        <v>6.2</v>
      </c>
      <c r="S55" s="246">
        <v>6.68</v>
      </c>
      <c r="T55" s="795">
        <v>6.33</v>
      </c>
      <c r="U55" s="342">
        <v>6.56</v>
      </c>
      <c r="V55" s="246">
        <v>6.68</v>
      </c>
      <c r="W55" s="246">
        <v>6.39</v>
      </c>
      <c r="X55" s="246"/>
      <c r="Y55" s="246">
        <v>2.76</v>
      </c>
      <c r="Z55" s="795"/>
      <c r="AA55" s="937">
        <v>6.7</v>
      </c>
      <c r="AB55" s="937">
        <v>6.1</v>
      </c>
      <c r="AC55" s="937">
        <v>6.71</v>
      </c>
      <c r="AD55" s="937"/>
    </row>
    <row r="56" spans="2:30" ht="27.4" customHeight="1" x14ac:dyDescent="0.45">
      <c r="B56" s="1432"/>
      <c r="C56" s="1433"/>
      <c r="D56" s="1434"/>
      <c r="E56" s="1435"/>
      <c r="F56" s="732" t="s">
        <v>789</v>
      </c>
      <c r="G56" s="83" t="s">
        <v>48</v>
      </c>
      <c r="H56" s="83"/>
      <c r="I56" s="83"/>
      <c r="J56" s="88" t="s">
        <v>194</v>
      </c>
      <c r="K56" s="498">
        <v>0</v>
      </c>
      <c r="L56" s="246"/>
      <c r="M56" s="498">
        <v>0</v>
      </c>
      <c r="N56" s="246"/>
      <c r="O56" s="498">
        <v>0</v>
      </c>
      <c r="P56" s="246">
        <v>0</v>
      </c>
      <c r="Q56" s="498">
        <v>0</v>
      </c>
      <c r="R56" s="498">
        <v>0</v>
      </c>
      <c r="S56" s="246">
        <v>0</v>
      </c>
      <c r="T56" s="795">
        <v>0</v>
      </c>
      <c r="U56" s="342">
        <v>0</v>
      </c>
      <c r="V56" s="246">
        <v>0</v>
      </c>
      <c r="W56" s="246">
        <v>0</v>
      </c>
      <c r="X56" s="246"/>
      <c r="Y56" s="246">
        <v>0</v>
      </c>
      <c r="Z56" s="795"/>
      <c r="AA56" s="937">
        <v>0</v>
      </c>
      <c r="AB56" s="937">
        <v>0</v>
      </c>
      <c r="AC56" s="937">
        <v>0</v>
      </c>
      <c r="AD56" s="937"/>
    </row>
    <row r="57" spans="2:30" ht="27.4" customHeight="1" x14ac:dyDescent="0.45">
      <c r="B57" s="1432"/>
      <c r="C57" s="1433"/>
      <c r="D57" s="1434"/>
      <c r="E57" s="1435"/>
      <c r="F57" s="734" t="s">
        <v>790</v>
      </c>
      <c r="G57" s="56" t="s">
        <v>48</v>
      </c>
      <c r="H57" s="56"/>
      <c r="I57" s="56"/>
      <c r="J57" s="98" t="s">
        <v>791</v>
      </c>
      <c r="K57" s="498">
        <v>8.24</v>
      </c>
      <c r="L57" s="246"/>
      <c r="M57" s="498">
        <v>8.25</v>
      </c>
      <c r="N57" s="246"/>
      <c r="O57" s="498">
        <v>7.72</v>
      </c>
      <c r="P57" s="246">
        <v>7.7</v>
      </c>
      <c r="Q57" s="498">
        <v>7.9</v>
      </c>
      <c r="R57" s="498">
        <v>7.8</v>
      </c>
      <c r="S57" s="246">
        <v>7.72</v>
      </c>
      <c r="T57" s="795">
        <v>8.25</v>
      </c>
      <c r="U57" s="342">
        <v>7.9</v>
      </c>
      <c r="V57" s="246">
        <v>7.72</v>
      </c>
      <c r="W57" s="246">
        <v>7.88</v>
      </c>
      <c r="X57" s="246"/>
      <c r="Y57" s="246">
        <v>8</v>
      </c>
      <c r="Z57" s="795"/>
      <c r="AA57" s="937">
        <v>8.1</v>
      </c>
      <c r="AB57" s="937">
        <v>8.1999999999999993</v>
      </c>
      <c r="AC57" s="937">
        <v>7.84</v>
      </c>
      <c r="AD57" s="937"/>
    </row>
    <row r="58" spans="2:30" ht="27.4" customHeight="1" x14ac:dyDescent="0.45">
      <c r="B58" s="1432"/>
      <c r="C58" s="1433"/>
      <c r="D58" s="1434"/>
      <c r="E58" s="1435"/>
      <c r="F58" s="734" t="s">
        <v>792</v>
      </c>
      <c r="G58" s="56" t="s">
        <v>27</v>
      </c>
      <c r="H58" s="56"/>
      <c r="I58" s="56"/>
      <c r="J58" s="98" t="s">
        <v>793</v>
      </c>
      <c r="K58" s="498">
        <v>12.77</v>
      </c>
      <c r="L58" s="246"/>
      <c r="M58" s="498">
        <v>12.68</v>
      </c>
      <c r="N58" s="246"/>
      <c r="O58" s="498">
        <v>12.78</v>
      </c>
      <c r="P58" s="246">
        <v>12.6</v>
      </c>
      <c r="Q58" s="498">
        <v>12.6</v>
      </c>
      <c r="R58" s="498">
        <v>12.5</v>
      </c>
      <c r="S58" s="246">
        <v>12.78</v>
      </c>
      <c r="T58" s="795">
        <v>12.68</v>
      </c>
      <c r="U58" s="342">
        <v>12.8</v>
      </c>
      <c r="V58" s="246">
        <v>12.78</v>
      </c>
      <c r="W58" s="246">
        <v>12.88</v>
      </c>
      <c r="X58" s="246"/>
      <c r="Y58" s="246">
        <v>12.5</v>
      </c>
      <c r="Z58" s="795"/>
      <c r="AA58" s="937">
        <v>12.6</v>
      </c>
      <c r="AB58" s="937">
        <v>12.73</v>
      </c>
      <c r="AC58" s="937">
        <v>12.66</v>
      </c>
      <c r="AD58" s="937"/>
    </row>
    <row r="59" spans="2:30" ht="27.4" customHeight="1" x14ac:dyDescent="0.45">
      <c r="B59" s="1432"/>
      <c r="C59" s="1433"/>
      <c r="D59" s="1434"/>
      <c r="E59" s="1435"/>
      <c r="F59" s="732" t="s">
        <v>794</v>
      </c>
      <c r="G59" s="83" t="s">
        <v>48</v>
      </c>
      <c r="H59" s="83"/>
      <c r="I59" s="83"/>
      <c r="J59" s="88" t="s">
        <v>795</v>
      </c>
      <c r="K59" s="498">
        <v>9.6999999999999993</v>
      </c>
      <c r="L59" s="246"/>
      <c r="M59" s="498">
        <v>9.5</v>
      </c>
      <c r="N59" s="246"/>
      <c r="O59" s="498">
        <v>9.1999999999999993</v>
      </c>
      <c r="P59" s="246">
        <v>21.5</v>
      </c>
      <c r="Q59" s="498">
        <v>21.9</v>
      </c>
      <c r="R59" s="498">
        <v>21.8</v>
      </c>
      <c r="S59" s="246">
        <v>9.1999999999999993</v>
      </c>
      <c r="T59" s="795">
        <v>9.5</v>
      </c>
      <c r="U59" s="342">
        <v>9.4</v>
      </c>
      <c r="V59" s="246">
        <v>9.1999999999999993</v>
      </c>
      <c r="W59" s="246">
        <v>9.3000000000000007</v>
      </c>
      <c r="X59" s="246"/>
      <c r="Y59" s="246">
        <v>9.4</v>
      </c>
      <c r="Z59" s="795"/>
      <c r="AA59" s="937">
        <v>10.199999999999999</v>
      </c>
      <c r="AB59" s="937">
        <v>9.3000000000000007</v>
      </c>
      <c r="AC59" s="937">
        <v>9.6</v>
      </c>
      <c r="AD59" s="937"/>
    </row>
    <row r="60" spans="2:30" ht="27.4" customHeight="1" x14ac:dyDescent="0.45">
      <c r="B60" s="1432"/>
      <c r="C60" s="1433"/>
      <c r="D60" s="1434"/>
      <c r="E60" s="1435"/>
      <c r="F60" s="732" t="s">
        <v>796</v>
      </c>
      <c r="G60" s="83" t="s">
        <v>48</v>
      </c>
      <c r="H60" s="83"/>
      <c r="I60" s="83"/>
      <c r="J60" s="88" t="s">
        <v>797</v>
      </c>
      <c r="K60" s="498"/>
      <c r="L60" s="246"/>
      <c r="M60" s="498"/>
      <c r="N60" s="246"/>
      <c r="O60" s="498">
        <v>0</v>
      </c>
      <c r="P60" s="246">
        <v>0</v>
      </c>
      <c r="Q60" s="498">
        <v>0</v>
      </c>
      <c r="R60" s="498">
        <v>0</v>
      </c>
      <c r="S60" s="246">
        <v>0</v>
      </c>
      <c r="T60" s="795"/>
      <c r="U60" s="342">
        <v>0</v>
      </c>
      <c r="V60" s="246">
        <v>0</v>
      </c>
      <c r="W60" s="246">
        <v>0</v>
      </c>
      <c r="X60" s="246"/>
      <c r="Y60" s="246">
        <v>0</v>
      </c>
      <c r="Z60" s="795"/>
      <c r="AA60" s="937">
        <v>0</v>
      </c>
      <c r="AB60" s="937">
        <v>0</v>
      </c>
      <c r="AC60" s="937">
        <v>0</v>
      </c>
      <c r="AD60" s="937"/>
    </row>
    <row r="61" spans="2:30" ht="27.4" customHeight="1" x14ac:dyDescent="0.45">
      <c r="B61" s="1432"/>
      <c r="C61" s="1433"/>
      <c r="D61" s="1434"/>
      <c r="E61" s="1435"/>
      <c r="F61" s="734" t="s">
        <v>798</v>
      </c>
      <c r="G61" s="56" t="s">
        <v>48</v>
      </c>
      <c r="H61" s="56"/>
      <c r="I61" s="56"/>
      <c r="J61" s="98" t="s">
        <v>799</v>
      </c>
      <c r="K61" s="498">
        <v>1.77</v>
      </c>
      <c r="L61" s="246"/>
      <c r="M61" s="498">
        <v>1.75</v>
      </c>
      <c r="N61" s="246"/>
      <c r="O61" s="498">
        <v>1.64</v>
      </c>
      <c r="P61" s="246">
        <v>1.99</v>
      </c>
      <c r="Q61" s="498">
        <v>1.91</v>
      </c>
      <c r="R61" s="498">
        <v>1.98</v>
      </c>
      <c r="S61" s="246">
        <v>1.64</v>
      </c>
      <c r="T61" s="795">
        <v>1.75</v>
      </c>
      <c r="U61" s="342">
        <v>2.0299999999999998</v>
      </c>
      <c r="V61" s="246">
        <v>1.64</v>
      </c>
      <c r="W61" s="246">
        <v>1.78</v>
      </c>
      <c r="X61" s="246"/>
      <c r="Y61" s="246">
        <v>1.9</v>
      </c>
      <c r="Z61" s="795"/>
      <c r="AA61" s="937">
        <v>1.9</v>
      </c>
      <c r="AB61" s="937">
        <v>1.7</v>
      </c>
      <c r="AC61" s="937">
        <v>1.72</v>
      </c>
      <c r="AD61" s="937"/>
    </row>
    <row r="62" spans="2:30" ht="27.4" customHeight="1" x14ac:dyDescent="0.45">
      <c r="B62" s="1432"/>
      <c r="C62" s="1433"/>
      <c r="D62" s="1434"/>
      <c r="E62" s="1435"/>
      <c r="F62" s="732" t="s">
        <v>800</v>
      </c>
      <c r="G62" s="83" t="s">
        <v>48</v>
      </c>
      <c r="H62" s="83"/>
      <c r="I62" s="83"/>
      <c r="J62" s="88" t="s">
        <v>801</v>
      </c>
      <c r="K62" s="498">
        <v>0</v>
      </c>
      <c r="L62" s="246"/>
      <c r="M62" s="498">
        <v>0</v>
      </c>
      <c r="N62" s="246"/>
      <c r="O62" s="498">
        <v>0</v>
      </c>
      <c r="P62" s="246">
        <v>12.6</v>
      </c>
      <c r="Q62" s="498">
        <v>12.5</v>
      </c>
      <c r="R62" s="498">
        <v>12.5</v>
      </c>
      <c r="S62" s="246">
        <v>0</v>
      </c>
      <c r="T62" s="795">
        <v>0</v>
      </c>
      <c r="U62" s="342">
        <v>0</v>
      </c>
      <c r="V62" s="246">
        <v>0</v>
      </c>
      <c r="W62" s="246">
        <v>0</v>
      </c>
      <c r="X62" s="246"/>
      <c r="Y62" s="246">
        <v>0</v>
      </c>
      <c r="Z62" s="795"/>
      <c r="AA62" s="937">
        <v>0</v>
      </c>
      <c r="AB62" s="937">
        <v>0</v>
      </c>
      <c r="AC62" s="937">
        <v>0</v>
      </c>
      <c r="AD62" s="937"/>
    </row>
    <row r="63" spans="2:30" ht="27.4" customHeight="1" thickBot="1" x14ac:dyDescent="0.5">
      <c r="B63" s="1432"/>
      <c r="C63" s="1433"/>
      <c r="D63" s="1086"/>
      <c r="E63" s="1087"/>
      <c r="F63" s="739" t="s">
        <v>802</v>
      </c>
      <c r="G63" s="62" t="s">
        <v>21</v>
      </c>
      <c r="H63" s="62" t="s">
        <v>803</v>
      </c>
      <c r="I63" s="62"/>
      <c r="J63" s="102" t="s">
        <v>270</v>
      </c>
      <c r="K63" s="504" t="s">
        <v>48</v>
      </c>
      <c r="L63" s="402"/>
      <c r="M63" s="504" t="s">
        <v>48</v>
      </c>
      <c r="N63" s="402"/>
      <c r="O63" s="504" t="s">
        <v>48</v>
      </c>
      <c r="P63" s="402" t="s">
        <v>48</v>
      </c>
      <c r="Q63" s="504" t="s">
        <v>48</v>
      </c>
      <c r="R63" s="504" t="s">
        <v>48</v>
      </c>
      <c r="S63" s="402" t="s">
        <v>48</v>
      </c>
      <c r="T63" s="877" t="s">
        <v>48</v>
      </c>
      <c r="U63" s="887" t="s">
        <v>48</v>
      </c>
      <c r="V63" s="402" t="s">
        <v>48</v>
      </c>
      <c r="W63" s="402" t="s">
        <v>48</v>
      </c>
      <c r="X63" s="402"/>
      <c r="Y63" s="402" t="s">
        <v>48</v>
      </c>
      <c r="Z63" s="877"/>
      <c r="AA63" s="964" t="s">
        <v>48</v>
      </c>
      <c r="AB63" s="964" t="s">
        <v>48</v>
      </c>
      <c r="AC63" s="964" t="s">
        <v>48</v>
      </c>
      <c r="AD63" s="964"/>
    </row>
    <row r="64" spans="2:30" ht="27.4" customHeight="1" thickTop="1" x14ac:dyDescent="0.45">
      <c r="B64" s="1331" t="s">
        <v>178</v>
      </c>
      <c r="C64" s="1429"/>
      <c r="D64" s="1403" t="s">
        <v>804</v>
      </c>
      <c r="E64" s="1436" t="s">
        <v>805</v>
      </c>
      <c r="F64" s="740" t="s">
        <v>418</v>
      </c>
      <c r="G64" s="395"/>
      <c r="H64" s="395"/>
      <c r="I64" s="395"/>
      <c r="J64" s="396" t="s">
        <v>806</v>
      </c>
      <c r="K64" s="259"/>
      <c r="L64" s="260"/>
      <c r="M64" s="259" t="s">
        <v>48</v>
      </c>
      <c r="N64" s="260"/>
      <c r="O64" s="259" t="s">
        <v>48</v>
      </c>
      <c r="P64" s="260" t="s">
        <v>48</v>
      </c>
      <c r="Q64" s="259" t="s">
        <v>48</v>
      </c>
      <c r="R64" s="259" t="s">
        <v>48</v>
      </c>
      <c r="S64" s="260" t="s">
        <v>48</v>
      </c>
      <c r="T64" s="798" t="s">
        <v>48</v>
      </c>
      <c r="U64" s="884" t="s">
        <v>48</v>
      </c>
      <c r="V64" s="260" t="s">
        <v>48</v>
      </c>
      <c r="W64" s="260" t="s">
        <v>48</v>
      </c>
      <c r="X64" s="260"/>
      <c r="Y64" s="260" t="s">
        <v>48</v>
      </c>
      <c r="Z64" s="798"/>
      <c r="AA64" s="941" t="s">
        <v>48</v>
      </c>
      <c r="AB64" s="941" t="s">
        <v>48</v>
      </c>
      <c r="AC64" s="941" t="s">
        <v>48</v>
      </c>
      <c r="AD64" s="941"/>
    </row>
    <row r="65" spans="2:30" ht="27.4" customHeight="1" x14ac:dyDescent="0.45">
      <c r="B65" s="1332"/>
      <c r="C65" s="1068"/>
      <c r="D65" s="1404"/>
      <c r="E65" s="1101"/>
      <c r="F65" s="734" t="s">
        <v>807</v>
      </c>
      <c r="G65" s="56" t="s">
        <v>137</v>
      </c>
      <c r="H65" s="56" t="s">
        <v>217</v>
      </c>
      <c r="I65" s="56"/>
      <c r="J65" s="98"/>
      <c r="K65" s="245"/>
      <c r="L65" s="246"/>
      <c r="M65" s="245">
        <v>6.72</v>
      </c>
      <c r="N65" s="246"/>
      <c r="O65" s="245">
        <v>6.71</v>
      </c>
      <c r="P65" s="246">
        <v>6.91</v>
      </c>
      <c r="Q65" s="245">
        <v>6.94</v>
      </c>
      <c r="R65" s="245">
        <v>6.92</v>
      </c>
      <c r="S65" s="246">
        <v>6.8</v>
      </c>
      <c r="T65" s="795">
        <v>6.72</v>
      </c>
      <c r="U65" s="342">
        <v>6.95</v>
      </c>
      <c r="V65" s="246">
        <v>6.71</v>
      </c>
      <c r="W65" s="246">
        <v>6.67</v>
      </c>
      <c r="X65" s="246"/>
      <c r="Y65" s="246">
        <v>6.83</v>
      </c>
      <c r="Z65" s="795"/>
      <c r="AA65" s="937">
        <v>6.74</v>
      </c>
      <c r="AB65" s="937">
        <v>6.83</v>
      </c>
      <c r="AC65" s="937">
        <v>6.86</v>
      </c>
      <c r="AD65" s="937"/>
    </row>
    <row r="66" spans="2:30" ht="27.4" customHeight="1" x14ac:dyDescent="0.45">
      <c r="B66" s="1332"/>
      <c r="C66" s="1068"/>
      <c r="D66" s="1404"/>
      <c r="E66" s="1101"/>
      <c r="F66" s="732" t="s">
        <v>807</v>
      </c>
      <c r="G66" s="83" t="s">
        <v>137</v>
      </c>
      <c r="H66" s="83" t="s">
        <v>345</v>
      </c>
      <c r="I66" s="83"/>
      <c r="J66" s="88"/>
      <c r="K66" s="245"/>
      <c r="L66" s="246"/>
      <c r="M66" s="245">
        <v>7</v>
      </c>
      <c r="N66" s="246"/>
      <c r="O66" s="245">
        <v>7</v>
      </c>
      <c r="P66" s="246">
        <v>7</v>
      </c>
      <c r="Q66" s="245">
        <v>7</v>
      </c>
      <c r="R66" s="245">
        <v>7</v>
      </c>
      <c r="S66" s="246">
        <v>7</v>
      </c>
      <c r="T66" s="795">
        <v>7</v>
      </c>
      <c r="U66" s="342">
        <v>7.2</v>
      </c>
      <c r="V66" s="246">
        <v>7</v>
      </c>
      <c r="W66" s="246">
        <v>7</v>
      </c>
      <c r="X66" s="246"/>
      <c r="Y66" s="246">
        <v>7</v>
      </c>
      <c r="Z66" s="795"/>
      <c r="AA66" s="937">
        <v>7</v>
      </c>
      <c r="AB66" s="937">
        <v>7</v>
      </c>
      <c r="AC66" s="937">
        <v>7</v>
      </c>
      <c r="AD66" s="937"/>
    </row>
    <row r="67" spans="2:30" ht="27.4" customHeight="1" x14ac:dyDescent="0.45">
      <c r="B67" s="1332"/>
      <c r="C67" s="1068"/>
      <c r="D67" s="1404"/>
      <c r="E67" s="1101"/>
      <c r="F67" s="734" t="s">
        <v>808</v>
      </c>
      <c r="G67" s="56" t="s">
        <v>137</v>
      </c>
      <c r="H67" s="56" t="s">
        <v>217</v>
      </c>
      <c r="I67" s="56"/>
      <c r="J67" s="98"/>
      <c r="K67" s="245"/>
      <c r="L67" s="246"/>
      <c r="M67" s="245">
        <v>6.74</v>
      </c>
      <c r="N67" s="246"/>
      <c r="O67" s="245">
        <v>6.74</v>
      </c>
      <c r="P67" s="246">
        <v>6.88</v>
      </c>
      <c r="Q67" s="245">
        <v>6.92</v>
      </c>
      <c r="R67" s="245">
        <v>6.9</v>
      </c>
      <c r="S67" s="246">
        <v>6.83</v>
      </c>
      <c r="T67" s="795">
        <v>6.74</v>
      </c>
      <c r="U67" s="342">
        <v>6.96</v>
      </c>
      <c r="V67" s="246">
        <v>6.74</v>
      </c>
      <c r="W67" s="246">
        <v>6.7</v>
      </c>
      <c r="X67" s="246"/>
      <c r="Y67" s="246">
        <v>6.81</v>
      </c>
      <c r="Z67" s="795"/>
      <c r="AA67" s="937">
        <v>6.71</v>
      </c>
      <c r="AB67" s="937">
        <v>6.67</v>
      </c>
      <c r="AC67" s="937">
        <v>6.89</v>
      </c>
      <c r="AD67" s="937"/>
    </row>
    <row r="68" spans="2:30" ht="27.4" customHeight="1" x14ac:dyDescent="0.45">
      <c r="B68" s="1332"/>
      <c r="C68" s="1068"/>
      <c r="D68" s="1404"/>
      <c r="E68" s="1101"/>
      <c r="F68" s="732" t="s">
        <v>808</v>
      </c>
      <c r="G68" s="83" t="s">
        <v>137</v>
      </c>
      <c r="H68" s="83" t="s">
        <v>345</v>
      </c>
      <c r="I68" s="83"/>
      <c r="J68" s="88"/>
      <c r="K68" s="245"/>
      <c r="L68" s="246"/>
      <c r="M68" s="245">
        <v>7</v>
      </c>
      <c r="N68" s="246"/>
      <c r="O68" s="245">
        <v>7</v>
      </c>
      <c r="P68" s="246">
        <v>7</v>
      </c>
      <c r="Q68" s="245">
        <v>7</v>
      </c>
      <c r="R68" s="245">
        <v>7</v>
      </c>
      <c r="S68" s="246">
        <v>7</v>
      </c>
      <c r="T68" s="795">
        <v>7</v>
      </c>
      <c r="U68" s="342">
        <v>7.2</v>
      </c>
      <c r="V68" s="246">
        <v>7</v>
      </c>
      <c r="W68" s="246">
        <v>7</v>
      </c>
      <c r="X68" s="246"/>
      <c r="Y68" s="246">
        <v>7</v>
      </c>
      <c r="Z68" s="795"/>
      <c r="AA68" s="937">
        <v>7</v>
      </c>
      <c r="AB68" s="937">
        <v>7</v>
      </c>
      <c r="AC68" s="937">
        <v>7</v>
      </c>
      <c r="AD68" s="937"/>
    </row>
    <row r="69" spans="2:30" ht="27.4" customHeight="1" thickBot="1" x14ac:dyDescent="0.5">
      <c r="B69" s="1332"/>
      <c r="C69" s="1068"/>
      <c r="D69" s="1404"/>
      <c r="E69" s="1101"/>
      <c r="F69" s="739" t="s">
        <v>809</v>
      </c>
      <c r="G69" s="62" t="s">
        <v>137</v>
      </c>
      <c r="H69" s="62" t="s">
        <v>73</v>
      </c>
      <c r="I69" s="62"/>
      <c r="J69" s="102"/>
      <c r="K69" s="245"/>
      <c r="L69" s="246"/>
      <c r="M69" s="245">
        <v>6.76</v>
      </c>
      <c r="N69" s="246"/>
      <c r="O69" s="245">
        <v>6.73</v>
      </c>
      <c r="P69" s="246">
        <v>6.93</v>
      </c>
      <c r="Q69" s="245">
        <v>6.96</v>
      </c>
      <c r="R69" s="245">
        <v>6.92</v>
      </c>
      <c r="S69" s="246">
        <v>6.9</v>
      </c>
      <c r="T69" s="795">
        <v>6.76</v>
      </c>
      <c r="U69" s="342">
        <v>6.94</v>
      </c>
      <c r="V69" s="246">
        <v>6.73</v>
      </c>
      <c r="W69" s="246">
        <v>6.7</v>
      </c>
      <c r="X69" s="246"/>
      <c r="Y69" s="246">
        <v>6.89</v>
      </c>
      <c r="Z69" s="795"/>
      <c r="AA69" s="937">
        <v>6.85</v>
      </c>
      <c r="AB69" s="937">
        <v>6.83</v>
      </c>
      <c r="AC69" s="937">
        <v>6.93</v>
      </c>
      <c r="AD69" s="937"/>
    </row>
    <row r="70" spans="2:30" ht="39.75" customHeight="1" x14ac:dyDescent="0.45">
      <c r="B70" s="1332"/>
      <c r="C70" s="1068"/>
      <c r="D70" s="1101"/>
      <c r="E70" s="1420" t="s">
        <v>810</v>
      </c>
      <c r="F70" s="741" t="s">
        <v>130</v>
      </c>
      <c r="G70" s="95"/>
      <c r="H70" s="95"/>
      <c r="I70" s="95"/>
      <c r="J70" s="96" t="s">
        <v>131</v>
      </c>
      <c r="K70" s="243"/>
      <c r="L70" s="244"/>
      <c r="M70" s="243" t="s">
        <v>356</v>
      </c>
      <c r="N70" s="244"/>
      <c r="O70" s="243" t="s">
        <v>356</v>
      </c>
      <c r="P70" s="244" t="s">
        <v>356</v>
      </c>
      <c r="Q70" s="243" t="s">
        <v>356</v>
      </c>
      <c r="R70" s="243" t="s">
        <v>356</v>
      </c>
      <c r="S70" s="244" t="s">
        <v>356</v>
      </c>
      <c r="T70" s="873" t="s">
        <v>356</v>
      </c>
      <c r="U70" s="881" t="s">
        <v>356</v>
      </c>
      <c r="V70" s="244" t="s">
        <v>356</v>
      </c>
      <c r="W70" s="244" t="s">
        <v>356</v>
      </c>
      <c r="X70" s="244"/>
      <c r="Y70" s="244" t="s">
        <v>356</v>
      </c>
      <c r="Z70" s="873"/>
      <c r="AA70" s="960" t="s">
        <v>356</v>
      </c>
      <c r="AB70" s="960" t="s">
        <v>356</v>
      </c>
      <c r="AC70" s="960" t="s">
        <v>356</v>
      </c>
      <c r="AD70" s="960"/>
    </row>
    <row r="71" spans="2:30" ht="27.4" customHeight="1" x14ac:dyDescent="0.45">
      <c r="B71" s="1332"/>
      <c r="C71" s="1068"/>
      <c r="D71" s="1101"/>
      <c r="E71" s="1019"/>
      <c r="F71" s="742" t="s">
        <v>134</v>
      </c>
      <c r="G71" s="56" t="s">
        <v>39</v>
      </c>
      <c r="H71" s="56"/>
      <c r="I71" s="56"/>
      <c r="J71" s="98"/>
      <c r="K71" s="245"/>
      <c r="L71" s="246"/>
      <c r="M71" s="245">
        <v>31</v>
      </c>
      <c r="N71" s="246"/>
      <c r="O71" s="245">
        <v>31.1</v>
      </c>
      <c r="P71" s="246">
        <v>30.9</v>
      </c>
      <c r="Q71" s="245">
        <v>34.4</v>
      </c>
      <c r="R71" s="245">
        <v>32.200000000000003</v>
      </c>
      <c r="S71" s="246">
        <v>30.4</v>
      </c>
      <c r="T71" s="795">
        <v>31</v>
      </c>
      <c r="U71" s="342">
        <v>30.1</v>
      </c>
      <c r="V71" s="246">
        <v>31.1</v>
      </c>
      <c r="W71" s="246">
        <v>31.2</v>
      </c>
      <c r="X71" s="246"/>
      <c r="Y71" s="246">
        <v>30.4</v>
      </c>
      <c r="Z71" s="795"/>
      <c r="AA71" s="937">
        <v>30.6</v>
      </c>
      <c r="AB71" s="937">
        <v>30.5</v>
      </c>
      <c r="AC71" s="937">
        <v>32.1</v>
      </c>
      <c r="AD71" s="937"/>
    </row>
    <row r="72" spans="2:30" ht="27.4" customHeight="1" x14ac:dyDescent="0.45">
      <c r="B72" s="1332"/>
      <c r="C72" s="1068"/>
      <c r="D72" s="1101"/>
      <c r="E72" s="1019"/>
      <c r="F72" s="743" t="s">
        <v>136</v>
      </c>
      <c r="G72" s="83" t="s">
        <v>137</v>
      </c>
      <c r="H72" s="83"/>
      <c r="I72" s="83"/>
      <c r="J72" s="88"/>
      <c r="K72" s="245"/>
      <c r="L72" s="246"/>
      <c r="M72" s="245">
        <v>6.69</v>
      </c>
      <c r="N72" s="246"/>
      <c r="O72" s="245">
        <v>6.69</v>
      </c>
      <c r="P72" s="246">
        <v>6.85</v>
      </c>
      <c r="Q72" s="245">
        <v>6.89</v>
      </c>
      <c r="R72" s="245">
        <v>6.88</v>
      </c>
      <c r="S72" s="246">
        <v>6.78</v>
      </c>
      <c r="T72" s="795">
        <v>6.69</v>
      </c>
      <c r="U72" s="342">
        <v>6.44</v>
      </c>
      <c r="V72" s="246">
        <v>6.69</v>
      </c>
      <c r="W72" s="246">
        <v>6.65</v>
      </c>
      <c r="X72" s="246"/>
      <c r="Y72" s="246">
        <v>6.78</v>
      </c>
      <c r="Z72" s="795"/>
      <c r="AA72" s="937">
        <v>6.68</v>
      </c>
      <c r="AB72" s="937">
        <v>6.63</v>
      </c>
      <c r="AC72" s="937">
        <v>6.83</v>
      </c>
      <c r="AD72" s="937"/>
    </row>
    <row r="73" spans="2:30" ht="27.4" customHeight="1" x14ac:dyDescent="0.45">
      <c r="B73" s="1332"/>
      <c r="C73" s="1068"/>
      <c r="D73" s="1101"/>
      <c r="E73" s="1019"/>
      <c r="F73" s="742" t="s">
        <v>139</v>
      </c>
      <c r="G73" s="56" t="s">
        <v>140</v>
      </c>
      <c r="H73" s="56"/>
      <c r="I73" s="56"/>
      <c r="J73" s="98"/>
      <c r="K73" s="245"/>
      <c r="L73" s="246"/>
      <c r="M73" s="245">
        <v>0</v>
      </c>
      <c r="N73" s="246"/>
      <c r="O73" s="245">
        <v>0</v>
      </c>
      <c r="P73" s="246">
        <v>0</v>
      </c>
      <c r="Q73" s="245">
        <v>0</v>
      </c>
      <c r="R73" s="245">
        <v>0</v>
      </c>
      <c r="S73" s="246">
        <v>0</v>
      </c>
      <c r="T73" s="795">
        <v>0</v>
      </c>
      <c r="U73" s="342">
        <v>0</v>
      </c>
      <c r="V73" s="246">
        <v>0</v>
      </c>
      <c r="W73" s="246">
        <v>0</v>
      </c>
      <c r="X73" s="246"/>
      <c r="Y73" s="246">
        <v>0</v>
      </c>
      <c r="Z73" s="795"/>
      <c r="AA73" s="937">
        <v>0</v>
      </c>
      <c r="AB73" s="937">
        <v>0</v>
      </c>
      <c r="AC73" s="937">
        <v>0</v>
      </c>
      <c r="AD73" s="937"/>
    </row>
    <row r="74" spans="2:30" ht="27.4" customHeight="1" x14ac:dyDescent="0.45">
      <c r="B74" s="1332"/>
      <c r="C74" s="1068"/>
      <c r="D74" s="1101"/>
      <c r="E74" s="1019"/>
      <c r="F74" s="743" t="s">
        <v>811</v>
      </c>
      <c r="G74" s="83" t="s">
        <v>143</v>
      </c>
      <c r="H74" s="83"/>
      <c r="I74" s="83"/>
      <c r="J74" s="88"/>
      <c r="K74" s="245"/>
      <c r="L74" s="246"/>
      <c r="M74" s="245">
        <v>59.02</v>
      </c>
      <c r="N74" s="246"/>
      <c r="O74" s="245">
        <v>59.19</v>
      </c>
      <c r="P74" s="246">
        <v>59.19</v>
      </c>
      <c r="Q74" s="245">
        <v>59.35</v>
      </c>
      <c r="R74" s="245">
        <v>59.21</v>
      </c>
      <c r="S74" s="246">
        <v>60.01</v>
      </c>
      <c r="T74" s="795">
        <v>59.02</v>
      </c>
      <c r="U74" s="342">
        <v>60.01</v>
      </c>
      <c r="V74" s="246">
        <v>59.19</v>
      </c>
      <c r="W74" s="246">
        <v>58.17</v>
      </c>
      <c r="X74" s="246"/>
      <c r="Y74" s="246">
        <v>60.01</v>
      </c>
      <c r="Z74" s="795"/>
      <c r="AA74" s="937">
        <v>61.08</v>
      </c>
      <c r="AB74" s="937">
        <v>61.08</v>
      </c>
      <c r="AC74" s="937">
        <v>61.35</v>
      </c>
      <c r="AD74" s="937"/>
    </row>
    <row r="75" spans="2:30" ht="27.4" customHeight="1" x14ac:dyDescent="0.45">
      <c r="B75" s="1332"/>
      <c r="C75" s="1068"/>
      <c r="D75" s="1101"/>
      <c r="E75" s="1019"/>
      <c r="F75" s="742" t="s">
        <v>68</v>
      </c>
      <c r="G75" s="56" t="s">
        <v>77</v>
      </c>
      <c r="H75" s="56"/>
      <c r="I75" s="56"/>
      <c r="J75" s="98"/>
      <c r="K75" s="245"/>
      <c r="L75" s="246"/>
      <c r="M75" s="245"/>
      <c r="N75" s="246"/>
      <c r="O75" s="245"/>
      <c r="P75" s="246" t="s">
        <v>21</v>
      </c>
      <c r="Q75" s="245"/>
      <c r="R75" s="245"/>
      <c r="S75" s="246"/>
      <c r="T75" s="795"/>
      <c r="U75" s="342" t="s">
        <v>812</v>
      </c>
      <c r="V75" s="246" t="s">
        <v>21</v>
      </c>
      <c r="W75" s="246" t="s">
        <v>21</v>
      </c>
      <c r="X75" s="246"/>
      <c r="Y75" s="246" t="s">
        <v>21</v>
      </c>
      <c r="Z75" s="795"/>
      <c r="AA75" s="937" t="s">
        <v>21</v>
      </c>
      <c r="AB75" s="937" t="s">
        <v>21</v>
      </c>
      <c r="AC75" s="937" t="s">
        <v>21</v>
      </c>
      <c r="AD75" s="937"/>
    </row>
    <row r="76" spans="2:30" ht="27.4" customHeight="1" x14ac:dyDescent="0.45">
      <c r="B76" s="1332"/>
      <c r="C76" s="1068"/>
      <c r="D76" s="1101"/>
      <c r="E76" s="1019"/>
      <c r="F76" s="743" t="s">
        <v>813</v>
      </c>
      <c r="G76" s="83"/>
      <c r="H76" s="83" t="s">
        <v>270</v>
      </c>
      <c r="I76" s="83"/>
      <c r="J76" s="88" t="s">
        <v>51</v>
      </c>
      <c r="K76" s="245"/>
      <c r="L76" s="246"/>
      <c r="M76" s="245" t="s">
        <v>48</v>
      </c>
      <c r="N76" s="246"/>
      <c r="O76" s="245" t="s">
        <v>48</v>
      </c>
      <c r="P76" s="246" t="s">
        <v>48</v>
      </c>
      <c r="Q76" s="245" t="s">
        <v>48</v>
      </c>
      <c r="R76" s="245" t="s">
        <v>48</v>
      </c>
      <c r="S76" s="246" t="s">
        <v>48</v>
      </c>
      <c r="T76" s="795" t="s">
        <v>48</v>
      </c>
      <c r="U76" s="342" t="s">
        <v>48</v>
      </c>
      <c r="V76" s="246" t="s">
        <v>48</v>
      </c>
      <c r="W76" s="246" t="s">
        <v>48</v>
      </c>
      <c r="X76" s="246"/>
      <c r="Y76" s="246" t="s">
        <v>48</v>
      </c>
      <c r="Z76" s="795"/>
      <c r="AA76" s="937" t="s">
        <v>48</v>
      </c>
      <c r="AB76" s="937" t="s">
        <v>48</v>
      </c>
      <c r="AC76" s="937" t="s">
        <v>48</v>
      </c>
      <c r="AD76" s="937"/>
    </row>
    <row r="77" spans="2:30" ht="27.4" customHeight="1" thickBot="1" x14ac:dyDescent="0.5">
      <c r="B77" s="1332"/>
      <c r="C77" s="1068"/>
      <c r="D77" s="1101"/>
      <c r="E77" s="1437"/>
      <c r="F77" s="744" t="s">
        <v>152</v>
      </c>
      <c r="G77" s="90"/>
      <c r="H77" s="90"/>
      <c r="I77" s="90"/>
      <c r="J77" s="91" t="s">
        <v>153</v>
      </c>
      <c r="K77" s="499"/>
      <c r="L77" s="502"/>
      <c r="M77" s="499" t="s">
        <v>154</v>
      </c>
      <c r="N77" s="502"/>
      <c r="O77" s="499" t="s">
        <v>814</v>
      </c>
      <c r="P77" s="502" t="s">
        <v>154</v>
      </c>
      <c r="Q77" s="499" t="s">
        <v>154</v>
      </c>
      <c r="R77" s="499" t="s">
        <v>154</v>
      </c>
      <c r="S77" s="502" t="s">
        <v>154</v>
      </c>
      <c r="T77" s="878" t="s">
        <v>154</v>
      </c>
      <c r="U77" s="888" t="s">
        <v>154</v>
      </c>
      <c r="V77" s="502" t="s">
        <v>814</v>
      </c>
      <c r="W77" s="502" t="s">
        <v>154</v>
      </c>
      <c r="X77" s="502"/>
      <c r="Y77" s="502" t="s">
        <v>154</v>
      </c>
      <c r="Z77" s="878"/>
      <c r="AA77" s="965" t="s">
        <v>154</v>
      </c>
      <c r="AB77" s="965" t="s">
        <v>154</v>
      </c>
      <c r="AC77" s="965" t="s">
        <v>154</v>
      </c>
      <c r="AD77" s="965"/>
    </row>
    <row r="78" spans="2:30" ht="39.75" customHeight="1" x14ac:dyDescent="0.45">
      <c r="B78" s="1332"/>
      <c r="C78" s="1068"/>
      <c r="D78" s="1101"/>
      <c r="E78" s="1420" t="s">
        <v>815</v>
      </c>
      <c r="F78" s="741" t="s">
        <v>130</v>
      </c>
      <c r="G78" s="95"/>
      <c r="H78" s="95"/>
      <c r="I78" s="95"/>
      <c r="J78" s="96" t="s">
        <v>131</v>
      </c>
      <c r="K78" s="245"/>
      <c r="L78" s="246"/>
      <c r="M78" s="245" t="s">
        <v>356</v>
      </c>
      <c r="N78" s="246"/>
      <c r="O78" s="245" t="s">
        <v>356</v>
      </c>
      <c r="P78" s="246" t="s">
        <v>356</v>
      </c>
      <c r="Q78" s="245" t="s">
        <v>356</v>
      </c>
      <c r="R78" s="245" t="s">
        <v>356</v>
      </c>
      <c r="S78" s="246" t="s">
        <v>356</v>
      </c>
      <c r="T78" s="795" t="s">
        <v>356</v>
      </c>
      <c r="U78" s="342" t="s">
        <v>356</v>
      </c>
      <c r="V78" s="246" t="s">
        <v>356</v>
      </c>
      <c r="W78" s="246" t="s">
        <v>356</v>
      </c>
      <c r="X78" s="246"/>
      <c r="Y78" s="246" t="s">
        <v>356</v>
      </c>
      <c r="Z78" s="795"/>
      <c r="AA78" s="937" t="s">
        <v>356</v>
      </c>
      <c r="AB78" s="937" t="s">
        <v>356</v>
      </c>
      <c r="AC78" s="937" t="s">
        <v>356</v>
      </c>
      <c r="AD78" s="937"/>
    </row>
    <row r="79" spans="2:30" ht="27.4" customHeight="1" x14ac:dyDescent="0.45">
      <c r="B79" s="1332"/>
      <c r="C79" s="1068"/>
      <c r="D79" s="1101"/>
      <c r="E79" s="1019"/>
      <c r="F79" s="742" t="s">
        <v>134</v>
      </c>
      <c r="G79" s="56" t="s">
        <v>39</v>
      </c>
      <c r="H79" s="56"/>
      <c r="I79" s="56"/>
      <c r="J79" s="98"/>
      <c r="K79" s="245"/>
      <c r="L79" s="246"/>
      <c r="M79" s="245">
        <v>30.8</v>
      </c>
      <c r="N79" s="246"/>
      <c r="O79" s="245">
        <v>30.7</v>
      </c>
      <c r="P79" s="246">
        <v>31.9</v>
      </c>
      <c r="Q79" s="245">
        <v>30.9</v>
      </c>
      <c r="R79" s="245">
        <v>31.2</v>
      </c>
      <c r="S79" s="246">
        <v>30.9</v>
      </c>
      <c r="T79" s="795">
        <v>30.8</v>
      </c>
      <c r="U79" s="342">
        <v>31.2</v>
      </c>
      <c r="V79" s="246">
        <v>30.7</v>
      </c>
      <c r="W79" s="246">
        <v>31.2</v>
      </c>
      <c r="X79" s="246"/>
      <c r="Y79" s="246">
        <v>31.3</v>
      </c>
      <c r="Z79" s="795"/>
      <c r="AA79" s="937">
        <v>30.5</v>
      </c>
      <c r="AB79" s="937">
        <v>30.5</v>
      </c>
      <c r="AC79" s="937">
        <v>30.7</v>
      </c>
      <c r="AD79" s="937"/>
    </row>
    <row r="80" spans="2:30" ht="27.4" customHeight="1" x14ac:dyDescent="0.45">
      <c r="B80" s="1332"/>
      <c r="C80" s="1068"/>
      <c r="D80" s="1101"/>
      <c r="E80" s="1019"/>
      <c r="F80" s="743" t="s">
        <v>136</v>
      </c>
      <c r="G80" s="83" t="s">
        <v>137</v>
      </c>
      <c r="H80" s="83"/>
      <c r="I80" s="83"/>
      <c r="J80" s="88"/>
      <c r="K80" s="245"/>
      <c r="L80" s="246"/>
      <c r="M80" s="245">
        <v>6.7</v>
      </c>
      <c r="N80" s="246"/>
      <c r="O80" s="245">
        <v>6.7</v>
      </c>
      <c r="P80" s="246">
        <v>6.86</v>
      </c>
      <c r="Q80" s="245">
        <v>6.9</v>
      </c>
      <c r="R80" s="245">
        <v>6.88</v>
      </c>
      <c r="S80" s="246">
        <v>6.78</v>
      </c>
      <c r="T80" s="795">
        <v>6.7</v>
      </c>
      <c r="U80" s="342">
        <v>6.65</v>
      </c>
      <c r="V80" s="246">
        <v>6.7</v>
      </c>
      <c r="W80" s="246">
        <v>6.65</v>
      </c>
      <c r="X80" s="246"/>
      <c r="Y80" s="246">
        <v>6.79</v>
      </c>
      <c r="Z80" s="795"/>
      <c r="AA80" s="937">
        <v>6.69</v>
      </c>
      <c r="AB80" s="937">
        <v>6.64</v>
      </c>
      <c r="AC80" s="937">
        <v>6.84</v>
      </c>
      <c r="AD80" s="937"/>
    </row>
    <row r="81" spans="2:30" ht="27.4" customHeight="1" x14ac:dyDescent="0.45">
      <c r="B81" s="1332"/>
      <c r="C81" s="1068"/>
      <c r="D81" s="1101"/>
      <c r="E81" s="1019"/>
      <c r="F81" s="742" t="s">
        <v>139</v>
      </c>
      <c r="G81" s="56" t="s">
        <v>140</v>
      </c>
      <c r="H81" s="56"/>
      <c r="I81" s="56"/>
      <c r="J81" s="98"/>
      <c r="K81" s="245"/>
      <c r="L81" s="246"/>
      <c r="M81" s="245">
        <v>0.01</v>
      </c>
      <c r="N81" s="246"/>
      <c r="O81" s="245">
        <v>0.01</v>
      </c>
      <c r="P81" s="246">
        <v>0.01</v>
      </c>
      <c r="Q81" s="245">
        <v>0.01</v>
      </c>
      <c r="R81" s="245">
        <v>0.01</v>
      </c>
      <c r="S81" s="246">
        <v>0.01</v>
      </c>
      <c r="T81" s="795">
        <v>0.01</v>
      </c>
      <c r="U81" s="342">
        <v>0</v>
      </c>
      <c r="V81" s="246">
        <v>0.01</v>
      </c>
      <c r="W81" s="246">
        <v>0</v>
      </c>
      <c r="X81" s="246"/>
      <c r="Y81" s="246">
        <v>0.01</v>
      </c>
      <c r="Z81" s="795"/>
      <c r="AA81" s="937">
        <v>0.01</v>
      </c>
      <c r="AB81" s="937">
        <v>0.01</v>
      </c>
      <c r="AC81" s="937">
        <v>0.01</v>
      </c>
      <c r="AD81" s="937"/>
    </row>
    <row r="82" spans="2:30" ht="27.4" customHeight="1" x14ac:dyDescent="0.45">
      <c r="B82" s="1332"/>
      <c r="C82" s="1068"/>
      <c r="D82" s="1101"/>
      <c r="E82" s="1019"/>
      <c r="F82" s="743" t="s">
        <v>811</v>
      </c>
      <c r="G82" s="83" t="s">
        <v>143</v>
      </c>
      <c r="H82" s="83"/>
      <c r="I82" s="83"/>
      <c r="J82" s="88"/>
      <c r="K82" s="245"/>
      <c r="L82" s="246"/>
      <c r="M82" s="245">
        <v>57.49</v>
      </c>
      <c r="N82" s="246"/>
      <c r="O82" s="245">
        <v>57.64</v>
      </c>
      <c r="P82" s="246">
        <v>57.77</v>
      </c>
      <c r="Q82" s="245">
        <v>57.77</v>
      </c>
      <c r="R82" s="245">
        <v>57.77</v>
      </c>
      <c r="S82" s="246">
        <v>58.22</v>
      </c>
      <c r="T82" s="795">
        <v>57.49</v>
      </c>
      <c r="U82" s="342">
        <v>56.79</v>
      </c>
      <c r="V82" s="246">
        <v>57.64</v>
      </c>
      <c r="W82" s="246">
        <v>56.79</v>
      </c>
      <c r="X82" s="246"/>
      <c r="Y82" s="246">
        <v>58.74</v>
      </c>
      <c r="Z82" s="795"/>
      <c r="AA82" s="937">
        <v>59.39</v>
      </c>
      <c r="AB82" s="937">
        <v>59.63</v>
      </c>
      <c r="AC82" s="937">
        <v>59.74</v>
      </c>
      <c r="AD82" s="937"/>
    </row>
    <row r="83" spans="2:30" ht="27.4" customHeight="1" x14ac:dyDescent="0.45">
      <c r="B83" s="1332"/>
      <c r="C83" s="1068"/>
      <c r="D83" s="1101"/>
      <c r="E83" s="1019"/>
      <c r="F83" s="742" t="s">
        <v>68</v>
      </c>
      <c r="G83" s="56" t="s">
        <v>77</v>
      </c>
      <c r="H83" s="56"/>
      <c r="I83" s="56"/>
      <c r="J83" s="98"/>
      <c r="K83" s="245"/>
      <c r="L83" s="246"/>
      <c r="M83" s="245"/>
      <c r="N83" s="246"/>
      <c r="O83" s="245"/>
      <c r="P83" s="246" t="s">
        <v>21</v>
      </c>
      <c r="Q83" s="245"/>
      <c r="R83" s="245"/>
      <c r="S83" s="246"/>
      <c r="T83" s="795"/>
      <c r="U83" s="342" t="s">
        <v>812</v>
      </c>
      <c r="V83" s="246"/>
      <c r="W83" s="246" t="s">
        <v>21</v>
      </c>
      <c r="X83" s="246"/>
      <c r="Y83" s="246"/>
      <c r="Z83" s="795"/>
      <c r="AA83" s="937" t="s">
        <v>21</v>
      </c>
      <c r="AB83" s="937" t="s">
        <v>21</v>
      </c>
      <c r="AC83" s="937" t="s">
        <v>21</v>
      </c>
      <c r="AD83" s="937"/>
    </row>
    <row r="84" spans="2:30" ht="27.4" customHeight="1" x14ac:dyDescent="0.45">
      <c r="B84" s="1332"/>
      <c r="C84" s="1068"/>
      <c r="D84" s="1101"/>
      <c r="E84" s="1019"/>
      <c r="F84" s="743" t="s">
        <v>813</v>
      </c>
      <c r="G84" s="83"/>
      <c r="H84" s="83" t="s">
        <v>270</v>
      </c>
      <c r="I84" s="83"/>
      <c r="J84" s="88" t="s">
        <v>51</v>
      </c>
      <c r="K84" s="245"/>
      <c r="L84" s="246"/>
      <c r="M84" s="245" t="s">
        <v>48</v>
      </c>
      <c r="N84" s="246"/>
      <c r="O84" s="245" t="s">
        <v>48</v>
      </c>
      <c r="P84" s="246" t="s">
        <v>48</v>
      </c>
      <c r="Q84" s="245" t="s">
        <v>48</v>
      </c>
      <c r="R84" s="245" t="s">
        <v>48</v>
      </c>
      <c r="S84" s="246" t="s">
        <v>48</v>
      </c>
      <c r="T84" s="795" t="s">
        <v>48</v>
      </c>
      <c r="U84" s="342" t="s">
        <v>48</v>
      </c>
      <c r="V84" s="246" t="s">
        <v>48</v>
      </c>
      <c r="W84" s="246" t="s">
        <v>48</v>
      </c>
      <c r="X84" s="246"/>
      <c r="Y84" s="246" t="s">
        <v>48</v>
      </c>
      <c r="Z84" s="795"/>
      <c r="AA84" s="937" t="s">
        <v>48</v>
      </c>
      <c r="AB84" s="937" t="s">
        <v>48</v>
      </c>
      <c r="AC84" s="937" t="s">
        <v>48</v>
      </c>
      <c r="AD84" s="937"/>
    </row>
    <row r="85" spans="2:30" ht="27.4" customHeight="1" thickBot="1" x14ac:dyDescent="0.5">
      <c r="B85" s="1332"/>
      <c r="C85" s="1068"/>
      <c r="D85" s="1101"/>
      <c r="E85" s="1019"/>
      <c r="F85" s="745" t="s">
        <v>152</v>
      </c>
      <c r="G85" s="349"/>
      <c r="H85" s="349"/>
      <c r="I85" s="349"/>
      <c r="J85" s="350" t="s">
        <v>153</v>
      </c>
      <c r="K85" s="353"/>
      <c r="L85" s="352"/>
      <c r="M85" s="353" t="s">
        <v>154</v>
      </c>
      <c r="N85" s="352"/>
      <c r="O85" s="353" t="s">
        <v>814</v>
      </c>
      <c r="P85" s="352" t="s">
        <v>154</v>
      </c>
      <c r="Q85" s="353" t="s">
        <v>154</v>
      </c>
      <c r="R85" s="353" t="s">
        <v>154</v>
      </c>
      <c r="S85" s="352" t="s">
        <v>154</v>
      </c>
      <c r="T85" s="800" t="s">
        <v>154</v>
      </c>
      <c r="U85" s="415" t="s">
        <v>154</v>
      </c>
      <c r="V85" s="352" t="s">
        <v>154</v>
      </c>
      <c r="W85" s="352" t="s">
        <v>154</v>
      </c>
      <c r="X85" s="352"/>
      <c r="Y85" s="352" t="s">
        <v>154</v>
      </c>
      <c r="Z85" s="800"/>
      <c r="AA85" s="943" t="s">
        <v>154</v>
      </c>
      <c r="AB85" s="943" t="s">
        <v>154</v>
      </c>
      <c r="AC85" s="943" t="s">
        <v>154</v>
      </c>
      <c r="AD85" s="943"/>
    </row>
    <row r="86" spans="2:30" ht="27.4" customHeight="1" thickTop="1" x14ac:dyDescent="0.45">
      <c r="B86" s="1332"/>
      <c r="C86" s="1068"/>
      <c r="D86" s="1418" t="s">
        <v>816</v>
      </c>
      <c r="E86" s="1418" t="s">
        <v>805</v>
      </c>
      <c r="F86" s="746" t="s">
        <v>418</v>
      </c>
      <c r="G86" s="61"/>
      <c r="H86" s="61"/>
      <c r="I86" s="61"/>
      <c r="J86" s="104" t="s">
        <v>806</v>
      </c>
      <c r="K86" s="259"/>
      <c r="L86" s="260"/>
      <c r="M86" s="259" t="s">
        <v>48</v>
      </c>
      <c r="N86" s="260"/>
      <c r="O86" s="259" t="s">
        <v>48</v>
      </c>
      <c r="P86" s="260" t="s">
        <v>48</v>
      </c>
      <c r="Q86" s="259" t="s">
        <v>48</v>
      </c>
      <c r="R86" s="259" t="s">
        <v>48</v>
      </c>
      <c r="S86" s="260" t="s">
        <v>48</v>
      </c>
      <c r="T86" s="798" t="s">
        <v>48</v>
      </c>
      <c r="U86" s="884" t="s">
        <v>48</v>
      </c>
      <c r="V86" s="260" t="s">
        <v>48</v>
      </c>
      <c r="W86" s="260" t="s">
        <v>48</v>
      </c>
      <c r="X86" s="260"/>
      <c r="Y86" s="260" t="s">
        <v>48</v>
      </c>
      <c r="Z86" s="798"/>
      <c r="AA86" s="941" t="s">
        <v>48</v>
      </c>
      <c r="AB86" s="941" t="s">
        <v>48</v>
      </c>
      <c r="AC86" s="941" t="s">
        <v>48</v>
      </c>
      <c r="AD86" s="941"/>
    </row>
    <row r="87" spans="2:30" ht="27.4" customHeight="1" x14ac:dyDescent="0.45">
      <c r="B87" s="1332"/>
      <c r="C87" s="1068"/>
      <c r="D87" s="1404"/>
      <c r="E87" s="1404"/>
      <c r="F87" s="747" t="s">
        <v>817</v>
      </c>
      <c r="G87" s="712" t="s">
        <v>137</v>
      </c>
      <c r="H87" s="712" t="s">
        <v>73</v>
      </c>
      <c r="I87" s="713"/>
      <c r="J87" s="714"/>
      <c r="K87" s="259"/>
      <c r="L87" s="260"/>
      <c r="M87" s="259">
        <v>0.72</v>
      </c>
      <c r="N87" s="260"/>
      <c r="O87" s="259">
        <v>0.72</v>
      </c>
      <c r="P87" s="260">
        <v>0.82</v>
      </c>
      <c r="Q87" s="259">
        <v>0.67</v>
      </c>
      <c r="R87" s="259">
        <v>0.72</v>
      </c>
      <c r="S87" s="260">
        <v>0.71</v>
      </c>
      <c r="T87" s="798">
        <v>0.72</v>
      </c>
      <c r="U87" s="884">
        <v>0.68</v>
      </c>
      <c r="V87" s="260">
        <v>0.72</v>
      </c>
      <c r="W87" s="260">
        <v>0.75</v>
      </c>
      <c r="X87" s="260"/>
      <c r="Y87" s="260">
        <v>0.74</v>
      </c>
      <c r="Z87" s="798"/>
      <c r="AA87" s="941">
        <v>0.69</v>
      </c>
      <c r="AB87" s="941">
        <v>0.71</v>
      </c>
      <c r="AC87" s="941">
        <v>0.74</v>
      </c>
      <c r="AD87" s="941"/>
    </row>
    <row r="88" spans="2:30" ht="27.4" customHeight="1" thickBot="1" x14ac:dyDescent="0.5">
      <c r="B88" s="1332"/>
      <c r="C88" s="1068"/>
      <c r="D88" s="1404"/>
      <c r="E88" s="1404"/>
      <c r="F88" s="748" t="s">
        <v>818</v>
      </c>
      <c r="G88" s="111" t="s">
        <v>137</v>
      </c>
      <c r="H88" s="111" t="s">
        <v>73</v>
      </c>
      <c r="I88" s="721"/>
      <c r="J88" s="722"/>
      <c r="K88" s="723"/>
      <c r="L88" s="672"/>
      <c r="M88" s="723">
        <v>0.72</v>
      </c>
      <c r="N88" s="672"/>
      <c r="O88" s="723">
        <v>0.72</v>
      </c>
      <c r="P88" s="672">
        <v>0.82</v>
      </c>
      <c r="Q88" s="723">
        <v>0.77</v>
      </c>
      <c r="R88" s="723">
        <v>0.82</v>
      </c>
      <c r="S88" s="672">
        <v>0.71</v>
      </c>
      <c r="T88" s="239">
        <v>0.72</v>
      </c>
      <c r="U88" s="889">
        <v>0.68</v>
      </c>
      <c r="V88" s="672">
        <v>0.72</v>
      </c>
      <c r="W88" s="672">
        <v>0.75</v>
      </c>
      <c r="X88" s="672"/>
      <c r="Y88" s="672">
        <v>0.74</v>
      </c>
      <c r="Z88" s="239"/>
      <c r="AA88" s="940">
        <v>0.69</v>
      </c>
      <c r="AB88" s="940">
        <v>0.71</v>
      </c>
      <c r="AC88" s="940">
        <v>0.74</v>
      </c>
      <c r="AD88" s="940"/>
    </row>
    <row r="89" spans="2:30" ht="27.4" customHeight="1" x14ac:dyDescent="0.45">
      <c r="B89" s="1332"/>
      <c r="C89" s="1068"/>
      <c r="D89" s="1404"/>
      <c r="E89" s="1418" t="s">
        <v>810</v>
      </c>
      <c r="F89" s="749" t="s">
        <v>819</v>
      </c>
      <c r="G89" s="715" t="s">
        <v>39</v>
      </c>
      <c r="H89" s="382" t="s">
        <v>217</v>
      </c>
      <c r="I89" s="382"/>
      <c r="J89" s="383"/>
      <c r="K89" s="716"/>
      <c r="L89" s="671"/>
      <c r="M89" s="716">
        <v>34</v>
      </c>
      <c r="N89" s="671"/>
      <c r="O89" s="716">
        <v>34</v>
      </c>
      <c r="P89" s="671">
        <v>34</v>
      </c>
      <c r="Q89" s="716">
        <v>32</v>
      </c>
      <c r="R89" s="716">
        <v>33</v>
      </c>
      <c r="S89" s="671">
        <v>40</v>
      </c>
      <c r="T89" s="879">
        <v>34</v>
      </c>
      <c r="U89" s="890">
        <v>32</v>
      </c>
      <c r="V89" s="671">
        <v>34</v>
      </c>
      <c r="W89" s="671">
        <v>34</v>
      </c>
      <c r="X89" s="671"/>
      <c r="Y89" s="671">
        <v>33</v>
      </c>
      <c r="Z89" s="879"/>
      <c r="AA89" s="936">
        <v>33</v>
      </c>
      <c r="AB89" s="936">
        <v>33</v>
      </c>
      <c r="AC89" s="936">
        <v>33</v>
      </c>
      <c r="AD89" s="936"/>
    </row>
    <row r="90" spans="2:30" ht="27.4" customHeight="1" x14ac:dyDescent="0.45">
      <c r="B90" s="1332"/>
      <c r="C90" s="1068"/>
      <c r="D90" s="1404"/>
      <c r="E90" s="1404"/>
      <c r="F90" s="747" t="s">
        <v>820</v>
      </c>
      <c r="G90" s="712" t="s">
        <v>137</v>
      </c>
      <c r="H90" s="712" t="s">
        <v>217</v>
      </c>
      <c r="I90" s="713"/>
      <c r="J90" s="714"/>
      <c r="K90" s="259"/>
      <c r="L90" s="260"/>
      <c r="M90" s="259">
        <v>0.72</v>
      </c>
      <c r="N90" s="260"/>
      <c r="O90" s="259">
        <v>0.73</v>
      </c>
      <c r="P90" s="260">
        <v>0.78</v>
      </c>
      <c r="Q90" s="259">
        <v>0.69</v>
      </c>
      <c r="R90" s="259">
        <v>0.72</v>
      </c>
      <c r="S90" s="260">
        <v>0.72</v>
      </c>
      <c r="T90" s="798">
        <v>0.72</v>
      </c>
      <c r="U90" s="884">
        <v>0.69</v>
      </c>
      <c r="V90" s="260">
        <v>0.73</v>
      </c>
      <c r="W90" s="260">
        <v>0.76</v>
      </c>
      <c r="X90" s="260"/>
      <c r="Y90" s="260">
        <v>0.75</v>
      </c>
      <c r="Z90" s="798"/>
      <c r="AA90" s="941">
        <v>0.7</v>
      </c>
      <c r="AB90" s="941">
        <v>0.71</v>
      </c>
      <c r="AC90" s="941">
        <v>0.75</v>
      </c>
      <c r="AD90" s="941"/>
    </row>
    <row r="91" spans="2:30" ht="27.4" customHeight="1" x14ac:dyDescent="0.45">
      <c r="B91" s="1332"/>
      <c r="C91" s="1068"/>
      <c r="D91" s="1404"/>
      <c r="E91" s="1404"/>
      <c r="F91" s="746" t="s">
        <v>353</v>
      </c>
      <c r="G91" s="83" t="s">
        <v>27</v>
      </c>
      <c r="H91" s="83" t="s">
        <v>217</v>
      </c>
      <c r="I91" s="61"/>
      <c r="J91" s="104"/>
      <c r="K91" s="259"/>
      <c r="L91" s="260"/>
      <c r="M91" s="259">
        <v>378</v>
      </c>
      <c r="N91" s="260"/>
      <c r="O91" s="259">
        <v>378</v>
      </c>
      <c r="P91" s="260">
        <v>378</v>
      </c>
      <c r="Q91" s="259">
        <v>379</v>
      </c>
      <c r="R91" s="259">
        <v>379</v>
      </c>
      <c r="S91" s="260">
        <v>381</v>
      </c>
      <c r="T91" s="798">
        <v>378</v>
      </c>
      <c r="U91" s="884">
        <v>379</v>
      </c>
      <c r="V91" s="260">
        <v>378</v>
      </c>
      <c r="W91" s="260">
        <v>381</v>
      </c>
      <c r="X91" s="260"/>
      <c r="Y91" s="260">
        <v>379</v>
      </c>
      <c r="Z91" s="798"/>
      <c r="AA91" s="941">
        <v>377</v>
      </c>
      <c r="AB91" s="941">
        <v>379</v>
      </c>
      <c r="AC91" s="941">
        <v>376</v>
      </c>
      <c r="AD91" s="941"/>
    </row>
    <row r="92" spans="2:30" ht="27.4" customHeight="1" x14ac:dyDescent="0.45">
      <c r="B92" s="1332"/>
      <c r="C92" s="1068"/>
      <c r="D92" s="1404"/>
      <c r="E92" s="1404"/>
      <c r="F92" s="750" t="s">
        <v>811</v>
      </c>
      <c r="G92" s="712" t="s">
        <v>143</v>
      </c>
      <c r="H92" s="712" t="s">
        <v>217</v>
      </c>
      <c r="I92" s="713"/>
      <c r="J92" s="714"/>
      <c r="K92" s="259"/>
      <c r="L92" s="260"/>
      <c r="M92" s="970" t="s">
        <v>821</v>
      </c>
      <c r="N92" s="260"/>
      <c r="O92" s="970" t="s">
        <v>822</v>
      </c>
      <c r="P92" s="969" t="s">
        <v>822</v>
      </c>
      <c r="Q92" s="970" t="s">
        <v>823</v>
      </c>
      <c r="R92" s="970" t="s">
        <v>823</v>
      </c>
      <c r="S92" s="260">
        <v>50.56</v>
      </c>
      <c r="T92" s="798"/>
      <c r="U92" s="884" t="s">
        <v>824</v>
      </c>
      <c r="V92" s="260"/>
      <c r="W92" s="260">
        <v>50.87</v>
      </c>
      <c r="X92" s="260"/>
      <c r="Y92" s="260">
        <v>51.03</v>
      </c>
      <c r="Z92" s="798"/>
      <c r="AA92" s="941">
        <v>51.05</v>
      </c>
      <c r="AB92" s="941">
        <v>51.05</v>
      </c>
      <c r="AC92" s="937">
        <v>50.05</v>
      </c>
      <c r="AD92" s="941"/>
    </row>
    <row r="93" spans="2:30" ht="27.4" customHeight="1" x14ac:dyDescent="0.45">
      <c r="B93" s="1332"/>
      <c r="C93" s="1068"/>
      <c r="D93" s="1404"/>
      <c r="E93" s="1404"/>
      <c r="F93" s="751" t="s">
        <v>825</v>
      </c>
      <c r="G93" s="83" t="s">
        <v>137</v>
      </c>
      <c r="H93" s="83" t="s">
        <v>217</v>
      </c>
      <c r="I93" s="83"/>
      <c r="J93" s="88"/>
      <c r="K93" s="245"/>
      <c r="L93" s="246"/>
      <c r="M93" s="245">
        <v>0.71499999999999997</v>
      </c>
      <c r="N93" s="246"/>
      <c r="O93" s="245">
        <v>0.72</v>
      </c>
      <c r="P93" s="246">
        <v>0.77500000000000002</v>
      </c>
      <c r="Q93" s="245">
        <v>0.77</v>
      </c>
      <c r="R93" s="245">
        <v>0.78</v>
      </c>
      <c r="S93" s="246">
        <v>0.71399999999999997</v>
      </c>
      <c r="T93" s="795">
        <v>0.71499999999999997</v>
      </c>
      <c r="U93" s="342">
        <v>0.68</v>
      </c>
      <c r="V93" s="246">
        <v>0.72</v>
      </c>
      <c r="W93" s="246">
        <v>0.75</v>
      </c>
      <c r="X93" s="246"/>
      <c r="Y93" s="246">
        <v>0.74</v>
      </c>
      <c r="Z93" s="795"/>
      <c r="AA93" s="937">
        <v>0.7</v>
      </c>
      <c r="AB93" s="937">
        <v>0.70899999999999996</v>
      </c>
      <c r="AC93" s="937">
        <v>0.74399999999999999</v>
      </c>
      <c r="AD93" s="937"/>
    </row>
    <row r="94" spans="2:30" ht="27.4" customHeight="1" thickBot="1" x14ac:dyDescent="0.5">
      <c r="B94" s="1332"/>
      <c r="C94" s="1068"/>
      <c r="D94" s="1404"/>
      <c r="E94" s="1404"/>
      <c r="F94" s="752" t="s">
        <v>825</v>
      </c>
      <c r="G94" s="62" t="s">
        <v>137</v>
      </c>
      <c r="H94" s="62" t="s">
        <v>345</v>
      </c>
      <c r="I94" s="62"/>
      <c r="J94" s="102"/>
      <c r="K94" s="496"/>
      <c r="L94" s="261"/>
      <c r="M94" s="496">
        <v>0.7</v>
      </c>
      <c r="N94" s="261"/>
      <c r="O94" s="496">
        <v>0.7</v>
      </c>
      <c r="P94" s="261">
        <v>0.75</v>
      </c>
      <c r="Q94" s="496">
        <v>0.7</v>
      </c>
      <c r="R94" s="496">
        <v>0.7</v>
      </c>
      <c r="S94" s="261">
        <v>0.7</v>
      </c>
      <c r="T94" s="796">
        <v>0.7</v>
      </c>
      <c r="U94" s="885">
        <v>0.67</v>
      </c>
      <c r="V94" s="261">
        <v>0.7</v>
      </c>
      <c r="W94" s="261">
        <v>0.74</v>
      </c>
      <c r="X94" s="261"/>
      <c r="Y94" s="261">
        <v>0.75</v>
      </c>
      <c r="Z94" s="796"/>
      <c r="AA94" s="938">
        <v>0.69499999999999995</v>
      </c>
      <c r="AB94" s="938">
        <v>0.7</v>
      </c>
      <c r="AC94" s="938">
        <v>0.72</v>
      </c>
      <c r="AD94" s="938"/>
    </row>
    <row r="95" spans="2:30" ht="27.4" customHeight="1" x14ac:dyDescent="0.45">
      <c r="B95" s="1332"/>
      <c r="C95" s="1068"/>
      <c r="D95" s="1404"/>
      <c r="E95" s="1418" t="s">
        <v>815</v>
      </c>
      <c r="F95" s="749" t="s">
        <v>819</v>
      </c>
      <c r="G95" s="715" t="s">
        <v>39</v>
      </c>
      <c r="H95" s="382" t="s">
        <v>217</v>
      </c>
      <c r="I95" s="382"/>
      <c r="J95" s="383"/>
      <c r="K95" s="716"/>
      <c r="L95" s="671"/>
      <c r="M95" s="716">
        <v>37</v>
      </c>
      <c r="N95" s="671"/>
      <c r="O95" s="716">
        <v>37</v>
      </c>
      <c r="P95" s="671">
        <v>47</v>
      </c>
      <c r="Q95" s="716">
        <v>44</v>
      </c>
      <c r="R95" s="716">
        <v>44</v>
      </c>
      <c r="S95" s="671" t="s">
        <v>21</v>
      </c>
      <c r="T95" s="879">
        <v>37</v>
      </c>
      <c r="U95" s="890">
        <v>35</v>
      </c>
      <c r="V95" s="671">
        <v>37</v>
      </c>
      <c r="W95" s="671">
        <v>39</v>
      </c>
      <c r="X95" s="671"/>
      <c r="Y95" s="671">
        <v>42</v>
      </c>
      <c r="Z95" s="879"/>
      <c r="AA95" s="936">
        <v>36</v>
      </c>
      <c r="AB95" s="936">
        <v>39</v>
      </c>
      <c r="AC95" s="936">
        <v>36</v>
      </c>
      <c r="AD95" s="936"/>
    </row>
    <row r="96" spans="2:30" ht="27.4" customHeight="1" x14ac:dyDescent="0.45">
      <c r="B96" s="1332"/>
      <c r="C96" s="1068"/>
      <c r="D96" s="1404"/>
      <c r="E96" s="1404"/>
      <c r="F96" s="747" t="s">
        <v>820</v>
      </c>
      <c r="G96" s="712" t="s">
        <v>137</v>
      </c>
      <c r="H96" s="712" t="s">
        <v>217</v>
      </c>
      <c r="I96" s="713"/>
      <c r="J96" s="714"/>
      <c r="K96" s="259"/>
      <c r="L96" s="260"/>
      <c r="M96" s="259">
        <v>0.73</v>
      </c>
      <c r="N96" s="260"/>
      <c r="O96" s="259">
        <v>0.73</v>
      </c>
      <c r="P96" s="260">
        <v>0.78</v>
      </c>
      <c r="Q96" s="259">
        <v>0.77</v>
      </c>
      <c r="R96" s="259">
        <v>0.77</v>
      </c>
      <c r="S96" s="260" t="s">
        <v>21</v>
      </c>
      <c r="T96" s="798">
        <v>0.73</v>
      </c>
      <c r="U96" s="884">
        <v>0.69</v>
      </c>
      <c r="V96" s="260">
        <v>0.73</v>
      </c>
      <c r="W96" s="260">
        <v>0.76</v>
      </c>
      <c r="X96" s="260"/>
      <c r="Y96" s="260">
        <v>0.75</v>
      </c>
      <c r="Z96" s="798"/>
      <c r="AA96" s="941">
        <v>0.71</v>
      </c>
      <c r="AB96" s="941">
        <v>0.72</v>
      </c>
      <c r="AC96" s="941">
        <v>0.75</v>
      </c>
      <c r="AD96" s="941"/>
    </row>
    <row r="97" spans="2:30" ht="27.4" customHeight="1" x14ac:dyDescent="0.45">
      <c r="B97" s="1332"/>
      <c r="C97" s="1068"/>
      <c r="D97" s="1404"/>
      <c r="E97" s="1404"/>
      <c r="F97" s="746" t="s">
        <v>353</v>
      </c>
      <c r="G97" s="83" t="s">
        <v>27</v>
      </c>
      <c r="H97" s="83" t="s">
        <v>217</v>
      </c>
      <c r="I97" s="61"/>
      <c r="J97" s="104"/>
      <c r="K97" s="259"/>
      <c r="L97" s="260"/>
      <c r="M97" s="259">
        <v>378</v>
      </c>
      <c r="N97" s="260"/>
      <c r="O97" s="259">
        <v>378</v>
      </c>
      <c r="P97" s="260">
        <v>376</v>
      </c>
      <c r="Q97" s="259">
        <v>376</v>
      </c>
      <c r="R97" s="259">
        <v>377</v>
      </c>
      <c r="S97" s="260" t="s">
        <v>21</v>
      </c>
      <c r="T97" s="798">
        <v>378</v>
      </c>
      <c r="U97" s="884">
        <v>378</v>
      </c>
      <c r="V97" s="260">
        <v>378</v>
      </c>
      <c r="W97" s="260">
        <v>382</v>
      </c>
      <c r="X97" s="260"/>
      <c r="Y97" s="260">
        <v>372</v>
      </c>
      <c r="Z97" s="798"/>
      <c r="AA97" s="941">
        <v>376</v>
      </c>
      <c r="AB97" s="941">
        <v>378</v>
      </c>
      <c r="AC97" s="941">
        <v>376</v>
      </c>
      <c r="AD97" s="941"/>
    </row>
    <row r="98" spans="2:30" ht="27.4" customHeight="1" x14ac:dyDescent="0.45">
      <c r="B98" s="1332"/>
      <c r="C98" s="1068"/>
      <c r="D98" s="1404"/>
      <c r="E98" s="1404"/>
      <c r="F98" s="750" t="s">
        <v>811</v>
      </c>
      <c r="G98" s="712" t="s">
        <v>143</v>
      </c>
      <c r="H98" s="712" t="s">
        <v>217</v>
      </c>
      <c r="I98" s="713"/>
      <c r="J98" s="714"/>
      <c r="K98" s="259"/>
      <c r="L98" s="260"/>
      <c r="M98" s="970" t="s">
        <v>826</v>
      </c>
      <c r="N98" s="260"/>
      <c r="O98" s="970" t="s">
        <v>827</v>
      </c>
      <c r="P98" s="969" t="s">
        <v>828</v>
      </c>
      <c r="Q98" s="970" t="s">
        <v>829</v>
      </c>
      <c r="R98" s="970" t="s">
        <v>829</v>
      </c>
      <c r="S98" s="260" t="s">
        <v>21</v>
      </c>
      <c r="T98" s="798"/>
      <c r="U98" s="884">
        <v>50</v>
      </c>
      <c r="V98" s="260"/>
      <c r="W98" s="260" t="s">
        <v>830</v>
      </c>
      <c r="X98" s="260"/>
      <c r="Y98" s="260">
        <v>50.32</v>
      </c>
      <c r="Z98" s="798"/>
      <c r="AA98" s="941">
        <v>50.35</v>
      </c>
      <c r="AB98" s="941">
        <v>50.45</v>
      </c>
      <c r="AC98" s="941">
        <v>50.45</v>
      </c>
      <c r="AD98" s="941"/>
    </row>
    <row r="99" spans="2:30" ht="27.4" customHeight="1" x14ac:dyDescent="0.45">
      <c r="B99" s="1332"/>
      <c r="C99" s="1068"/>
      <c r="D99" s="1404"/>
      <c r="E99" s="1404"/>
      <c r="F99" s="751" t="s">
        <v>831</v>
      </c>
      <c r="G99" s="83" t="s">
        <v>137</v>
      </c>
      <c r="H99" s="83" t="s">
        <v>217</v>
      </c>
      <c r="I99" s="83"/>
      <c r="J99" s="88"/>
      <c r="K99" s="245"/>
      <c r="L99" s="246"/>
      <c r="M99" s="245">
        <v>0.71499999999999997</v>
      </c>
      <c r="N99" s="246"/>
      <c r="O99" s="245">
        <v>0.72</v>
      </c>
      <c r="P99" s="246">
        <v>0.77400000000000002</v>
      </c>
      <c r="Q99" s="245">
        <v>0.77</v>
      </c>
      <c r="R99" s="245">
        <v>0.78</v>
      </c>
      <c r="S99" s="246">
        <v>0.71299999999999997</v>
      </c>
      <c r="T99" s="795">
        <v>0.71499999999999997</v>
      </c>
      <c r="U99" s="342">
        <v>0.68</v>
      </c>
      <c r="V99" s="246">
        <v>0.72</v>
      </c>
      <c r="W99" s="246">
        <v>0.75</v>
      </c>
      <c r="X99" s="246"/>
      <c r="Y99" s="246">
        <v>0.74</v>
      </c>
      <c r="Z99" s="795"/>
      <c r="AA99" s="937">
        <v>0.69499999999999995</v>
      </c>
      <c r="AB99" s="937">
        <v>0.70899999999999996</v>
      </c>
      <c r="AC99" s="937">
        <v>0.74399999999999999</v>
      </c>
      <c r="AD99" s="937"/>
    </row>
    <row r="100" spans="2:30" ht="27.4" customHeight="1" thickBot="1" x14ac:dyDescent="0.5">
      <c r="B100" s="1332"/>
      <c r="C100" s="1068"/>
      <c r="D100" s="1404"/>
      <c r="E100" s="1419"/>
      <c r="F100" s="753" t="s">
        <v>831</v>
      </c>
      <c r="G100" s="389" t="s">
        <v>137</v>
      </c>
      <c r="H100" s="389" t="s">
        <v>345</v>
      </c>
      <c r="I100" s="389"/>
      <c r="J100" s="390"/>
      <c r="K100" s="718"/>
      <c r="L100" s="719"/>
      <c r="M100" s="718">
        <v>0.7</v>
      </c>
      <c r="N100" s="719"/>
      <c r="O100" s="718">
        <v>0.7</v>
      </c>
      <c r="P100" s="719">
        <v>0.75</v>
      </c>
      <c r="Q100" s="718">
        <v>0.7</v>
      </c>
      <c r="R100" s="718">
        <v>0.7</v>
      </c>
      <c r="S100" s="719">
        <v>0.7</v>
      </c>
      <c r="T100" s="880">
        <v>0.7</v>
      </c>
      <c r="U100" s="891">
        <v>0.68</v>
      </c>
      <c r="V100" s="719">
        <v>0.7</v>
      </c>
      <c r="W100" s="719">
        <v>0.75</v>
      </c>
      <c r="X100" s="719"/>
      <c r="Y100" s="719">
        <v>0.74</v>
      </c>
      <c r="Z100" s="880"/>
      <c r="AA100" s="966">
        <v>0.7</v>
      </c>
      <c r="AB100" s="966">
        <v>0.7</v>
      </c>
      <c r="AC100" s="966">
        <v>0.7</v>
      </c>
      <c r="AD100" s="966"/>
    </row>
    <row r="101" spans="2:30" ht="27.4" customHeight="1" x14ac:dyDescent="0.45">
      <c r="B101" s="1332"/>
      <c r="C101" s="1068"/>
      <c r="D101" s="1404"/>
      <c r="E101" s="1404" t="s">
        <v>832</v>
      </c>
      <c r="F101" s="746" t="s">
        <v>819</v>
      </c>
      <c r="G101" s="57" t="s">
        <v>39</v>
      </c>
      <c r="H101" s="61" t="s">
        <v>217</v>
      </c>
      <c r="I101" s="61"/>
      <c r="J101" s="104"/>
      <c r="K101" s="259"/>
      <c r="L101" s="260"/>
      <c r="M101" s="259">
        <v>33</v>
      </c>
      <c r="N101" s="260"/>
      <c r="O101" s="259">
        <v>33</v>
      </c>
      <c r="P101" s="260">
        <v>32</v>
      </c>
      <c r="Q101" s="259">
        <v>34</v>
      </c>
      <c r="R101" s="259">
        <v>33</v>
      </c>
      <c r="S101" s="260">
        <v>58</v>
      </c>
      <c r="T101" s="798">
        <v>33</v>
      </c>
      <c r="U101" s="884">
        <v>37</v>
      </c>
      <c r="V101" s="260">
        <v>33</v>
      </c>
      <c r="W101" s="260">
        <v>37</v>
      </c>
      <c r="X101" s="260"/>
      <c r="Y101" s="260">
        <v>36</v>
      </c>
      <c r="Z101" s="798"/>
      <c r="AA101" s="941">
        <v>35</v>
      </c>
      <c r="AB101" s="941">
        <v>34</v>
      </c>
      <c r="AC101" s="941">
        <v>43</v>
      </c>
      <c r="AD101" s="941"/>
    </row>
    <row r="102" spans="2:30" ht="27.4" customHeight="1" x14ac:dyDescent="0.45">
      <c r="B102" s="1332"/>
      <c r="C102" s="1068"/>
      <c r="D102" s="1404"/>
      <c r="E102" s="1404"/>
      <c r="F102" s="747" t="s">
        <v>820</v>
      </c>
      <c r="G102" s="712" t="s">
        <v>137</v>
      </c>
      <c r="H102" s="712" t="s">
        <v>217</v>
      </c>
      <c r="I102" s="713"/>
      <c r="J102" s="714"/>
      <c r="K102" s="259"/>
      <c r="L102" s="260"/>
      <c r="M102" s="259">
        <v>0.74</v>
      </c>
      <c r="N102" s="260"/>
      <c r="O102" s="259">
        <v>0.74</v>
      </c>
      <c r="P102" s="260">
        <v>0.7</v>
      </c>
      <c r="Q102" s="259">
        <v>0.78</v>
      </c>
      <c r="R102" s="259">
        <v>0.77</v>
      </c>
      <c r="S102" s="260">
        <v>0.73</v>
      </c>
      <c r="T102" s="798">
        <v>0.74</v>
      </c>
      <c r="U102" s="884">
        <v>0.68</v>
      </c>
      <c r="V102" s="260">
        <v>0.74</v>
      </c>
      <c r="W102" s="260">
        <v>0.77</v>
      </c>
      <c r="X102" s="260"/>
      <c r="Y102" s="260">
        <v>0.76</v>
      </c>
      <c r="Z102" s="798"/>
      <c r="AA102" s="941">
        <v>0.71</v>
      </c>
      <c r="AB102" s="941">
        <v>0.73</v>
      </c>
      <c r="AC102" s="941">
        <v>0.76</v>
      </c>
      <c r="AD102" s="941"/>
    </row>
    <row r="103" spans="2:30" ht="27.4" customHeight="1" x14ac:dyDescent="0.45">
      <c r="B103" s="1332"/>
      <c r="C103" s="1068"/>
      <c r="D103" s="1404"/>
      <c r="E103" s="1404"/>
      <c r="F103" s="746" t="s">
        <v>353</v>
      </c>
      <c r="G103" s="83" t="s">
        <v>27</v>
      </c>
      <c r="H103" s="83" t="s">
        <v>217</v>
      </c>
      <c r="I103" s="61"/>
      <c r="J103" s="104"/>
      <c r="K103" s="259"/>
      <c r="L103" s="260"/>
      <c r="M103" s="259">
        <v>379</v>
      </c>
      <c r="N103" s="260"/>
      <c r="O103" s="259">
        <v>379</v>
      </c>
      <c r="P103" s="260">
        <v>379</v>
      </c>
      <c r="Q103" s="259">
        <v>378</v>
      </c>
      <c r="R103" s="259">
        <v>377</v>
      </c>
      <c r="S103" s="260">
        <v>382</v>
      </c>
      <c r="T103" s="798">
        <v>379</v>
      </c>
      <c r="U103" s="884">
        <v>383</v>
      </c>
      <c r="V103" s="260">
        <v>379</v>
      </c>
      <c r="W103" s="260">
        <v>383</v>
      </c>
      <c r="X103" s="260"/>
      <c r="Y103" s="260">
        <v>381</v>
      </c>
      <c r="Z103" s="798"/>
      <c r="AA103" s="941">
        <v>378</v>
      </c>
      <c r="AB103" s="941">
        <v>380</v>
      </c>
      <c r="AC103" s="941">
        <v>378</v>
      </c>
      <c r="AD103" s="941"/>
    </row>
    <row r="104" spans="2:30" ht="27.4" customHeight="1" x14ac:dyDescent="0.45">
      <c r="B104" s="1332"/>
      <c r="C104" s="1068"/>
      <c r="D104" s="1404"/>
      <c r="E104" s="1404"/>
      <c r="F104" s="750" t="s">
        <v>811</v>
      </c>
      <c r="G104" s="712" t="s">
        <v>143</v>
      </c>
      <c r="H104" s="712" t="s">
        <v>217</v>
      </c>
      <c r="I104" s="713"/>
      <c r="J104" s="714"/>
      <c r="K104" s="259"/>
      <c r="L104" s="260"/>
      <c r="M104" s="970" t="s">
        <v>833</v>
      </c>
      <c r="N104" s="260"/>
      <c r="O104" s="970" t="s">
        <v>834</v>
      </c>
      <c r="P104" s="969" t="s">
        <v>834</v>
      </c>
      <c r="Q104" s="970" t="s">
        <v>822</v>
      </c>
      <c r="R104" s="970" t="s">
        <v>822</v>
      </c>
      <c r="S104" s="260">
        <v>218.1</v>
      </c>
      <c r="T104" s="798"/>
      <c r="U104" s="884" t="s">
        <v>835</v>
      </c>
      <c r="V104" s="260"/>
      <c r="W104" s="260" t="s">
        <v>836</v>
      </c>
      <c r="X104" s="260"/>
      <c r="Y104" s="260">
        <v>218.45</v>
      </c>
      <c r="Z104" s="798"/>
      <c r="AA104" s="941">
        <v>218.57</v>
      </c>
      <c r="AB104" s="941">
        <v>218.68</v>
      </c>
      <c r="AC104" s="941">
        <v>218.83</v>
      </c>
      <c r="AD104" s="941"/>
    </row>
    <row r="105" spans="2:30" ht="27.4" customHeight="1" thickBot="1" x14ac:dyDescent="0.5">
      <c r="B105" s="1332"/>
      <c r="C105" s="1068"/>
      <c r="D105" s="1404"/>
      <c r="E105" s="1404"/>
      <c r="F105" s="751" t="s">
        <v>837</v>
      </c>
      <c r="G105" s="83" t="s">
        <v>137</v>
      </c>
      <c r="H105" s="83" t="s">
        <v>217</v>
      </c>
      <c r="I105" s="83"/>
      <c r="J105" s="88"/>
      <c r="K105" s="475"/>
      <c r="L105" s="246"/>
      <c r="M105" s="718">
        <v>0.71799999999999997</v>
      </c>
      <c r="N105" s="246"/>
      <c r="O105" s="718">
        <v>0.72299999999999998</v>
      </c>
      <c r="P105" s="246">
        <v>0.67900000000000005</v>
      </c>
      <c r="Q105" s="718">
        <v>0.67800000000000005</v>
      </c>
      <c r="R105" s="718">
        <v>0.67500000000000004</v>
      </c>
      <c r="S105" s="246">
        <v>0.71599999999999997</v>
      </c>
      <c r="T105" s="795">
        <v>0.71799999999999997</v>
      </c>
      <c r="U105" s="342">
        <v>0.68</v>
      </c>
      <c r="V105" s="246">
        <v>0.72299999999999998</v>
      </c>
      <c r="W105" s="246">
        <v>0.75</v>
      </c>
      <c r="X105" s="246"/>
      <c r="Y105" s="246">
        <v>0.74</v>
      </c>
      <c r="Z105" s="795"/>
      <c r="AA105" s="937">
        <v>0.69499999999999995</v>
      </c>
      <c r="AB105" s="937">
        <v>0.70899999999999996</v>
      </c>
      <c r="AC105" s="937">
        <v>0.74199999999999999</v>
      </c>
      <c r="AD105" s="937"/>
    </row>
    <row r="106" spans="2:30" ht="27.4" customHeight="1" thickBot="1" x14ac:dyDescent="0.5">
      <c r="B106" s="1333"/>
      <c r="C106" s="1070"/>
      <c r="D106" s="1419"/>
      <c r="E106" s="1419"/>
      <c r="F106" s="754" t="s">
        <v>837</v>
      </c>
      <c r="G106" s="399" t="s">
        <v>137</v>
      </c>
      <c r="H106" s="399" t="s">
        <v>345</v>
      </c>
      <c r="I106" s="399"/>
      <c r="J106" s="400"/>
      <c r="K106" s="476"/>
      <c r="L106" s="402"/>
      <c r="M106" s="718">
        <v>0.7</v>
      </c>
      <c r="N106" s="402"/>
      <c r="O106" s="718">
        <v>0.7</v>
      </c>
      <c r="P106" s="402">
        <v>0.69</v>
      </c>
      <c r="Q106" s="718">
        <v>0.69</v>
      </c>
      <c r="R106" s="718">
        <v>0.68</v>
      </c>
      <c r="S106" s="402">
        <v>0.71</v>
      </c>
      <c r="T106" s="877">
        <v>0.7</v>
      </c>
      <c r="U106" s="887">
        <v>0.69</v>
      </c>
      <c r="V106" s="402">
        <v>0.7</v>
      </c>
      <c r="W106" s="402">
        <v>0.75</v>
      </c>
      <c r="X106" s="402"/>
      <c r="Y106" s="402">
        <v>0.74</v>
      </c>
      <c r="Z106" s="877"/>
      <c r="AA106" s="964">
        <v>0.7</v>
      </c>
      <c r="AB106" s="964">
        <v>0.7</v>
      </c>
      <c r="AC106" s="964">
        <v>0.7</v>
      </c>
      <c r="AD106" s="964"/>
    </row>
    <row r="107" spans="2:30" ht="27.4" customHeight="1" thickTop="1" x14ac:dyDescent="0.45">
      <c r="B107" s="1414" t="s">
        <v>127</v>
      </c>
      <c r="C107" s="1415"/>
      <c r="D107" s="1421" t="s">
        <v>838</v>
      </c>
      <c r="E107" s="1422"/>
      <c r="F107" s="755" t="s">
        <v>523</v>
      </c>
      <c r="G107" s="403" t="s">
        <v>21</v>
      </c>
      <c r="H107" s="403" t="s">
        <v>21</v>
      </c>
      <c r="I107" s="403"/>
      <c r="J107" s="404" t="s">
        <v>451</v>
      </c>
      <c r="K107" s="397"/>
      <c r="L107" s="398"/>
      <c r="M107" s="397"/>
      <c r="N107" s="398"/>
      <c r="O107" s="397"/>
      <c r="P107" s="398"/>
      <c r="Q107" s="397"/>
      <c r="R107" s="397"/>
      <c r="S107" s="398">
        <v>1</v>
      </c>
      <c r="T107" s="876">
        <v>1</v>
      </c>
      <c r="U107" s="886" t="s">
        <v>59</v>
      </c>
      <c r="V107" s="398">
        <v>1</v>
      </c>
      <c r="W107" s="398" t="s">
        <v>59</v>
      </c>
      <c r="X107" s="398"/>
      <c r="Y107" s="398" t="s">
        <v>451</v>
      </c>
      <c r="Z107" s="876"/>
      <c r="AA107" s="963" t="s">
        <v>451</v>
      </c>
      <c r="AB107" s="963" t="s">
        <v>451</v>
      </c>
      <c r="AC107" s="963" t="s">
        <v>451</v>
      </c>
      <c r="AD107" s="963"/>
    </row>
    <row r="108" spans="2:30" ht="27.4" customHeight="1" x14ac:dyDescent="0.45">
      <c r="B108" s="1414"/>
      <c r="C108" s="1415"/>
      <c r="D108" s="1423"/>
      <c r="E108" s="1424"/>
      <c r="F108" s="751" t="s">
        <v>617</v>
      </c>
      <c r="G108" s="83" t="s">
        <v>137</v>
      </c>
      <c r="H108" s="83" t="s">
        <v>345</v>
      </c>
      <c r="I108" s="83"/>
      <c r="J108" s="88"/>
      <c r="K108" s="245"/>
      <c r="L108" s="246"/>
      <c r="M108" s="245"/>
      <c r="N108" s="246"/>
      <c r="O108" s="245"/>
      <c r="P108" s="246"/>
      <c r="Q108" s="245"/>
      <c r="R108" s="245"/>
      <c r="S108" s="246">
        <v>0</v>
      </c>
      <c r="T108" s="795">
        <v>0</v>
      </c>
      <c r="U108" s="342">
        <v>0</v>
      </c>
      <c r="V108" s="246">
        <v>0</v>
      </c>
      <c r="W108" s="246">
        <v>0</v>
      </c>
      <c r="X108" s="246"/>
      <c r="Y108" s="246">
        <v>0</v>
      </c>
      <c r="Z108" s="795"/>
      <c r="AA108" s="937">
        <v>0</v>
      </c>
      <c r="AB108" s="937">
        <v>0</v>
      </c>
      <c r="AC108" s="937">
        <v>0</v>
      </c>
      <c r="AD108" s="937"/>
    </row>
    <row r="109" spans="2:30" ht="27.4" customHeight="1" x14ac:dyDescent="0.45">
      <c r="B109" s="1414"/>
      <c r="C109" s="1415"/>
      <c r="D109" s="1425"/>
      <c r="E109" s="1426"/>
      <c r="F109" s="756" t="s">
        <v>577</v>
      </c>
      <c r="G109" s="56" t="s">
        <v>578</v>
      </c>
      <c r="H109" s="56" t="s">
        <v>73</v>
      </c>
      <c r="I109" s="56"/>
      <c r="J109" s="98"/>
      <c r="K109" s="496"/>
      <c r="L109" s="261"/>
      <c r="M109" s="496"/>
      <c r="N109" s="261"/>
      <c r="O109" s="496"/>
      <c r="P109" s="261"/>
      <c r="Q109" s="968" t="s">
        <v>839</v>
      </c>
      <c r="R109" s="496"/>
      <c r="S109" s="261">
        <v>191</v>
      </c>
      <c r="T109" s="796"/>
      <c r="U109" s="885">
        <v>193</v>
      </c>
      <c r="V109" s="261"/>
      <c r="W109" s="994">
        <v>159</v>
      </c>
      <c r="X109" s="261"/>
      <c r="Y109" s="994">
        <v>159</v>
      </c>
      <c r="Z109" s="796"/>
      <c r="AA109" s="938">
        <v>198.93</v>
      </c>
      <c r="AB109" s="938">
        <v>200.56</v>
      </c>
      <c r="AC109" s="938">
        <v>203.51</v>
      </c>
      <c r="AD109" s="938"/>
    </row>
    <row r="110" spans="2:30" ht="27.4" customHeight="1" x14ac:dyDescent="0.45">
      <c r="B110" s="1414"/>
      <c r="C110" s="1415"/>
      <c r="D110" s="1425"/>
      <c r="E110" s="1426"/>
      <c r="F110" s="756" t="s">
        <v>588</v>
      </c>
      <c r="G110" s="56" t="s">
        <v>578</v>
      </c>
      <c r="H110" s="56" t="s">
        <v>73</v>
      </c>
      <c r="I110" s="56"/>
      <c r="J110" s="98"/>
      <c r="K110" s="496"/>
      <c r="L110" s="261"/>
      <c r="M110" s="496"/>
      <c r="N110" s="261"/>
      <c r="O110" s="496"/>
      <c r="P110" s="261"/>
      <c r="Q110" s="968" t="s">
        <v>840</v>
      </c>
      <c r="R110" s="496"/>
      <c r="S110" s="261">
        <f>24*7+23</f>
        <v>191</v>
      </c>
      <c r="T110" s="796"/>
      <c r="U110" s="885">
        <v>193.44</v>
      </c>
      <c r="V110" s="261"/>
      <c r="W110" s="994">
        <v>160</v>
      </c>
      <c r="X110" s="261"/>
      <c r="Y110" s="994">
        <v>160</v>
      </c>
      <c r="Z110" s="796"/>
      <c r="AA110" s="967" t="s">
        <v>841</v>
      </c>
      <c r="AB110" s="938">
        <v>200.05</v>
      </c>
      <c r="AC110" s="938">
        <v>203.18</v>
      </c>
      <c r="AD110" s="938"/>
    </row>
    <row r="111" spans="2:30" ht="27.4" customHeight="1" thickBot="1" x14ac:dyDescent="0.5">
      <c r="B111" s="1416"/>
      <c r="C111" s="1417"/>
      <c r="D111" s="1427"/>
      <c r="E111" s="1428"/>
      <c r="F111" s="754" t="s">
        <v>595</v>
      </c>
      <c r="G111" s="399" t="s">
        <v>115</v>
      </c>
      <c r="H111" s="399" t="s">
        <v>73</v>
      </c>
      <c r="I111" s="399" t="s">
        <v>621</v>
      </c>
      <c r="J111" s="400" t="s">
        <v>621</v>
      </c>
      <c r="K111" s="401"/>
      <c r="L111" s="402"/>
      <c r="M111" s="401"/>
      <c r="N111" s="402"/>
      <c r="O111" s="401"/>
      <c r="P111" s="402"/>
      <c r="Q111" s="401">
        <v>749.8</v>
      </c>
      <c r="R111" s="401"/>
      <c r="S111" s="402">
        <v>750.92</v>
      </c>
      <c r="T111" s="877">
        <v>751.23</v>
      </c>
      <c r="U111" s="887">
        <v>750.4</v>
      </c>
      <c r="V111" s="402">
        <v>750.66</v>
      </c>
      <c r="W111" s="402">
        <v>751.5</v>
      </c>
      <c r="X111" s="402"/>
      <c r="Y111" s="402">
        <v>751.5</v>
      </c>
      <c r="Z111" s="877"/>
      <c r="AA111" s="965">
        <v>751.34</v>
      </c>
      <c r="AB111" s="965">
        <v>751.07</v>
      </c>
      <c r="AC111" s="965">
        <v>149.80000000000001</v>
      </c>
      <c r="AD111" s="965"/>
    </row>
    <row r="112" spans="2:30" ht="27.4" customHeight="1" thickBot="1" x14ac:dyDescent="0.5">
      <c r="B112" s="48"/>
      <c r="C112" s="48"/>
      <c r="D112" s="59"/>
      <c r="E112" s="59"/>
      <c r="F112" s="9"/>
      <c r="G112" s="36"/>
      <c r="H112" s="36"/>
      <c r="I112" s="49"/>
      <c r="J112" s="36"/>
    </row>
    <row r="113" spans="2:30" ht="27.4" customHeight="1" thickBot="1" x14ac:dyDescent="0.5">
      <c r="B113" s="5"/>
      <c r="C113" s="5"/>
      <c r="D113" s="60"/>
      <c r="E113" s="1407" t="s">
        <v>201</v>
      </c>
      <c r="F113" s="1408"/>
      <c r="G113" s="1408"/>
      <c r="H113" s="1408"/>
      <c r="I113" s="1408"/>
      <c r="J113" s="1408"/>
      <c r="K113" s="1384"/>
      <c r="L113" s="1384"/>
      <c r="M113" s="1384"/>
      <c r="N113" s="1384"/>
      <c r="O113" s="1384"/>
      <c r="P113" s="1384"/>
      <c r="Q113" s="1384"/>
      <c r="R113" s="1384"/>
      <c r="S113" s="1384"/>
      <c r="T113" s="1384"/>
      <c r="U113" s="1384"/>
      <c r="V113" s="1384"/>
      <c r="W113" s="1384"/>
      <c r="X113" s="1384"/>
      <c r="Y113" s="1384"/>
      <c r="Z113" s="1384"/>
      <c r="AA113" s="1384"/>
      <c r="AB113" s="1384"/>
      <c r="AC113" s="1384"/>
      <c r="AD113" s="1384"/>
    </row>
    <row r="114" spans="2:30" ht="27.4" customHeight="1" thickBot="1" x14ac:dyDescent="0.5">
      <c r="B114" s="5"/>
      <c r="C114" s="5"/>
      <c r="D114" s="60"/>
      <c r="E114" s="1409"/>
      <c r="F114" s="1410"/>
      <c r="G114" s="1410"/>
      <c r="H114" s="1410"/>
      <c r="I114" s="1410"/>
      <c r="J114" s="1410"/>
      <c r="K114" s="1384"/>
      <c r="L114" s="1384"/>
      <c r="M114" s="1384"/>
      <c r="N114" s="1384"/>
      <c r="O114" s="1384"/>
      <c r="P114" s="1384"/>
      <c r="Q114" s="1384"/>
      <c r="R114" s="1384"/>
      <c r="S114" s="1384"/>
      <c r="T114" s="1384"/>
      <c r="U114" s="1384"/>
      <c r="V114" s="1384"/>
      <c r="W114" s="1384"/>
      <c r="X114" s="1384"/>
      <c r="Y114" s="1384"/>
      <c r="Z114" s="1384"/>
      <c r="AA114" s="1384"/>
      <c r="AB114" s="1384"/>
      <c r="AC114" s="1384"/>
      <c r="AD114" s="1384"/>
    </row>
    <row r="115" spans="2:30" ht="27.4" customHeight="1" thickBot="1" x14ac:dyDescent="0.5">
      <c r="B115" s="5"/>
      <c r="C115" s="5"/>
      <c r="D115" s="60"/>
      <c r="E115" s="1405" t="s">
        <v>123</v>
      </c>
      <c r="F115" s="1406"/>
      <c r="G115" s="1406"/>
      <c r="H115" s="1406"/>
      <c r="I115" s="1406"/>
      <c r="J115" s="1406"/>
      <c r="K115" s="505" t="s">
        <v>336</v>
      </c>
      <c r="L115" s="505"/>
      <c r="M115" s="505" t="s">
        <v>336</v>
      </c>
      <c r="N115" s="505"/>
      <c r="O115" s="505" t="s">
        <v>336</v>
      </c>
      <c r="P115" s="505" t="s">
        <v>206</v>
      </c>
      <c r="Q115" s="505" t="s">
        <v>206</v>
      </c>
      <c r="R115" s="505" t="s">
        <v>206</v>
      </c>
      <c r="S115" s="505" t="s">
        <v>337</v>
      </c>
      <c r="T115" s="505" t="s">
        <v>253</v>
      </c>
      <c r="U115" s="505" t="s">
        <v>208</v>
      </c>
      <c r="V115" s="505" t="s">
        <v>253</v>
      </c>
      <c r="W115" s="505" t="s">
        <v>253</v>
      </c>
      <c r="X115" s="505"/>
      <c r="Y115" s="505" t="s">
        <v>206</v>
      </c>
      <c r="Z115" s="505"/>
      <c r="AA115" s="505" t="s">
        <v>206</v>
      </c>
      <c r="AB115" s="505" t="s">
        <v>210</v>
      </c>
      <c r="AC115" s="505" t="s">
        <v>210</v>
      </c>
      <c r="AD115" s="505"/>
    </row>
  </sheetData>
  <mergeCells count="54">
    <mergeCell ref="K113:L114"/>
    <mergeCell ref="R113:R114"/>
    <mergeCell ref="O5:P5"/>
    <mergeCell ref="O113:P114"/>
    <mergeCell ref="M5:N5"/>
    <mergeCell ref="M113:N114"/>
    <mergeCell ref="Q113:Q114"/>
    <mergeCell ref="K5:L5"/>
    <mergeCell ref="D26:D48"/>
    <mergeCell ref="B49:C63"/>
    <mergeCell ref="D49:E63"/>
    <mergeCell ref="E64:E69"/>
    <mergeCell ref="E70:E77"/>
    <mergeCell ref="B64:C106"/>
    <mergeCell ref="B8:C25"/>
    <mergeCell ref="D8:E25"/>
    <mergeCell ref="D64:D85"/>
    <mergeCell ref="E115:J115"/>
    <mergeCell ref="E113:J114"/>
    <mergeCell ref="E26:E36"/>
    <mergeCell ref="E37:E47"/>
    <mergeCell ref="B107:C111"/>
    <mergeCell ref="E89:E94"/>
    <mergeCell ref="E95:E100"/>
    <mergeCell ref="E101:E106"/>
    <mergeCell ref="E78:E85"/>
    <mergeCell ref="D107:E111"/>
    <mergeCell ref="B26:C48"/>
    <mergeCell ref="E86:E88"/>
    <mergeCell ref="D86:D106"/>
    <mergeCell ref="B1:J1"/>
    <mergeCell ref="B2:J2"/>
    <mergeCell ref="E3:I3"/>
    <mergeCell ref="B3:D3"/>
    <mergeCell ref="B5:C7"/>
    <mergeCell ref="D5:E7"/>
    <mergeCell ref="F5:F7"/>
    <mergeCell ref="G5:G7"/>
    <mergeCell ref="H5:H7"/>
    <mergeCell ref="I5:I7"/>
    <mergeCell ref="J5:J7"/>
    <mergeCell ref="S113:S114"/>
    <mergeCell ref="T5:U5"/>
    <mergeCell ref="T113:U114"/>
    <mergeCell ref="V113:V114"/>
    <mergeCell ref="W5:X5"/>
    <mergeCell ref="W113:X114"/>
    <mergeCell ref="AC5:AD5"/>
    <mergeCell ref="AC113:AC114"/>
    <mergeCell ref="AD113:AD114"/>
    <mergeCell ref="AB113:AB114"/>
    <mergeCell ref="Y5:Z5"/>
    <mergeCell ref="Y113:Z114"/>
    <mergeCell ref="AA113:AA114"/>
  </mergeCells>
  <phoneticPr fontId="23" type="noConversion"/>
  <conditionalFormatting sqref="K8:AD111">
    <cfRule type="containsText" dxfId="4" priority="1" operator="containsText" text="NOK">
      <formula>NOT(ISERROR(SEARCH("NOK",K8)))</formula>
    </cfRule>
  </conditionalFormatting>
  <dataValidations count="2">
    <dataValidation type="list" allowBlank="1" showInputMessage="1" showErrorMessage="1" sqref="K115:AD115" xr:uid="{A9FE306C-3734-4229-95D2-0DEF803DC920}">
      <formula1>"C.C, F.M, G.P, I.A, K.T, L.M, L.CH, M.P, M.M"</formula1>
    </dataValidation>
    <dataValidation type="list" allowBlank="1" showInputMessage="1" showErrorMessage="1" sqref="K8:AD8 K14:AD14 K20:AD20" xr:uid="{A4B6C552-75AF-448A-978D-11A53A992360}">
      <formula1>"OK, NOK"</formula1>
    </dataValidation>
  </dataValidations>
  <pageMargins left="0.25" right="0.25" top="0.75" bottom="0.75" header="0.3" footer="0.3"/>
  <pageSetup paperSize="9" scale="59" fitToHeight="0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B926-7450-4222-A674-0035AC8DA0F0}">
  <sheetPr codeName="Hoja7">
    <pageSetUpPr fitToPage="1"/>
  </sheetPr>
  <dimension ref="A1:X211"/>
  <sheetViews>
    <sheetView showGridLines="0" view="pageBreakPreview" topLeftCell="A4" zoomScale="40" zoomScaleNormal="70" zoomScaleSheetLayoutView="40" workbookViewId="0">
      <pane xSplit="10" ySplit="4" topLeftCell="K8" activePane="bottomRight" state="frozen"/>
      <selection pane="topRight" activeCell="F61" sqref="F61"/>
      <selection pane="bottomLeft" activeCell="F61" sqref="F61"/>
      <selection pane="bottomRight" activeCell="F61" sqref="F61"/>
    </sheetView>
  </sheetViews>
  <sheetFormatPr baseColWidth="10" defaultColWidth="10.625" defaultRowHeight="16.149999999999999" customHeight="1" x14ac:dyDescent="0.45"/>
  <cols>
    <col min="1" max="1" width="0.125" style="237" customWidth="1"/>
    <col min="2" max="2" width="2.625" style="3" customWidth="1"/>
    <col min="3" max="3" width="6.5" style="3" customWidth="1"/>
    <col min="4" max="4" width="11.125" style="58" customWidth="1"/>
    <col min="5" max="5" width="10.625" style="58" customWidth="1"/>
    <col min="6" max="6" width="48.625" style="1" customWidth="1"/>
    <col min="7" max="7" width="10.625" style="1" customWidth="1"/>
    <col min="8" max="8" width="12.125" style="1" customWidth="1"/>
    <col min="9" max="9" width="11.125" style="2" customWidth="1"/>
    <col min="10" max="12" width="11.5" style="2" customWidth="1"/>
    <col min="13" max="16384" width="10.625" style="240"/>
  </cols>
  <sheetData>
    <row r="1" spans="1:24" s="237" customFormat="1" ht="52.5" customHeight="1" x14ac:dyDescent="0.4">
      <c r="B1" s="1039" t="s">
        <v>0</v>
      </c>
      <c r="C1" s="1039"/>
      <c r="D1" s="1039"/>
      <c r="E1" s="1039"/>
      <c r="F1" s="1039"/>
      <c r="G1" s="1039"/>
      <c r="H1" s="1039"/>
      <c r="I1" s="1039"/>
      <c r="J1" s="1039"/>
      <c r="K1" s="564"/>
      <c r="L1" s="564"/>
    </row>
    <row r="2" spans="1:24" s="237" customFormat="1" ht="33.75" customHeight="1" x14ac:dyDescent="0.4">
      <c r="B2" s="1040" t="s">
        <v>1</v>
      </c>
      <c r="C2" s="1041"/>
      <c r="D2" s="1041"/>
      <c r="E2" s="1041"/>
      <c r="F2" s="1041" t="s">
        <v>211</v>
      </c>
      <c r="G2" s="1041"/>
      <c r="H2" s="1041" t="s">
        <v>212</v>
      </c>
      <c r="I2" s="1041"/>
      <c r="J2" s="1041"/>
      <c r="K2" s="528"/>
      <c r="L2" s="528"/>
    </row>
    <row r="3" spans="1:24" s="237" customFormat="1" ht="46.5" x14ac:dyDescent="0.4">
      <c r="B3" s="1042" t="s">
        <v>124</v>
      </c>
      <c r="C3" s="1043"/>
      <c r="D3" s="1043"/>
      <c r="E3" s="1043"/>
      <c r="F3" s="1044" t="s">
        <v>338</v>
      </c>
      <c r="G3" s="1044"/>
      <c r="H3" s="1044"/>
      <c r="I3" s="1044"/>
      <c r="J3" s="258" t="s">
        <v>4</v>
      </c>
      <c r="K3" s="565"/>
      <c r="L3" s="565"/>
    </row>
    <row r="4" spans="1:24" ht="5.25" customHeight="1" x14ac:dyDescent="0.45">
      <c r="B4" s="191"/>
      <c r="C4" s="191"/>
      <c r="D4" s="191"/>
      <c r="E4" s="191"/>
      <c r="F4" s="195"/>
      <c r="G4" s="195"/>
      <c r="H4" s="196"/>
      <c r="I4" s="196"/>
      <c r="J4" s="196"/>
      <c r="K4" s="196"/>
      <c r="L4" s="196"/>
    </row>
    <row r="5" spans="1:24" ht="27.4" customHeight="1" x14ac:dyDescent="0.5">
      <c r="A5" s="251"/>
      <c r="B5" s="1046" t="s">
        <v>126</v>
      </c>
      <c r="C5" s="1046"/>
      <c r="D5" s="1046" t="s">
        <v>5</v>
      </c>
      <c r="E5" s="1046"/>
      <c r="F5" s="1051" t="s">
        <v>6</v>
      </c>
      <c r="G5" s="1054" t="s">
        <v>7</v>
      </c>
      <c r="H5" s="1057" t="s">
        <v>339</v>
      </c>
      <c r="I5" s="1054" t="s">
        <v>8</v>
      </c>
      <c r="J5" s="1058" t="s">
        <v>9</v>
      </c>
      <c r="K5" s="1440" t="s">
        <v>315</v>
      </c>
      <c r="L5" s="1442" t="s">
        <v>300</v>
      </c>
      <c r="M5" s="1438">
        <v>46140</v>
      </c>
      <c r="N5" s="1439"/>
      <c r="O5" s="1438">
        <v>46139</v>
      </c>
      <c r="P5" s="1439"/>
      <c r="Q5" s="1438">
        <v>46140</v>
      </c>
      <c r="R5" s="1439"/>
      <c r="S5" s="1438">
        <v>46141</v>
      </c>
      <c r="T5" s="1439"/>
      <c r="U5"/>
      <c r="V5"/>
      <c r="W5"/>
      <c r="X5"/>
    </row>
    <row r="6" spans="1:24" s="253" customFormat="1" ht="27.4" customHeight="1" x14ac:dyDescent="0.5">
      <c r="A6" s="252"/>
      <c r="B6" s="1048"/>
      <c r="C6" s="1048"/>
      <c r="D6" s="1048"/>
      <c r="E6" s="1048"/>
      <c r="F6" s="1052"/>
      <c r="G6" s="1055"/>
      <c r="H6" s="1056"/>
      <c r="I6" s="1055"/>
      <c r="J6" s="1059"/>
      <c r="K6" s="1440"/>
      <c r="L6" s="1442"/>
      <c r="M6" s="570" t="s">
        <v>315</v>
      </c>
      <c r="N6" s="572" t="s">
        <v>300</v>
      </c>
      <c r="O6" s="573" t="s">
        <v>315</v>
      </c>
      <c r="P6" s="571" t="s">
        <v>300</v>
      </c>
      <c r="Q6" s="571" t="s">
        <v>315</v>
      </c>
      <c r="R6" s="572" t="s">
        <v>300</v>
      </c>
      <c r="S6" s="571" t="s">
        <v>842</v>
      </c>
      <c r="T6" s="572" t="s">
        <v>843</v>
      </c>
    </row>
    <row r="7" spans="1:24" s="302" customFormat="1" ht="27.4" customHeight="1" x14ac:dyDescent="0.5">
      <c r="A7" s="299"/>
      <c r="B7" s="1050"/>
      <c r="C7" s="1050"/>
      <c r="D7" s="1050"/>
      <c r="E7" s="1050"/>
      <c r="F7" s="1053"/>
      <c r="G7" s="1056"/>
      <c r="H7" s="1056"/>
      <c r="I7" s="1056"/>
      <c r="J7" s="1060"/>
      <c r="K7" s="1441"/>
      <c r="L7" s="1443"/>
      <c r="M7" s="569"/>
      <c r="N7" s="568"/>
      <c r="O7" s="575"/>
      <c r="P7" s="576"/>
      <c r="Q7" s="574"/>
      <c r="R7" s="568"/>
      <c r="S7" s="574"/>
      <c r="T7" s="568"/>
    </row>
    <row r="8" spans="1:24" ht="27.4" customHeight="1" x14ac:dyDescent="0.45">
      <c r="B8" s="1331" t="s">
        <v>342</v>
      </c>
      <c r="C8" s="1115"/>
      <c r="D8" s="1071" t="s">
        <v>343</v>
      </c>
      <c r="E8" s="1072"/>
      <c r="F8" s="381" t="s">
        <v>344</v>
      </c>
      <c r="G8" s="382" t="s">
        <v>27</v>
      </c>
      <c r="H8" s="382" t="s">
        <v>345</v>
      </c>
      <c r="I8" s="382"/>
      <c r="J8" s="383" t="s">
        <v>346</v>
      </c>
      <c r="K8" s="673">
        <v>120</v>
      </c>
      <c r="L8" s="673">
        <v>165</v>
      </c>
      <c r="M8" s="384"/>
      <c r="N8" s="509"/>
      <c r="O8" s="384"/>
      <c r="P8" s="509"/>
      <c r="Q8" s="384"/>
      <c r="R8" s="509"/>
      <c r="S8" s="384"/>
      <c r="T8" s="509"/>
    </row>
    <row r="9" spans="1:24" ht="27.4" customHeight="1" x14ac:dyDescent="0.45">
      <c r="B9" s="1332"/>
      <c r="C9" s="1116"/>
      <c r="D9" s="1073"/>
      <c r="E9" s="1074"/>
      <c r="F9" s="97" t="s">
        <v>347</v>
      </c>
      <c r="G9" s="56" t="s">
        <v>48</v>
      </c>
      <c r="H9" s="56" t="s">
        <v>217</v>
      </c>
      <c r="I9" s="56"/>
      <c r="J9" s="98"/>
      <c r="K9" s="674">
        <v>582</v>
      </c>
      <c r="L9" s="674">
        <v>722</v>
      </c>
      <c r="M9" s="255"/>
      <c r="N9" s="246"/>
      <c r="O9" s="255"/>
      <c r="P9" s="246"/>
      <c r="Q9" s="255"/>
      <c r="R9" s="246"/>
      <c r="S9" s="255"/>
      <c r="T9" s="246"/>
    </row>
    <row r="10" spans="1:24" ht="27.4" customHeight="1" x14ac:dyDescent="0.45">
      <c r="B10" s="1332"/>
      <c r="C10" s="1116"/>
      <c r="D10" s="1073"/>
      <c r="E10" s="1074"/>
      <c r="F10" s="87" t="s">
        <v>45</v>
      </c>
      <c r="G10" s="83" t="s">
        <v>348</v>
      </c>
      <c r="H10" s="83" t="s">
        <v>217</v>
      </c>
      <c r="I10" s="83"/>
      <c r="J10" s="88"/>
      <c r="K10" s="675">
        <v>1.44</v>
      </c>
      <c r="L10" s="675">
        <v>9.44</v>
      </c>
      <c r="M10" s="255"/>
      <c r="N10" s="246"/>
      <c r="O10" s="255"/>
      <c r="P10" s="246"/>
      <c r="Q10" s="255"/>
      <c r="R10" s="246"/>
      <c r="S10" s="255"/>
      <c r="T10" s="246"/>
    </row>
    <row r="11" spans="1:24" ht="27.4" customHeight="1" x14ac:dyDescent="0.45">
      <c r="B11" s="1332"/>
      <c r="C11" s="1116"/>
      <c r="D11" s="1073"/>
      <c r="E11" s="1074"/>
      <c r="F11" s="97" t="s">
        <v>349</v>
      </c>
      <c r="G11" s="56" t="s">
        <v>48</v>
      </c>
      <c r="H11" s="56" t="s">
        <v>350</v>
      </c>
      <c r="I11" s="56"/>
      <c r="J11" s="98"/>
      <c r="K11" s="674">
        <v>400</v>
      </c>
      <c r="L11" s="674">
        <v>380</v>
      </c>
      <c r="M11" s="255"/>
      <c r="N11" s="246"/>
      <c r="O11" s="255"/>
      <c r="P11" s="246"/>
      <c r="Q11" s="255"/>
      <c r="R11" s="246"/>
      <c r="S11" s="255"/>
      <c r="T11" s="246"/>
    </row>
    <row r="12" spans="1:24" ht="27.4" customHeight="1" x14ac:dyDescent="0.45">
      <c r="B12" s="1332"/>
      <c r="C12" s="1116"/>
      <c r="D12" s="1075"/>
      <c r="E12" s="1076"/>
      <c r="F12" s="339" t="s">
        <v>351</v>
      </c>
      <c r="G12" s="111" t="s">
        <v>48</v>
      </c>
      <c r="H12" s="111" t="s">
        <v>350</v>
      </c>
      <c r="I12" s="111"/>
      <c r="J12" s="112"/>
      <c r="K12" s="676">
        <v>400</v>
      </c>
      <c r="L12" s="676">
        <v>380</v>
      </c>
      <c r="M12" s="308"/>
      <c r="N12" s="261"/>
      <c r="O12" s="308"/>
      <c r="P12" s="261"/>
      <c r="Q12" s="308"/>
      <c r="R12" s="261"/>
      <c r="S12" s="308"/>
      <c r="T12" s="261"/>
    </row>
    <row r="13" spans="1:24" ht="27.4" customHeight="1" x14ac:dyDescent="0.45">
      <c r="B13" s="1332"/>
      <c r="C13" s="1116"/>
      <c r="D13" s="1077" t="s">
        <v>352</v>
      </c>
      <c r="E13" s="1078"/>
      <c r="F13" s="354" t="s">
        <v>43</v>
      </c>
      <c r="G13" s="355" t="s">
        <v>12</v>
      </c>
      <c r="H13" s="83" t="s">
        <v>217</v>
      </c>
      <c r="I13" s="355"/>
      <c r="J13" s="356"/>
      <c r="K13" s="677">
        <v>53.9</v>
      </c>
      <c r="L13" s="677">
        <v>100.12</v>
      </c>
      <c r="M13" s="357"/>
      <c r="N13" s="495"/>
      <c r="O13" s="357"/>
      <c r="P13" s="495"/>
      <c r="Q13" s="357"/>
      <c r="R13" s="495"/>
      <c r="S13" s="357"/>
      <c r="T13" s="495"/>
    </row>
    <row r="14" spans="1:24" ht="27.4" customHeight="1" x14ac:dyDescent="0.45">
      <c r="B14" s="1332"/>
      <c r="C14" s="1116"/>
      <c r="D14" s="1079"/>
      <c r="E14" s="1080"/>
      <c r="F14" s="87" t="s">
        <v>45</v>
      </c>
      <c r="G14" s="83" t="s">
        <v>348</v>
      </c>
      <c r="H14" s="83" t="s">
        <v>217</v>
      </c>
      <c r="I14" s="83"/>
      <c r="J14" s="88"/>
      <c r="K14" s="675">
        <v>2.69</v>
      </c>
      <c r="L14" s="675">
        <v>10.01</v>
      </c>
      <c r="M14" s="255"/>
      <c r="N14" s="247"/>
      <c r="O14" s="255"/>
      <c r="P14" s="247"/>
      <c r="Q14" s="255"/>
      <c r="R14" s="247"/>
      <c r="S14" s="255"/>
      <c r="T14" s="247"/>
    </row>
    <row r="15" spans="1:24" ht="27.4" customHeight="1" x14ac:dyDescent="0.45">
      <c r="B15" s="1332"/>
      <c r="C15" s="1116"/>
      <c r="D15" s="1079"/>
      <c r="E15" s="1080"/>
      <c r="F15" s="97" t="s">
        <v>353</v>
      </c>
      <c r="G15" s="56" t="s">
        <v>354</v>
      </c>
      <c r="H15" s="56" t="s">
        <v>217</v>
      </c>
      <c r="I15" s="56"/>
      <c r="J15" s="98"/>
      <c r="K15" s="674">
        <v>13.25</v>
      </c>
      <c r="L15" s="674">
        <v>13.23</v>
      </c>
      <c r="M15" s="255"/>
      <c r="N15" s="247"/>
      <c r="O15" s="255"/>
      <c r="P15" s="247"/>
      <c r="Q15" s="255"/>
      <c r="R15" s="247"/>
      <c r="S15" s="255"/>
      <c r="T15" s="247"/>
    </row>
    <row r="16" spans="1:24" ht="27.4" customHeight="1" x14ac:dyDescent="0.45">
      <c r="B16" s="1332"/>
      <c r="C16" s="1116"/>
      <c r="D16" s="1079"/>
      <c r="E16" s="1080"/>
      <c r="F16" s="101" t="s">
        <v>259</v>
      </c>
      <c r="G16" s="62" t="s">
        <v>48</v>
      </c>
      <c r="H16" s="62"/>
      <c r="I16" s="62"/>
      <c r="J16" s="102"/>
      <c r="K16" s="678">
        <v>2439</v>
      </c>
      <c r="L16" s="678">
        <v>43.66</v>
      </c>
      <c r="M16" s="255"/>
      <c r="N16" s="247"/>
      <c r="O16" s="255"/>
      <c r="P16" s="247"/>
      <c r="Q16" s="255"/>
      <c r="R16" s="247"/>
      <c r="S16" s="255"/>
      <c r="T16" s="247"/>
    </row>
    <row r="17" spans="1:20" s="256" customFormat="1" ht="27.4" customHeight="1" x14ac:dyDescent="0.5">
      <c r="A17" s="254"/>
      <c r="B17" s="1332"/>
      <c r="C17" s="1116"/>
      <c r="D17" s="1081"/>
      <c r="E17" s="1082"/>
      <c r="F17" s="359" t="s">
        <v>355</v>
      </c>
      <c r="G17" s="360"/>
      <c r="H17" s="360"/>
      <c r="I17" s="360"/>
      <c r="J17" s="361" t="s">
        <v>181</v>
      </c>
      <c r="K17" s="679" t="s">
        <v>356</v>
      </c>
      <c r="L17" s="679" t="s">
        <v>356</v>
      </c>
      <c r="M17" s="362"/>
      <c r="N17" s="363"/>
      <c r="O17" s="362"/>
      <c r="P17" s="363"/>
      <c r="Q17" s="362"/>
      <c r="R17" s="363"/>
      <c r="S17" s="362"/>
      <c r="T17" s="363"/>
    </row>
    <row r="18" spans="1:20" ht="27.4" customHeight="1" x14ac:dyDescent="0.45">
      <c r="B18" s="1332"/>
      <c r="C18" s="1116"/>
      <c r="D18" s="1077" t="s">
        <v>358</v>
      </c>
      <c r="E18" s="1078"/>
      <c r="F18" s="99" t="s">
        <v>359</v>
      </c>
      <c r="G18" s="57" t="s">
        <v>77</v>
      </c>
      <c r="H18" s="57"/>
      <c r="I18" s="57"/>
      <c r="J18" s="100" t="s">
        <v>360</v>
      </c>
      <c r="K18" s="680">
        <v>52.37</v>
      </c>
      <c r="L18" s="680">
        <v>71.41</v>
      </c>
      <c r="M18" s="305"/>
      <c r="N18" s="333"/>
      <c r="O18" s="305"/>
      <c r="P18" s="333"/>
      <c r="Q18" s="305"/>
      <c r="R18" s="333"/>
      <c r="S18" s="305"/>
      <c r="T18" s="333"/>
    </row>
    <row r="19" spans="1:20" ht="27.4" customHeight="1" x14ac:dyDescent="0.45">
      <c r="B19" s="1332"/>
      <c r="C19" s="1116"/>
      <c r="D19" s="1079"/>
      <c r="E19" s="1080"/>
      <c r="F19" s="87" t="s">
        <v>361</v>
      </c>
      <c r="G19" s="83" t="s">
        <v>21</v>
      </c>
      <c r="H19" s="83"/>
      <c r="I19" s="83"/>
      <c r="J19" s="88" t="s">
        <v>645</v>
      </c>
      <c r="K19" s="675" t="s">
        <v>48</v>
      </c>
      <c r="L19" s="675" t="s">
        <v>48</v>
      </c>
      <c r="M19" s="255"/>
      <c r="N19" s="247"/>
      <c r="O19" s="255"/>
      <c r="P19" s="247"/>
      <c r="Q19" s="255"/>
      <c r="R19" s="247"/>
      <c r="S19" s="255"/>
      <c r="T19" s="247"/>
    </row>
    <row r="20" spans="1:20" ht="27.4" customHeight="1" x14ac:dyDescent="0.45">
      <c r="B20" s="1332"/>
      <c r="C20" s="1116"/>
      <c r="D20" s="1081"/>
      <c r="E20" s="1082"/>
      <c r="F20" s="101" t="s">
        <v>366</v>
      </c>
      <c r="G20" s="62" t="s">
        <v>77</v>
      </c>
      <c r="H20" s="62"/>
      <c r="I20" s="62"/>
      <c r="J20" s="102" t="s">
        <v>360</v>
      </c>
      <c r="K20" s="678">
        <v>91.39</v>
      </c>
      <c r="L20" s="678">
        <v>98.37</v>
      </c>
      <c r="M20" s="308"/>
      <c r="N20" s="334"/>
      <c r="O20" s="308"/>
      <c r="P20" s="334"/>
      <c r="Q20" s="308"/>
      <c r="R20" s="334"/>
      <c r="S20" s="308"/>
      <c r="T20" s="334"/>
    </row>
    <row r="21" spans="1:20" ht="27.4" customHeight="1" x14ac:dyDescent="0.45">
      <c r="B21" s="1332"/>
      <c r="C21" s="1116"/>
      <c r="D21" s="1077" t="s">
        <v>367</v>
      </c>
      <c r="E21" s="1078"/>
      <c r="F21" s="343" t="s">
        <v>368</v>
      </c>
      <c r="G21" s="344" t="s">
        <v>21</v>
      </c>
      <c r="H21" s="344"/>
      <c r="I21" s="344"/>
      <c r="J21" s="345" t="s">
        <v>276</v>
      </c>
      <c r="K21" s="681" t="s">
        <v>200</v>
      </c>
      <c r="L21" s="681" t="s">
        <v>200</v>
      </c>
      <c r="M21" s="357"/>
      <c r="N21" s="358"/>
      <c r="O21" s="357"/>
      <c r="P21" s="358"/>
      <c r="Q21" s="357"/>
      <c r="R21" s="358"/>
      <c r="S21" s="357"/>
      <c r="T21" s="358"/>
    </row>
    <row r="22" spans="1:20" ht="17.649999999999999" customHeight="1" x14ac:dyDescent="0.45">
      <c r="B22" s="1332"/>
      <c r="C22" s="1116"/>
      <c r="D22" s="1079"/>
      <c r="E22" s="1080"/>
      <c r="F22" s="97" t="s">
        <v>369</v>
      </c>
      <c r="G22" s="56" t="s">
        <v>21</v>
      </c>
      <c r="H22" s="56"/>
      <c r="I22" s="56"/>
      <c r="J22" s="98" t="s">
        <v>276</v>
      </c>
      <c r="K22" s="674" t="s">
        <v>200</v>
      </c>
      <c r="L22" s="674" t="s">
        <v>200</v>
      </c>
      <c r="M22" s="255"/>
      <c r="N22" s="247"/>
      <c r="O22" s="255"/>
      <c r="P22" s="247"/>
      <c r="Q22" s="255"/>
      <c r="R22" s="247"/>
      <c r="S22" s="255"/>
      <c r="T22" s="247"/>
    </row>
    <row r="23" spans="1:20" ht="26.65" customHeight="1" x14ac:dyDescent="0.45">
      <c r="B23" s="1332"/>
      <c r="C23" s="1116"/>
      <c r="D23" s="1079"/>
      <c r="E23" s="1080"/>
      <c r="F23" s="87" t="s">
        <v>371</v>
      </c>
      <c r="G23" s="83"/>
      <c r="H23" s="83"/>
      <c r="I23" s="83"/>
      <c r="J23" s="88" t="s">
        <v>276</v>
      </c>
      <c r="K23" s="675" t="s">
        <v>200</v>
      </c>
      <c r="L23" s="675" t="s">
        <v>200</v>
      </c>
      <c r="M23" s="255"/>
      <c r="N23" s="247"/>
      <c r="O23" s="255"/>
      <c r="P23" s="247"/>
      <c r="Q23" s="255"/>
      <c r="R23" s="247"/>
      <c r="S23" s="255"/>
      <c r="T23" s="247"/>
    </row>
    <row r="24" spans="1:20" ht="27.4" customHeight="1" x14ac:dyDescent="0.45">
      <c r="B24" s="1332"/>
      <c r="C24" s="1116"/>
      <c r="D24" s="1081"/>
      <c r="E24" s="1082"/>
      <c r="F24" s="348" t="s">
        <v>372</v>
      </c>
      <c r="G24" s="349"/>
      <c r="H24" s="349"/>
      <c r="I24" s="349"/>
      <c r="J24" s="350" t="s">
        <v>276</v>
      </c>
      <c r="K24" s="682" t="s">
        <v>200</v>
      </c>
      <c r="L24" s="682" t="s">
        <v>200</v>
      </c>
      <c r="M24" s="362"/>
      <c r="N24" s="363"/>
      <c r="O24" s="362"/>
      <c r="P24" s="363"/>
      <c r="Q24" s="362"/>
      <c r="R24" s="363"/>
      <c r="S24" s="362"/>
      <c r="T24" s="363"/>
    </row>
    <row r="25" spans="1:20" ht="27.4" customHeight="1" x14ac:dyDescent="0.45">
      <c r="B25" s="1332"/>
      <c r="C25" s="1116"/>
      <c r="D25" s="1077" t="s">
        <v>373</v>
      </c>
      <c r="E25" s="1078"/>
      <c r="F25" s="103" t="s">
        <v>374</v>
      </c>
      <c r="G25" s="61" t="s">
        <v>375</v>
      </c>
      <c r="H25" s="61" t="s">
        <v>217</v>
      </c>
      <c r="I25" s="61" t="s">
        <v>376</v>
      </c>
      <c r="J25" s="248"/>
      <c r="K25" s="683">
        <v>47</v>
      </c>
      <c r="L25" s="683">
        <v>131</v>
      </c>
      <c r="M25" s="305"/>
      <c r="N25" s="260"/>
      <c r="O25" s="305"/>
      <c r="P25" s="260"/>
      <c r="Q25" s="305"/>
      <c r="R25" s="260"/>
      <c r="S25" s="305"/>
      <c r="T25" s="260"/>
    </row>
    <row r="26" spans="1:20" ht="26.65" customHeight="1" x14ac:dyDescent="0.45">
      <c r="B26" s="1332"/>
      <c r="C26" s="1116"/>
      <c r="D26" s="1079"/>
      <c r="E26" s="1080"/>
      <c r="F26" s="97" t="s">
        <v>377</v>
      </c>
      <c r="G26" s="56" t="s">
        <v>375</v>
      </c>
      <c r="H26" s="56" t="s">
        <v>217</v>
      </c>
      <c r="I26" s="56" t="s">
        <v>376</v>
      </c>
      <c r="J26" s="249"/>
      <c r="K26" s="684">
        <v>72</v>
      </c>
      <c r="L26" s="684">
        <v>233</v>
      </c>
      <c r="M26" s="255"/>
      <c r="N26" s="246"/>
      <c r="O26" s="255"/>
      <c r="P26" s="246"/>
      <c r="Q26" s="255"/>
      <c r="R26" s="246"/>
      <c r="S26" s="255"/>
      <c r="T26" s="246"/>
    </row>
    <row r="27" spans="1:20" ht="26.65" customHeight="1" x14ac:dyDescent="0.45">
      <c r="B27" s="1332"/>
      <c r="C27" s="1116"/>
      <c r="D27" s="1079"/>
      <c r="E27" s="1080"/>
      <c r="F27" s="87" t="s">
        <v>378</v>
      </c>
      <c r="G27" s="83" t="s">
        <v>375</v>
      </c>
      <c r="H27" s="83" t="s">
        <v>217</v>
      </c>
      <c r="I27" s="83" t="s">
        <v>376</v>
      </c>
      <c r="J27" s="250"/>
      <c r="K27" s="685">
        <v>181</v>
      </c>
      <c r="L27" s="685">
        <v>164</v>
      </c>
      <c r="M27" s="255"/>
      <c r="N27" s="246"/>
      <c r="O27" s="255"/>
      <c r="P27" s="246"/>
      <c r="Q27" s="255"/>
      <c r="R27" s="246"/>
      <c r="S27" s="255"/>
      <c r="T27" s="246"/>
    </row>
    <row r="28" spans="1:20" ht="26.65" customHeight="1" x14ac:dyDescent="0.45">
      <c r="B28" s="1332"/>
      <c r="C28" s="1116"/>
      <c r="D28" s="1079"/>
      <c r="E28" s="1080"/>
      <c r="F28" s="97" t="s">
        <v>379</v>
      </c>
      <c r="G28" s="56" t="s">
        <v>375</v>
      </c>
      <c r="H28" s="56" t="s">
        <v>217</v>
      </c>
      <c r="I28" s="56" t="s">
        <v>376</v>
      </c>
      <c r="J28" s="249"/>
      <c r="K28" s="684">
        <v>160</v>
      </c>
      <c r="L28" s="684">
        <v>223</v>
      </c>
      <c r="M28" s="255"/>
      <c r="N28" s="246"/>
      <c r="O28" s="255"/>
      <c r="P28" s="246"/>
      <c r="Q28" s="255"/>
      <c r="R28" s="246"/>
      <c r="S28" s="255"/>
      <c r="T28" s="246"/>
    </row>
    <row r="29" spans="1:20" ht="26.65" customHeight="1" x14ac:dyDescent="0.45">
      <c r="B29" s="1332"/>
      <c r="C29" s="1116"/>
      <c r="D29" s="1079"/>
      <c r="E29" s="1080"/>
      <c r="F29" s="87" t="s">
        <v>380</v>
      </c>
      <c r="G29" s="83" t="s">
        <v>375</v>
      </c>
      <c r="H29" s="83" t="s">
        <v>217</v>
      </c>
      <c r="I29" s="83" t="s">
        <v>376</v>
      </c>
      <c r="J29" s="250"/>
      <c r="K29" s="685">
        <v>52</v>
      </c>
      <c r="L29" s="685">
        <v>85</v>
      </c>
      <c r="M29" s="255"/>
      <c r="N29" s="246"/>
      <c r="O29" s="255"/>
      <c r="P29" s="246"/>
      <c r="Q29" s="255"/>
      <c r="R29" s="246"/>
      <c r="S29" s="255"/>
      <c r="T29" s="246"/>
    </row>
    <row r="30" spans="1:20" ht="26.65" customHeight="1" x14ac:dyDescent="0.45">
      <c r="B30" s="1332"/>
      <c r="C30" s="1116"/>
      <c r="D30" s="1079"/>
      <c r="E30" s="1080"/>
      <c r="F30" s="97" t="s">
        <v>381</v>
      </c>
      <c r="G30" s="56" t="s">
        <v>375</v>
      </c>
      <c r="H30" s="56" t="s">
        <v>217</v>
      </c>
      <c r="I30" s="56" t="s">
        <v>376</v>
      </c>
      <c r="J30" s="249"/>
      <c r="K30" s="684">
        <v>44</v>
      </c>
      <c r="L30" s="684">
        <v>74</v>
      </c>
      <c r="M30" s="255"/>
      <c r="N30" s="246"/>
      <c r="O30" s="255"/>
      <c r="P30" s="246"/>
      <c r="Q30" s="255"/>
      <c r="R30" s="246"/>
      <c r="S30" s="255"/>
      <c r="T30" s="246"/>
    </row>
    <row r="31" spans="1:20" ht="26.65" customHeight="1" x14ac:dyDescent="0.45">
      <c r="B31" s="1332"/>
      <c r="C31" s="1116"/>
      <c r="D31" s="1079"/>
      <c r="E31" s="1080"/>
      <c r="F31" s="87" t="s">
        <v>382</v>
      </c>
      <c r="G31" s="83" t="s">
        <v>375</v>
      </c>
      <c r="H31" s="83" t="s">
        <v>217</v>
      </c>
      <c r="I31" s="83" t="s">
        <v>383</v>
      </c>
      <c r="J31" s="250"/>
      <c r="K31" s="685">
        <v>10</v>
      </c>
      <c r="L31" s="685">
        <v>13</v>
      </c>
      <c r="M31" s="255"/>
      <c r="N31" s="246"/>
      <c r="O31" s="255"/>
      <c r="P31" s="246"/>
      <c r="Q31" s="255"/>
      <c r="R31" s="246"/>
      <c r="S31" s="255"/>
      <c r="T31" s="246"/>
    </row>
    <row r="32" spans="1:20" ht="26.65" customHeight="1" x14ac:dyDescent="0.45">
      <c r="B32" s="1332"/>
      <c r="C32" s="1116"/>
      <c r="D32" s="1079"/>
      <c r="E32" s="1080"/>
      <c r="F32" s="97" t="s">
        <v>384</v>
      </c>
      <c r="G32" s="56" t="s">
        <v>375</v>
      </c>
      <c r="H32" s="56" t="s">
        <v>217</v>
      </c>
      <c r="I32" s="56" t="s">
        <v>383</v>
      </c>
      <c r="J32" s="249"/>
      <c r="K32" s="684">
        <v>11</v>
      </c>
      <c r="L32" s="684">
        <v>9</v>
      </c>
      <c r="M32" s="255"/>
      <c r="N32" s="246"/>
      <c r="O32" s="255"/>
      <c r="P32" s="246"/>
      <c r="Q32" s="255"/>
      <c r="R32" s="246"/>
      <c r="S32" s="255"/>
      <c r="T32" s="246"/>
    </row>
    <row r="33" spans="1:20" ht="26.65" customHeight="1" x14ac:dyDescent="0.45">
      <c r="B33" s="1332"/>
      <c r="C33" s="1116"/>
      <c r="D33" s="1079"/>
      <c r="E33" s="1080"/>
      <c r="F33" s="87" t="s">
        <v>385</v>
      </c>
      <c r="G33" s="83" t="s">
        <v>375</v>
      </c>
      <c r="H33" s="83" t="s">
        <v>217</v>
      </c>
      <c r="I33" s="83" t="s">
        <v>386</v>
      </c>
      <c r="J33" s="250"/>
      <c r="K33" s="685">
        <v>16</v>
      </c>
      <c r="L33" s="685">
        <v>6</v>
      </c>
      <c r="M33" s="255"/>
      <c r="N33" s="246"/>
      <c r="O33" s="255"/>
      <c r="P33" s="246"/>
      <c r="Q33" s="255"/>
      <c r="R33" s="246"/>
      <c r="S33" s="255"/>
      <c r="T33" s="246"/>
    </row>
    <row r="34" spans="1:20" ht="26.65" customHeight="1" x14ac:dyDescent="0.45">
      <c r="B34" s="1332"/>
      <c r="C34" s="1116"/>
      <c r="D34" s="1079"/>
      <c r="E34" s="1080"/>
      <c r="F34" s="97" t="s">
        <v>387</v>
      </c>
      <c r="G34" s="56" t="s">
        <v>375</v>
      </c>
      <c r="H34" s="56" t="s">
        <v>217</v>
      </c>
      <c r="I34" s="56" t="s">
        <v>383</v>
      </c>
      <c r="J34" s="249"/>
      <c r="K34" s="684">
        <v>1</v>
      </c>
      <c r="L34" s="684">
        <v>2</v>
      </c>
      <c r="M34" s="255"/>
      <c r="N34" s="246"/>
      <c r="O34" s="255"/>
      <c r="P34" s="246"/>
      <c r="Q34" s="255"/>
      <c r="R34" s="246"/>
      <c r="S34" s="255"/>
      <c r="T34" s="246"/>
    </row>
    <row r="35" spans="1:20" ht="26.65" customHeight="1" x14ac:dyDescent="0.45">
      <c r="B35" s="1332"/>
      <c r="C35" s="1116"/>
      <c r="D35" s="1079"/>
      <c r="E35" s="1080"/>
      <c r="F35" s="87" t="s">
        <v>388</v>
      </c>
      <c r="G35" s="83" t="s">
        <v>375</v>
      </c>
      <c r="H35" s="83" t="s">
        <v>217</v>
      </c>
      <c r="I35" s="83" t="s">
        <v>383</v>
      </c>
      <c r="J35" s="250"/>
      <c r="K35" s="685">
        <v>1</v>
      </c>
      <c r="L35" s="685">
        <v>2</v>
      </c>
      <c r="M35" s="255"/>
      <c r="N35" s="246"/>
      <c r="O35" s="255"/>
      <c r="P35" s="246"/>
      <c r="Q35" s="255"/>
      <c r="R35" s="246"/>
      <c r="S35" s="255"/>
      <c r="T35" s="246"/>
    </row>
    <row r="36" spans="1:20" ht="26.65" customHeight="1" x14ac:dyDescent="0.45">
      <c r="B36" s="1332"/>
      <c r="C36" s="1116"/>
      <c r="D36" s="1079"/>
      <c r="E36" s="1080"/>
      <c r="F36" s="97" t="s">
        <v>389</v>
      </c>
      <c r="G36" s="56" t="s">
        <v>375</v>
      </c>
      <c r="H36" s="56" t="s">
        <v>217</v>
      </c>
      <c r="I36" s="56" t="s">
        <v>390</v>
      </c>
      <c r="J36" s="249"/>
      <c r="K36" s="684">
        <v>8</v>
      </c>
      <c r="L36" s="684">
        <v>10</v>
      </c>
      <c r="M36" s="255"/>
      <c r="N36" s="246"/>
      <c r="O36" s="255"/>
      <c r="P36" s="246"/>
      <c r="Q36" s="255"/>
      <c r="R36" s="246"/>
      <c r="S36" s="255"/>
      <c r="T36" s="246"/>
    </row>
    <row r="37" spans="1:20" ht="26.65" customHeight="1" x14ac:dyDescent="0.45">
      <c r="B37" s="1332"/>
      <c r="C37" s="1116"/>
      <c r="D37" s="1079"/>
      <c r="E37" s="1080"/>
      <c r="F37" s="87" t="s">
        <v>391</v>
      </c>
      <c r="G37" s="83" t="s">
        <v>375</v>
      </c>
      <c r="H37" s="83" t="s">
        <v>217</v>
      </c>
      <c r="I37" s="83" t="s">
        <v>390</v>
      </c>
      <c r="J37" s="250"/>
      <c r="K37" s="685">
        <v>3</v>
      </c>
      <c r="L37" s="685">
        <v>3</v>
      </c>
      <c r="M37" s="255"/>
      <c r="N37" s="246"/>
      <c r="O37" s="255"/>
      <c r="P37" s="246"/>
      <c r="Q37" s="255"/>
      <c r="R37" s="246"/>
      <c r="S37" s="255"/>
      <c r="T37" s="246"/>
    </row>
    <row r="38" spans="1:20" ht="26.65" customHeight="1" x14ac:dyDescent="0.45">
      <c r="B38" s="1332"/>
      <c r="C38" s="1116"/>
      <c r="D38" s="1079"/>
      <c r="E38" s="1080"/>
      <c r="F38" s="97" t="s">
        <v>392</v>
      </c>
      <c r="G38" s="56" t="s">
        <v>375</v>
      </c>
      <c r="H38" s="56" t="s">
        <v>217</v>
      </c>
      <c r="I38" s="56" t="s">
        <v>393</v>
      </c>
      <c r="J38" s="249"/>
      <c r="K38" s="684">
        <v>10</v>
      </c>
      <c r="L38" s="684">
        <v>9</v>
      </c>
      <c r="M38" s="255"/>
      <c r="N38" s="246"/>
      <c r="O38" s="255"/>
      <c r="P38" s="246"/>
      <c r="Q38" s="255"/>
      <c r="R38" s="246"/>
      <c r="S38" s="255"/>
      <c r="T38" s="246"/>
    </row>
    <row r="39" spans="1:20" ht="26.65" customHeight="1" x14ac:dyDescent="0.45">
      <c r="B39" s="1332"/>
      <c r="C39" s="1116"/>
      <c r="D39" s="1079"/>
      <c r="E39" s="1080"/>
      <c r="F39" s="87" t="s">
        <v>394</v>
      </c>
      <c r="G39" s="83" t="s">
        <v>375</v>
      </c>
      <c r="H39" s="83" t="s">
        <v>217</v>
      </c>
      <c r="I39" s="83" t="s">
        <v>393</v>
      </c>
      <c r="J39" s="250"/>
      <c r="K39" s="685">
        <v>4</v>
      </c>
      <c r="L39" s="685">
        <v>4</v>
      </c>
      <c r="M39" s="255"/>
      <c r="N39" s="246"/>
      <c r="O39" s="255"/>
      <c r="P39" s="246"/>
      <c r="Q39" s="255"/>
      <c r="R39" s="246"/>
      <c r="S39" s="255"/>
      <c r="T39" s="246"/>
    </row>
    <row r="40" spans="1:20" ht="26.65" customHeight="1" x14ac:dyDescent="0.45">
      <c r="B40" s="1332"/>
      <c r="C40" s="1116"/>
      <c r="D40" s="1079"/>
      <c r="E40" s="1080"/>
      <c r="F40" s="97" t="s">
        <v>395</v>
      </c>
      <c r="G40" s="56" t="s">
        <v>375</v>
      </c>
      <c r="H40" s="56" t="s">
        <v>217</v>
      </c>
      <c r="I40" s="56" t="s">
        <v>393</v>
      </c>
      <c r="J40" s="249"/>
      <c r="K40" s="684">
        <v>9</v>
      </c>
      <c r="L40" s="684">
        <v>6</v>
      </c>
      <c r="M40" s="255"/>
      <c r="N40" s="246"/>
      <c r="O40" s="255"/>
      <c r="P40" s="246"/>
      <c r="Q40" s="255"/>
      <c r="R40" s="246"/>
      <c r="S40" s="255"/>
      <c r="T40" s="246"/>
    </row>
    <row r="41" spans="1:20" ht="26.65" customHeight="1" x14ac:dyDescent="0.45">
      <c r="B41" s="1332"/>
      <c r="C41" s="1116"/>
      <c r="D41" s="1079"/>
      <c r="E41" s="1080"/>
      <c r="F41" s="87" t="s">
        <v>396</v>
      </c>
      <c r="G41" s="83" t="s">
        <v>375</v>
      </c>
      <c r="H41" s="83" t="s">
        <v>217</v>
      </c>
      <c r="I41" s="83" t="s">
        <v>393</v>
      </c>
      <c r="J41" s="250"/>
      <c r="K41" s="685">
        <v>3</v>
      </c>
      <c r="L41" s="685">
        <v>3</v>
      </c>
      <c r="M41" s="255"/>
      <c r="N41" s="246"/>
      <c r="O41" s="255"/>
      <c r="P41" s="246"/>
      <c r="Q41" s="255"/>
      <c r="R41" s="246"/>
      <c r="S41" s="255"/>
      <c r="T41" s="246"/>
    </row>
    <row r="42" spans="1:20" ht="26.65" customHeight="1" x14ac:dyDescent="0.45">
      <c r="B42" s="1332"/>
      <c r="C42" s="1116"/>
      <c r="D42" s="1079"/>
      <c r="E42" s="1080"/>
      <c r="F42" s="97" t="s">
        <v>387</v>
      </c>
      <c r="G42" s="56" t="s">
        <v>375</v>
      </c>
      <c r="H42" s="56" t="s">
        <v>217</v>
      </c>
      <c r="I42" s="56" t="s">
        <v>383</v>
      </c>
      <c r="J42" s="249"/>
      <c r="K42" s="684">
        <v>7</v>
      </c>
      <c r="L42" s="684">
        <v>8</v>
      </c>
      <c r="M42" s="255"/>
      <c r="N42" s="246"/>
      <c r="O42" s="255"/>
      <c r="P42" s="246"/>
      <c r="Q42" s="255"/>
      <c r="R42" s="246"/>
      <c r="S42" s="255"/>
      <c r="T42" s="246"/>
    </row>
    <row r="43" spans="1:20" ht="26.65" customHeight="1" x14ac:dyDescent="0.45">
      <c r="B43" s="1332"/>
      <c r="C43" s="1116"/>
      <c r="D43" s="1079"/>
      <c r="E43" s="1080"/>
      <c r="F43" s="87" t="s">
        <v>388</v>
      </c>
      <c r="G43" s="83" t="s">
        <v>375</v>
      </c>
      <c r="H43" s="83" t="s">
        <v>217</v>
      </c>
      <c r="I43" s="83" t="s">
        <v>383</v>
      </c>
      <c r="J43" s="250"/>
      <c r="K43" s="685">
        <v>7</v>
      </c>
      <c r="L43" s="685">
        <v>9</v>
      </c>
      <c r="M43" s="255"/>
      <c r="N43" s="246"/>
      <c r="O43" s="255"/>
      <c r="P43" s="246"/>
      <c r="Q43" s="255"/>
      <c r="R43" s="246"/>
      <c r="S43" s="255"/>
      <c r="T43" s="246"/>
    </row>
    <row r="44" spans="1:20" s="256" customFormat="1" ht="27.4" customHeight="1" x14ac:dyDescent="0.5">
      <c r="A44" s="254"/>
      <c r="B44" s="1332"/>
      <c r="C44" s="1116"/>
      <c r="D44" s="1081"/>
      <c r="E44" s="1082"/>
      <c r="F44" s="101" t="s">
        <v>397</v>
      </c>
      <c r="G44" s="62" t="s">
        <v>398</v>
      </c>
      <c r="H44" s="62" t="s">
        <v>217</v>
      </c>
      <c r="I44" s="62"/>
      <c r="J44" s="102"/>
      <c r="K44" s="678">
        <v>450.4</v>
      </c>
      <c r="L44" s="678">
        <v>449.8</v>
      </c>
      <c r="M44" s="308"/>
      <c r="N44" s="261"/>
      <c r="O44" s="308"/>
      <c r="P44" s="261"/>
      <c r="Q44" s="308"/>
      <c r="R44" s="261"/>
      <c r="S44" s="308"/>
      <c r="T44" s="261"/>
    </row>
    <row r="45" spans="1:20" s="256" customFormat="1" ht="27.4" customHeight="1" x14ac:dyDescent="0.5">
      <c r="A45" s="254"/>
      <c r="B45" s="1332"/>
      <c r="C45" s="1116"/>
      <c r="D45" s="1112" t="s">
        <v>399</v>
      </c>
      <c r="E45" s="1113"/>
      <c r="F45" s="343" t="s">
        <v>400</v>
      </c>
      <c r="G45" s="344" t="s">
        <v>72</v>
      </c>
      <c r="H45" s="344" t="s">
        <v>350</v>
      </c>
      <c r="I45" s="344"/>
      <c r="J45" s="345"/>
      <c r="K45" s="681">
        <v>115</v>
      </c>
      <c r="L45" s="681">
        <v>120</v>
      </c>
      <c r="M45" s="357"/>
      <c r="N45" s="347"/>
      <c r="O45" s="357"/>
      <c r="P45" s="347"/>
      <c r="Q45" s="357"/>
      <c r="R45" s="347"/>
      <c r="S45" s="357"/>
      <c r="T45" s="347"/>
    </row>
    <row r="46" spans="1:20" s="256" customFormat="1" ht="27.4" customHeight="1" x14ac:dyDescent="0.5">
      <c r="A46" s="254"/>
      <c r="B46" s="1332"/>
      <c r="C46" s="1116"/>
      <c r="D46" s="1075"/>
      <c r="E46" s="1076"/>
      <c r="F46" s="348" t="s">
        <v>401</v>
      </c>
      <c r="G46" s="349" t="s">
        <v>77</v>
      </c>
      <c r="H46" s="349" t="s">
        <v>217</v>
      </c>
      <c r="I46" s="349"/>
      <c r="J46" s="350"/>
      <c r="K46" s="682">
        <v>0</v>
      </c>
      <c r="L46" s="682">
        <v>0</v>
      </c>
      <c r="M46" s="362"/>
      <c r="N46" s="352"/>
      <c r="O46" s="362"/>
      <c r="P46" s="352"/>
      <c r="Q46" s="362"/>
      <c r="R46" s="352"/>
      <c r="S46" s="362"/>
      <c r="T46" s="352"/>
    </row>
    <row r="47" spans="1:20" s="256" customFormat="1" ht="27.4" customHeight="1" x14ac:dyDescent="0.5">
      <c r="A47" s="254"/>
      <c r="B47" s="1332"/>
      <c r="C47" s="1116"/>
      <c r="D47" s="1077" t="s">
        <v>402</v>
      </c>
      <c r="E47" s="1078"/>
      <c r="F47" s="343" t="s">
        <v>403</v>
      </c>
      <c r="G47" s="344" t="s">
        <v>39</v>
      </c>
      <c r="H47" s="344" t="s">
        <v>350</v>
      </c>
      <c r="I47" s="344"/>
      <c r="J47" s="345"/>
      <c r="K47" s="681">
        <v>24</v>
      </c>
      <c r="L47" s="681">
        <v>38</v>
      </c>
      <c r="M47" s="346"/>
      <c r="N47" s="347"/>
      <c r="O47" s="346"/>
      <c r="P47" s="347"/>
      <c r="Q47" s="346"/>
      <c r="R47" s="347"/>
      <c r="S47" s="346"/>
      <c r="T47" s="347"/>
    </row>
    <row r="48" spans="1:20" ht="27.4" customHeight="1" x14ac:dyDescent="0.45">
      <c r="B48" s="1332"/>
      <c r="C48" s="1116"/>
      <c r="D48" s="1079"/>
      <c r="E48" s="1080"/>
      <c r="F48" s="97" t="s">
        <v>404</v>
      </c>
      <c r="G48" s="56" t="s">
        <v>39</v>
      </c>
      <c r="H48" s="56" t="s">
        <v>350</v>
      </c>
      <c r="I48" s="56"/>
      <c r="J48" s="98"/>
      <c r="K48" s="674">
        <v>30</v>
      </c>
      <c r="L48" s="674">
        <v>40</v>
      </c>
      <c r="M48" s="335"/>
      <c r="N48" s="246"/>
      <c r="O48" s="335"/>
      <c r="P48" s="246"/>
      <c r="Q48" s="335"/>
      <c r="R48" s="246"/>
      <c r="S48" s="335"/>
      <c r="T48" s="246"/>
    </row>
    <row r="49" spans="2:20" ht="27.4" customHeight="1" x14ac:dyDescent="0.45">
      <c r="B49" s="1332"/>
      <c r="C49" s="1116"/>
      <c r="D49" s="1079"/>
      <c r="E49" s="1080"/>
      <c r="F49" s="87" t="s">
        <v>405</v>
      </c>
      <c r="G49" s="83" t="s">
        <v>39</v>
      </c>
      <c r="H49" s="83" t="s">
        <v>350</v>
      </c>
      <c r="I49" s="83"/>
      <c r="J49" s="88"/>
      <c r="K49" s="675">
        <v>30</v>
      </c>
      <c r="L49" s="675">
        <v>40</v>
      </c>
      <c r="M49" s="335"/>
      <c r="N49" s="246"/>
      <c r="O49" s="335"/>
      <c r="P49" s="246"/>
      <c r="Q49" s="335"/>
      <c r="R49" s="246"/>
      <c r="S49" s="335"/>
      <c r="T49" s="246"/>
    </row>
    <row r="50" spans="2:20" ht="27.4" customHeight="1" x14ac:dyDescent="0.45">
      <c r="B50" s="1332"/>
      <c r="C50" s="1116"/>
      <c r="D50" s="1079"/>
      <c r="E50" s="1080"/>
      <c r="F50" s="97" t="s">
        <v>406</v>
      </c>
      <c r="G50" s="56" t="s">
        <v>39</v>
      </c>
      <c r="H50" s="56" t="s">
        <v>350</v>
      </c>
      <c r="I50" s="56"/>
      <c r="J50" s="98"/>
      <c r="K50" s="674">
        <v>32</v>
      </c>
      <c r="L50" s="674">
        <v>52</v>
      </c>
      <c r="M50" s="335"/>
      <c r="N50" s="246"/>
      <c r="O50" s="335"/>
      <c r="P50" s="246"/>
      <c r="Q50" s="335"/>
      <c r="R50" s="246"/>
      <c r="S50" s="335"/>
      <c r="T50" s="246"/>
    </row>
    <row r="51" spans="2:20" ht="27.4" customHeight="1" x14ac:dyDescent="0.45">
      <c r="B51" s="1332"/>
      <c r="C51" s="1116"/>
      <c r="D51" s="1079"/>
      <c r="E51" s="1080"/>
      <c r="F51" s="87" t="s">
        <v>407</v>
      </c>
      <c r="G51" s="83" t="s">
        <v>39</v>
      </c>
      <c r="H51" s="83" t="s">
        <v>350</v>
      </c>
      <c r="I51" s="83"/>
      <c r="J51" s="88"/>
      <c r="K51" s="675">
        <v>38</v>
      </c>
      <c r="L51" s="675">
        <v>60</v>
      </c>
      <c r="M51" s="335"/>
      <c r="N51" s="246"/>
      <c r="O51" s="335"/>
      <c r="P51" s="246"/>
      <c r="Q51" s="335"/>
      <c r="R51" s="246"/>
      <c r="S51" s="335"/>
      <c r="T51" s="246"/>
    </row>
    <row r="52" spans="2:20" ht="27.4" customHeight="1" x14ac:dyDescent="0.45">
      <c r="B52" s="1332"/>
      <c r="C52" s="1116"/>
      <c r="D52" s="1079"/>
      <c r="E52" s="1080"/>
      <c r="F52" s="97" t="s">
        <v>408</v>
      </c>
      <c r="G52" s="56" t="s">
        <v>39</v>
      </c>
      <c r="H52" s="56" t="s">
        <v>350</v>
      </c>
      <c r="I52" s="56"/>
      <c r="J52" s="98"/>
      <c r="K52" s="674">
        <v>38</v>
      </c>
      <c r="L52" s="674">
        <v>60</v>
      </c>
      <c r="M52" s="335"/>
      <c r="N52" s="246"/>
      <c r="O52" s="335"/>
      <c r="P52" s="246"/>
      <c r="Q52" s="335"/>
      <c r="R52" s="246"/>
      <c r="S52" s="335"/>
      <c r="T52" s="246"/>
    </row>
    <row r="53" spans="2:20" ht="38.25" customHeight="1" x14ac:dyDescent="0.45">
      <c r="B53" s="1332"/>
      <c r="C53" s="1116"/>
      <c r="D53" s="1079"/>
      <c r="E53" s="1080"/>
      <c r="F53" s="87" t="s">
        <v>409</v>
      </c>
      <c r="G53" s="83" t="s">
        <v>410</v>
      </c>
      <c r="H53" s="83"/>
      <c r="I53" s="83" t="s">
        <v>411</v>
      </c>
      <c r="J53" s="88" t="s">
        <v>412</v>
      </c>
      <c r="K53" s="675">
        <v>1</v>
      </c>
      <c r="L53" s="675">
        <v>1</v>
      </c>
      <c r="M53" s="335"/>
      <c r="N53" s="246"/>
      <c r="O53" s="335"/>
      <c r="P53" s="246"/>
      <c r="Q53" s="335"/>
      <c r="R53" s="246"/>
      <c r="S53" s="335"/>
      <c r="T53" s="246"/>
    </row>
    <row r="54" spans="2:20" ht="27.4" customHeight="1" x14ac:dyDescent="0.45">
      <c r="B54" s="1332"/>
      <c r="C54" s="1116"/>
      <c r="D54" s="1081"/>
      <c r="E54" s="1082"/>
      <c r="F54" s="348" t="s">
        <v>413</v>
      </c>
      <c r="G54" s="349" t="s">
        <v>410</v>
      </c>
      <c r="H54" s="349" t="s">
        <v>350</v>
      </c>
      <c r="I54" s="349" t="s">
        <v>414</v>
      </c>
      <c r="J54" s="350" t="s">
        <v>415</v>
      </c>
      <c r="K54" s="682">
        <v>0.4</v>
      </c>
      <c r="L54" s="682">
        <v>0.48</v>
      </c>
      <c r="M54" s="351"/>
      <c r="N54" s="352"/>
      <c r="O54" s="351"/>
      <c r="P54" s="352"/>
      <c r="Q54" s="351"/>
      <c r="R54" s="352"/>
      <c r="S54" s="351"/>
      <c r="T54" s="352"/>
    </row>
    <row r="55" spans="2:20" ht="27.4" customHeight="1" x14ac:dyDescent="0.45">
      <c r="B55" s="1332"/>
      <c r="C55" s="1116"/>
      <c r="D55" s="1077" t="s">
        <v>416</v>
      </c>
      <c r="E55" s="1078"/>
      <c r="F55" s="103" t="s">
        <v>417</v>
      </c>
      <c r="G55" s="61" t="s">
        <v>410</v>
      </c>
      <c r="H55" s="61"/>
      <c r="I55" s="61"/>
      <c r="J55" s="104" t="s">
        <v>276</v>
      </c>
      <c r="K55" s="686" t="s">
        <v>200</v>
      </c>
      <c r="L55" s="686" t="s">
        <v>200</v>
      </c>
      <c r="M55" s="335"/>
      <c r="N55" s="260"/>
      <c r="O55" s="335"/>
      <c r="P55" s="260"/>
      <c r="Q55" s="335"/>
      <c r="R55" s="260"/>
      <c r="S55" s="335"/>
      <c r="T55" s="260"/>
    </row>
    <row r="56" spans="2:20" ht="26.65" customHeight="1" x14ac:dyDescent="0.45">
      <c r="B56" s="1332"/>
      <c r="C56" s="1116"/>
      <c r="D56" s="1079"/>
      <c r="E56" s="1080"/>
      <c r="F56" s="97" t="s">
        <v>418</v>
      </c>
      <c r="G56" s="56"/>
      <c r="H56" s="56"/>
      <c r="I56" s="56"/>
      <c r="J56" s="98" t="s">
        <v>181</v>
      </c>
      <c r="K56" s="674" t="s">
        <v>356</v>
      </c>
      <c r="L56" s="674" t="s">
        <v>356</v>
      </c>
      <c r="M56" s="335"/>
      <c r="N56" s="246"/>
      <c r="O56" s="335"/>
      <c r="P56" s="246"/>
      <c r="Q56" s="335"/>
      <c r="R56" s="246"/>
      <c r="S56" s="335"/>
      <c r="T56" s="246"/>
    </row>
    <row r="57" spans="2:20" ht="27.4" customHeight="1" x14ac:dyDescent="0.45">
      <c r="B57" s="1332"/>
      <c r="C57" s="1116"/>
      <c r="D57" s="1079"/>
      <c r="E57" s="1080"/>
      <c r="F57" s="87" t="s">
        <v>420</v>
      </c>
      <c r="G57" s="83" t="s">
        <v>410</v>
      </c>
      <c r="H57" s="83"/>
      <c r="I57" s="83"/>
      <c r="J57" s="88"/>
      <c r="K57" s="675" t="s">
        <v>424</v>
      </c>
      <c r="L57" s="675" t="s">
        <v>424</v>
      </c>
      <c r="M57" s="336"/>
      <c r="N57" s="246"/>
      <c r="O57" s="336"/>
      <c r="P57" s="246"/>
      <c r="Q57" s="336"/>
      <c r="R57" s="246"/>
      <c r="S57" s="336"/>
      <c r="T57" s="246"/>
    </row>
    <row r="58" spans="2:20" ht="25.5" customHeight="1" x14ac:dyDescent="0.45">
      <c r="B58" s="1332"/>
      <c r="C58" s="1116"/>
      <c r="D58" s="1079"/>
      <c r="E58" s="1080"/>
      <c r="F58" s="97" t="s">
        <v>425</v>
      </c>
      <c r="G58" s="56" t="s">
        <v>137</v>
      </c>
      <c r="H58" s="56" t="s">
        <v>426</v>
      </c>
      <c r="I58" s="56"/>
      <c r="J58" s="98"/>
      <c r="K58" s="674">
        <v>6.0000000000000001E-3</v>
      </c>
      <c r="L58" s="674">
        <v>0.14000000000000001</v>
      </c>
      <c r="M58" s="335"/>
      <c r="N58" s="246"/>
      <c r="O58" s="335"/>
      <c r="P58" s="246"/>
      <c r="Q58" s="335"/>
      <c r="R58" s="246"/>
      <c r="S58" s="335"/>
      <c r="T58" s="246"/>
    </row>
    <row r="59" spans="2:20" ht="26.65" customHeight="1" x14ac:dyDescent="0.45">
      <c r="B59" s="1332"/>
      <c r="C59" s="1116"/>
      <c r="D59" s="1079"/>
      <c r="E59" s="1080"/>
      <c r="F59" s="87" t="s">
        <v>425</v>
      </c>
      <c r="G59" s="83" t="s">
        <v>137</v>
      </c>
      <c r="H59" s="83" t="s">
        <v>427</v>
      </c>
      <c r="I59" s="83"/>
      <c r="J59" s="88"/>
      <c r="K59" s="675">
        <v>0.05</v>
      </c>
      <c r="L59" s="675">
        <v>0.08</v>
      </c>
      <c r="M59" s="335"/>
      <c r="N59" s="246"/>
      <c r="O59" s="335"/>
      <c r="P59" s="246"/>
      <c r="Q59" s="335"/>
      <c r="R59" s="246"/>
      <c r="S59" s="335"/>
      <c r="T59" s="246"/>
    </row>
    <row r="60" spans="2:20" ht="26.65" customHeight="1" x14ac:dyDescent="0.45">
      <c r="B60" s="1332"/>
      <c r="C60" s="1116"/>
      <c r="D60" s="1079"/>
      <c r="E60" s="1080"/>
      <c r="F60" s="97" t="s">
        <v>428</v>
      </c>
      <c r="G60" s="56" t="s">
        <v>39</v>
      </c>
      <c r="H60" s="56" t="s">
        <v>217</v>
      </c>
      <c r="I60" s="56"/>
      <c r="J60" s="98"/>
      <c r="K60" s="674">
        <v>25.6</v>
      </c>
      <c r="L60" s="674">
        <v>37.799999999999997</v>
      </c>
      <c r="M60" s="335"/>
      <c r="N60" s="246"/>
      <c r="O60" s="335"/>
      <c r="P60" s="246"/>
      <c r="Q60" s="335"/>
      <c r="R60" s="246"/>
      <c r="S60" s="335"/>
      <c r="T60" s="246"/>
    </row>
    <row r="61" spans="2:20" ht="26.65" customHeight="1" x14ac:dyDescent="0.45">
      <c r="B61" s="1332"/>
      <c r="C61" s="1116"/>
      <c r="D61" s="1079"/>
      <c r="E61" s="1080"/>
      <c r="F61" s="87" t="s">
        <v>429</v>
      </c>
      <c r="G61" s="83" t="s">
        <v>430</v>
      </c>
      <c r="H61" s="83" t="s">
        <v>217</v>
      </c>
      <c r="I61" s="83"/>
      <c r="J61" s="88"/>
      <c r="K61" s="675">
        <v>70</v>
      </c>
      <c r="L61" s="675">
        <v>68.5</v>
      </c>
      <c r="M61" s="335"/>
      <c r="N61" s="246"/>
      <c r="O61" s="335"/>
      <c r="P61" s="246"/>
      <c r="Q61" s="335"/>
      <c r="R61" s="246"/>
      <c r="S61" s="335"/>
      <c r="T61" s="246"/>
    </row>
    <row r="62" spans="2:20" ht="26.65" customHeight="1" x14ac:dyDescent="0.45">
      <c r="B62" s="1332"/>
      <c r="C62" s="1116"/>
      <c r="D62" s="1079"/>
      <c r="E62" s="1080"/>
      <c r="F62" s="97" t="s">
        <v>431</v>
      </c>
      <c r="G62" s="56" t="s">
        <v>137</v>
      </c>
      <c r="H62" s="56" t="s">
        <v>427</v>
      </c>
      <c r="I62" s="56"/>
      <c r="J62" s="98"/>
      <c r="K62" s="674">
        <v>0.114</v>
      </c>
      <c r="L62" s="674">
        <v>3.5999999999999997E-2</v>
      </c>
      <c r="M62" s="335"/>
      <c r="N62" s="246"/>
      <c r="O62" s="335"/>
      <c r="P62" s="246"/>
      <c r="Q62" s="335"/>
      <c r="R62" s="246"/>
      <c r="S62" s="335"/>
      <c r="T62" s="246"/>
    </row>
    <row r="63" spans="2:20" ht="26.65" customHeight="1" x14ac:dyDescent="0.45">
      <c r="B63" s="1332"/>
      <c r="C63" s="1116"/>
      <c r="D63" s="1079"/>
      <c r="E63" s="1080"/>
      <c r="F63" s="87" t="s">
        <v>432</v>
      </c>
      <c r="G63" s="83" t="s">
        <v>665</v>
      </c>
      <c r="H63" s="83" t="s">
        <v>217</v>
      </c>
      <c r="I63" s="83"/>
      <c r="J63" s="88"/>
      <c r="K63" s="675">
        <v>9</v>
      </c>
      <c r="L63" s="675">
        <v>9</v>
      </c>
      <c r="M63" s="335"/>
      <c r="N63" s="246"/>
      <c r="O63" s="335"/>
      <c r="P63" s="246"/>
      <c r="Q63" s="335"/>
      <c r="R63" s="246"/>
      <c r="S63" s="335"/>
      <c r="T63" s="246"/>
    </row>
    <row r="64" spans="2:20" ht="30" customHeight="1" x14ac:dyDescent="0.45">
      <c r="B64" s="1333"/>
      <c r="C64" s="1117"/>
      <c r="D64" s="1119"/>
      <c r="E64" s="1120"/>
      <c r="F64" s="97" t="s">
        <v>433</v>
      </c>
      <c r="G64" s="56" t="s">
        <v>434</v>
      </c>
      <c r="H64" s="56" t="s">
        <v>350</v>
      </c>
      <c r="I64" s="56"/>
      <c r="J64" s="98"/>
      <c r="K64" s="687">
        <v>50</v>
      </c>
      <c r="L64" s="687">
        <v>50</v>
      </c>
      <c r="M64" s="376"/>
      <c r="N64" s="377"/>
      <c r="O64" s="376"/>
      <c r="P64" s="377"/>
      <c r="Q64" s="376"/>
      <c r="R64" s="377"/>
      <c r="S64" s="376"/>
      <c r="T64" s="377"/>
    </row>
    <row r="65" spans="2:20" ht="27.4" customHeight="1" x14ac:dyDescent="0.45">
      <c r="B65" s="1448" t="s">
        <v>435</v>
      </c>
      <c r="C65" s="1089"/>
      <c r="D65" s="1110" t="s">
        <v>436</v>
      </c>
      <c r="E65" s="1110"/>
      <c r="F65" s="378" t="s">
        <v>437</v>
      </c>
      <c r="G65" s="379"/>
      <c r="H65" s="379"/>
      <c r="I65" s="379"/>
      <c r="J65" s="380" t="s">
        <v>844</v>
      </c>
      <c r="K65" s="688" t="s">
        <v>48</v>
      </c>
      <c r="L65" s="688" t="s">
        <v>48</v>
      </c>
      <c r="M65" s="371"/>
      <c r="N65" s="372"/>
      <c r="O65" s="371"/>
      <c r="P65" s="372"/>
      <c r="Q65" s="371"/>
      <c r="R65" s="372"/>
      <c r="S65" s="371"/>
      <c r="T65" s="372"/>
    </row>
    <row r="66" spans="2:20" ht="27.4" customHeight="1" x14ac:dyDescent="0.45">
      <c r="B66" s="1348"/>
      <c r="C66" s="1091"/>
      <c r="D66" s="1105"/>
      <c r="E66" s="1105"/>
      <c r="F66" s="87" t="s">
        <v>440</v>
      </c>
      <c r="G66" s="83" t="s">
        <v>137</v>
      </c>
      <c r="H66" s="83"/>
      <c r="I66" s="83"/>
      <c r="J66" s="88"/>
      <c r="K66" s="675">
        <v>0.7</v>
      </c>
      <c r="L66" s="675">
        <v>0.72</v>
      </c>
      <c r="M66" s="335"/>
      <c r="N66" s="246"/>
      <c r="O66" s="335"/>
      <c r="P66" s="246"/>
      <c r="Q66" s="335"/>
      <c r="R66" s="246"/>
      <c r="S66" s="335"/>
      <c r="T66" s="246"/>
    </row>
    <row r="67" spans="2:20" ht="27.4" customHeight="1" x14ac:dyDescent="0.45">
      <c r="B67" s="1348"/>
      <c r="C67" s="1091"/>
      <c r="D67" s="1105"/>
      <c r="E67" s="1105"/>
      <c r="F67" s="97" t="s">
        <v>441</v>
      </c>
      <c r="G67" s="56" t="s">
        <v>137</v>
      </c>
      <c r="H67" s="56"/>
      <c r="I67" s="56"/>
      <c r="J67" s="98"/>
      <c r="K67" s="674">
        <v>0</v>
      </c>
      <c r="L67" s="674">
        <v>0</v>
      </c>
      <c r="M67" s="335"/>
      <c r="N67" s="246"/>
      <c r="O67" s="335"/>
      <c r="P67" s="246"/>
      <c r="Q67" s="335"/>
      <c r="R67" s="246"/>
      <c r="S67" s="335"/>
      <c r="T67" s="246"/>
    </row>
    <row r="68" spans="2:20" ht="27.4" customHeight="1" x14ac:dyDescent="0.45">
      <c r="B68" s="1348"/>
      <c r="C68" s="1091"/>
      <c r="D68" s="1111"/>
      <c r="E68" s="1111"/>
      <c r="F68" s="359" t="s">
        <v>442</v>
      </c>
      <c r="G68" s="360" t="s">
        <v>137</v>
      </c>
      <c r="H68" s="360"/>
      <c r="I68" s="360"/>
      <c r="J68" s="361"/>
      <c r="K68" s="679">
        <v>0</v>
      </c>
      <c r="L68" s="679">
        <v>0</v>
      </c>
      <c r="M68" s="351"/>
      <c r="N68" s="352"/>
      <c r="O68" s="351"/>
      <c r="P68" s="352"/>
      <c r="Q68" s="351"/>
      <c r="R68" s="352"/>
      <c r="S68" s="351"/>
      <c r="T68" s="352"/>
    </row>
    <row r="69" spans="2:20" ht="27.4" customHeight="1" x14ac:dyDescent="0.45">
      <c r="B69" s="1348"/>
      <c r="C69" s="1091"/>
      <c r="D69" s="1083" t="s">
        <v>443</v>
      </c>
      <c r="E69" s="1084"/>
      <c r="F69" s="103" t="s">
        <v>444</v>
      </c>
      <c r="G69" s="61" t="s">
        <v>39</v>
      </c>
      <c r="H69" s="61" t="s">
        <v>217</v>
      </c>
      <c r="I69" s="61" t="s">
        <v>445</v>
      </c>
      <c r="J69" s="104"/>
      <c r="K69" s="686">
        <v>35.6</v>
      </c>
      <c r="L69" s="686">
        <v>36.200000000000003</v>
      </c>
      <c r="M69" s="410"/>
      <c r="N69" s="347"/>
      <c r="O69" s="410"/>
      <c r="P69" s="347"/>
      <c r="Q69" s="410"/>
      <c r="R69" s="347"/>
      <c r="S69" s="410"/>
      <c r="T69" s="347"/>
    </row>
    <row r="70" spans="2:20" ht="27.4" customHeight="1" x14ac:dyDescent="0.45">
      <c r="B70" s="1348"/>
      <c r="C70" s="1091"/>
      <c r="D70" s="1096"/>
      <c r="E70" s="1097"/>
      <c r="F70" s="97" t="s">
        <v>446</v>
      </c>
      <c r="G70" s="56" t="s">
        <v>39</v>
      </c>
      <c r="H70" s="56" t="s">
        <v>217</v>
      </c>
      <c r="I70" s="56"/>
      <c r="J70" s="98"/>
      <c r="K70" s="674">
        <v>35.799999999999997</v>
      </c>
      <c r="L70" s="674">
        <v>35.9</v>
      </c>
      <c r="M70" s="411"/>
      <c r="N70" s="246"/>
      <c r="O70" s="411"/>
      <c r="P70" s="246"/>
      <c r="Q70" s="411"/>
      <c r="R70" s="246"/>
      <c r="S70" s="411"/>
      <c r="T70" s="246"/>
    </row>
    <row r="71" spans="2:20" ht="27.4" customHeight="1" x14ac:dyDescent="0.45">
      <c r="B71" s="1348"/>
      <c r="C71" s="1091"/>
      <c r="D71" s="1096"/>
      <c r="E71" s="1097"/>
      <c r="F71" s="87" t="s">
        <v>447</v>
      </c>
      <c r="G71" s="83" t="s">
        <v>39</v>
      </c>
      <c r="H71" s="83" t="s">
        <v>217</v>
      </c>
      <c r="I71" s="83"/>
      <c r="J71" s="88"/>
      <c r="K71" s="675">
        <v>35.299999999999997</v>
      </c>
      <c r="L71" s="675">
        <v>35.4</v>
      </c>
      <c r="M71" s="411"/>
      <c r="N71" s="246"/>
      <c r="O71" s="411"/>
      <c r="P71" s="246"/>
      <c r="Q71" s="411"/>
      <c r="R71" s="246"/>
      <c r="S71" s="411"/>
      <c r="T71" s="246"/>
    </row>
    <row r="72" spans="2:20" ht="27.4" customHeight="1" x14ac:dyDescent="0.45">
      <c r="B72" s="1348"/>
      <c r="C72" s="1091"/>
      <c r="D72" s="1086"/>
      <c r="E72" s="1087"/>
      <c r="F72" s="101" t="s">
        <v>448</v>
      </c>
      <c r="G72" s="62" t="s">
        <v>39</v>
      </c>
      <c r="H72" s="62" t="s">
        <v>217</v>
      </c>
      <c r="I72" s="62"/>
      <c r="J72" s="102"/>
      <c r="K72" s="678">
        <v>16.5</v>
      </c>
      <c r="L72" s="678">
        <v>16.100000000000001</v>
      </c>
      <c r="M72" s="412"/>
      <c r="N72" s="261"/>
      <c r="O72" s="412"/>
      <c r="P72" s="261"/>
      <c r="Q72" s="412"/>
      <c r="R72" s="261"/>
      <c r="S72" s="412"/>
      <c r="T72" s="261"/>
    </row>
    <row r="73" spans="2:20" ht="27.4" customHeight="1" x14ac:dyDescent="0.45">
      <c r="B73" s="1348"/>
      <c r="C73" s="1091"/>
      <c r="D73" s="1118" t="s">
        <v>449</v>
      </c>
      <c r="E73" s="1095"/>
      <c r="F73" s="343" t="s">
        <v>450</v>
      </c>
      <c r="G73" s="344" t="s">
        <v>21</v>
      </c>
      <c r="H73" s="344"/>
      <c r="I73" s="344"/>
      <c r="J73" s="345" t="s">
        <v>451</v>
      </c>
      <c r="K73" s="681" t="s">
        <v>21</v>
      </c>
      <c r="L73" s="681" t="s">
        <v>456</v>
      </c>
      <c r="M73" s="410"/>
      <c r="N73" s="347"/>
      <c r="O73" s="410"/>
      <c r="P73" s="347"/>
      <c r="Q73" s="410"/>
      <c r="R73" s="347"/>
      <c r="S73" s="410"/>
      <c r="T73" s="347"/>
    </row>
    <row r="74" spans="2:20" ht="17.649999999999999" customHeight="1" x14ac:dyDescent="0.45">
      <c r="B74" s="1348"/>
      <c r="C74" s="1091"/>
      <c r="D74" s="1085"/>
      <c r="E74" s="1084"/>
      <c r="F74" s="97" t="s">
        <v>457</v>
      </c>
      <c r="G74" s="56" t="s">
        <v>39</v>
      </c>
      <c r="H74" s="56"/>
      <c r="I74" s="56"/>
      <c r="J74" s="98"/>
      <c r="K74" s="674">
        <v>41.5</v>
      </c>
      <c r="L74" s="674">
        <v>39.5</v>
      </c>
      <c r="M74" s="411"/>
      <c r="N74" s="246"/>
      <c r="O74" s="411"/>
      <c r="P74" s="246"/>
      <c r="Q74" s="411"/>
      <c r="R74" s="246"/>
      <c r="S74" s="411"/>
      <c r="T74" s="246"/>
    </row>
    <row r="75" spans="2:20" ht="17.649999999999999" customHeight="1" x14ac:dyDescent="0.45">
      <c r="B75" s="1348"/>
      <c r="C75" s="1091"/>
      <c r="D75" s="1085"/>
      <c r="E75" s="1084"/>
      <c r="F75" s="87" t="s">
        <v>458</v>
      </c>
      <c r="G75" s="83" t="s">
        <v>39</v>
      </c>
      <c r="H75" s="83"/>
      <c r="I75" s="83"/>
      <c r="J75" s="88"/>
      <c r="K75" s="675">
        <v>43.1</v>
      </c>
      <c r="L75" s="675">
        <v>41.8</v>
      </c>
      <c r="M75" s="411"/>
      <c r="N75" s="246"/>
      <c r="O75" s="411"/>
      <c r="P75" s="246"/>
      <c r="Q75" s="411"/>
      <c r="R75" s="246"/>
      <c r="S75" s="411"/>
      <c r="T75" s="246"/>
    </row>
    <row r="76" spans="2:20" ht="17.649999999999999" customHeight="1" x14ac:dyDescent="0.45">
      <c r="B76" s="1348"/>
      <c r="C76" s="1091"/>
      <c r="D76" s="1096"/>
      <c r="E76" s="1097"/>
      <c r="F76" s="97" t="s">
        <v>459</v>
      </c>
      <c r="G76" s="56" t="s">
        <v>39</v>
      </c>
      <c r="H76" s="56"/>
      <c r="I76" s="56"/>
      <c r="J76" s="98"/>
      <c r="K76" s="674">
        <v>43.1</v>
      </c>
      <c r="L76" s="674">
        <v>40.1</v>
      </c>
      <c r="M76" s="411"/>
      <c r="N76" s="246"/>
      <c r="O76" s="411"/>
      <c r="P76" s="246"/>
      <c r="Q76" s="411"/>
      <c r="R76" s="246"/>
      <c r="S76" s="411"/>
      <c r="T76" s="246"/>
    </row>
    <row r="77" spans="2:20" ht="27.4" customHeight="1" x14ac:dyDescent="0.45">
      <c r="B77" s="1348"/>
      <c r="C77" s="1091"/>
      <c r="D77" s="1098"/>
      <c r="E77" s="1099"/>
      <c r="F77" s="348" t="s">
        <v>460</v>
      </c>
      <c r="G77" s="349" t="s">
        <v>39</v>
      </c>
      <c r="H77" s="349"/>
      <c r="I77" s="349"/>
      <c r="J77" s="352"/>
      <c r="K77" s="689">
        <v>16.5</v>
      </c>
      <c r="L77" s="689">
        <v>16.2</v>
      </c>
      <c r="M77" s="413"/>
      <c r="N77" s="352"/>
      <c r="O77" s="413"/>
      <c r="P77" s="352"/>
      <c r="Q77" s="413"/>
      <c r="R77" s="352"/>
      <c r="S77" s="413"/>
      <c r="T77" s="352"/>
    </row>
    <row r="78" spans="2:20" ht="27.4" customHeight="1" x14ac:dyDescent="0.45">
      <c r="B78" s="1348"/>
      <c r="C78" s="1091"/>
      <c r="D78" s="1083" t="s">
        <v>461</v>
      </c>
      <c r="E78" s="1084"/>
      <c r="F78" s="99" t="s">
        <v>462</v>
      </c>
      <c r="G78" s="57" t="s">
        <v>39</v>
      </c>
      <c r="H78" s="57"/>
      <c r="I78" s="57"/>
      <c r="J78" s="100"/>
      <c r="K78" s="680">
        <v>36.5</v>
      </c>
      <c r="L78" s="680">
        <v>40.4</v>
      </c>
      <c r="M78" s="411"/>
      <c r="N78" s="260"/>
      <c r="O78" s="411"/>
      <c r="P78" s="260"/>
      <c r="Q78" s="411"/>
      <c r="R78" s="260"/>
      <c r="S78" s="411"/>
      <c r="T78" s="260"/>
    </row>
    <row r="79" spans="2:20" ht="17.649999999999999" customHeight="1" x14ac:dyDescent="0.45">
      <c r="B79" s="1348"/>
      <c r="C79" s="1091"/>
      <c r="D79" s="1085"/>
      <c r="E79" s="1084"/>
      <c r="F79" s="87" t="s">
        <v>463</v>
      </c>
      <c r="G79" s="83" t="s">
        <v>39</v>
      </c>
      <c r="H79" s="83"/>
      <c r="I79" s="83"/>
      <c r="J79" s="88"/>
      <c r="K79" s="675">
        <v>35.6</v>
      </c>
      <c r="L79" s="675">
        <v>40.1</v>
      </c>
      <c r="M79" s="411"/>
      <c r="N79" s="246"/>
      <c r="O79" s="411"/>
      <c r="P79" s="246"/>
      <c r="Q79" s="411"/>
      <c r="R79" s="246"/>
      <c r="S79" s="411"/>
      <c r="T79" s="246"/>
    </row>
    <row r="80" spans="2:20" ht="17.649999999999999" customHeight="1" x14ac:dyDescent="0.45">
      <c r="B80" s="1348"/>
      <c r="C80" s="1091"/>
      <c r="D80" s="1085"/>
      <c r="E80" s="1084"/>
      <c r="F80" s="97" t="s">
        <v>464</v>
      </c>
      <c r="G80" s="56" t="s">
        <v>39</v>
      </c>
      <c r="H80" s="56"/>
      <c r="I80" s="56"/>
      <c r="J80" s="98"/>
      <c r="K80" s="674">
        <v>37.5</v>
      </c>
      <c r="L80" s="674">
        <v>35.5</v>
      </c>
      <c r="M80" s="411"/>
      <c r="N80" s="246"/>
      <c r="O80" s="411"/>
      <c r="P80" s="246"/>
      <c r="Q80" s="411"/>
      <c r="R80" s="246"/>
      <c r="S80" s="411"/>
      <c r="T80" s="246"/>
    </row>
    <row r="81" spans="2:20" ht="27.4" customHeight="1" x14ac:dyDescent="0.45">
      <c r="B81" s="1348"/>
      <c r="C81" s="1091"/>
      <c r="D81" s="1086"/>
      <c r="E81" s="1087"/>
      <c r="F81" s="89" t="s">
        <v>460</v>
      </c>
      <c r="G81" s="90" t="s">
        <v>39</v>
      </c>
      <c r="H81" s="90"/>
      <c r="I81" s="90"/>
      <c r="J81" s="91"/>
      <c r="K81" s="690">
        <v>15.9</v>
      </c>
      <c r="L81" s="690">
        <v>15.5</v>
      </c>
      <c r="M81" s="411"/>
      <c r="N81" s="246"/>
      <c r="O81" s="411"/>
      <c r="P81" s="246"/>
      <c r="Q81" s="411"/>
      <c r="R81" s="246"/>
      <c r="S81" s="411"/>
      <c r="T81" s="246"/>
    </row>
    <row r="82" spans="2:20" ht="26.65" customHeight="1" x14ac:dyDescent="0.45">
      <c r="B82" s="1348"/>
      <c r="C82" s="1091"/>
      <c r="D82" s="1103" t="s">
        <v>465</v>
      </c>
      <c r="E82" s="1104"/>
      <c r="F82" s="94" t="s">
        <v>466</v>
      </c>
      <c r="G82" s="95" t="s">
        <v>39</v>
      </c>
      <c r="H82" s="95"/>
      <c r="I82" s="95"/>
      <c r="J82" s="96"/>
      <c r="K82" s="691">
        <v>40.1</v>
      </c>
      <c r="L82" s="691">
        <v>46.2</v>
      </c>
      <c r="M82" s="411"/>
      <c r="N82" s="246"/>
      <c r="O82" s="411"/>
      <c r="P82" s="246"/>
      <c r="Q82" s="411"/>
      <c r="R82" s="246"/>
      <c r="S82" s="411"/>
      <c r="T82" s="246"/>
    </row>
    <row r="83" spans="2:20" ht="26.65" customHeight="1" x14ac:dyDescent="0.45">
      <c r="B83" s="1348"/>
      <c r="C83" s="1091"/>
      <c r="D83" s="1105"/>
      <c r="E83" s="1074"/>
      <c r="F83" s="97" t="s">
        <v>467</v>
      </c>
      <c r="G83" s="56" t="s">
        <v>39</v>
      </c>
      <c r="H83" s="56"/>
      <c r="I83" s="56"/>
      <c r="J83" s="98"/>
      <c r="K83" s="674">
        <v>40.1</v>
      </c>
      <c r="L83" s="674">
        <v>46.5</v>
      </c>
      <c r="M83" s="411"/>
      <c r="N83" s="246"/>
      <c r="O83" s="411"/>
      <c r="P83" s="246"/>
      <c r="Q83" s="411"/>
      <c r="R83" s="246"/>
      <c r="S83" s="411"/>
      <c r="T83" s="246"/>
    </row>
    <row r="84" spans="2:20" ht="26.65" customHeight="1" x14ac:dyDescent="0.45">
      <c r="B84" s="1348"/>
      <c r="C84" s="1091"/>
      <c r="D84" s="1105"/>
      <c r="E84" s="1074"/>
      <c r="F84" s="87" t="s">
        <v>468</v>
      </c>
      <c r="G84" s="83" t="s">
        <v>39</v>
      </c>
      <c r="H84" s="83"/>
      <c r="I84" s="83"/>
      <c r="J84" s="88"/>
      <c r="K84" s="675">
        <v>6.9</v>
      </c>
      <c r="L84" s="675">
        <v>22.1</v>
      </c>
      <c r="M84" s="411"/>
      <c r="N84" s="246"/>
      <c r="O84" s="411"/>
      <c r="P84" s="246"/>
      <c r="Q84" s="411"/>
      <c r="R84" s="246"/>
      <c r="S84" s="411"/>
      <c r="T84" s="246"/>
    </row>
    <row r="85" spans="2:20" ht="26.65" customHeight="1" x14ac:dyDescent="0.45">
      <c r="B85" s="1348"/>
      <c r="C85" s="1091"/>
      <c r="D85" s="1105"/>
      <c r="E85" s="1074"/>
      <c r="F85" s="97" t="s">
        <v>469</v>
      </c>
      <c r="G85" s="56" t="s">
        <v>39</v>
      </c>
      <c r="H85" s="56"/>
      <c r="I85" s="56"/>
      <c r="J85" s="98"/>
      <c r="K85" s="674">
        <v>20.5</v>
      </c>
      <c r="L85" s="674">
        <v>21.5</v>
      </c>
      <c r="M85" s="411"/>
      <c r="N85" s="246"/>
      <c r="O85" s="411"/>
      <c r="P85" s="246"/>
      <c r="Q85" s="411"/>
      <c r="R85" s="246"/>
      <c r="S85" s="411"/>
      <c r="T85" s="246"/>
    </row>
    <row r="86" spans="2:20" ht="26.65" customHeight="1" x14ac:dyDescent="0.45">
      <c r="B86" s="1348"/>
      <c r="C86" s="1091"/>
      <c r="D86" s="1105"/>
      <c r="E86" s="1074"/>
      <c r="F86" s="87" t="s">
        <v>470</v>
      </c>
      <c r="G86" s="83" t="s">
        <v>39</v>
      </c>
      <c r="H86" s="83"/>
      <c r="I86" s="83"/>
      <c r="J86" s="88"/>
      <c r="K86" s="675">
        <v>15.1</v>
      </c>
      <c r="L86" s="675">
        <v>14.9</v>
      </c>
      <c r="M86" s="411"/>
      <c r="N86" s="246"/>
      <c r="O86" s="411"/>
      <c r="P86" s="246"/>
      <c r="Q86" s="411"/>
      <c r="R86" s="246"/>
      <c r="S86" s="411"/>
      <c r="T86" s="246"/>
    </row>
    <row r="87" spans="2:20" ht="26.65" customHeight="1" x14ac:dyDescent="0.45">
      <c r="B87" s="1348"/>
      <c r="C87" s="1091"/>
      <c r="D87" s="1105"/>
      <c r="E87" s="1074"/>
      <c r="F87" s="97" t="s">
        <v>472</v>
      </c>
      <c r="G87" s="56" t="s">
        <v>39</v>
      </c>
      <c r="H87" s="56"/>
      <c r="I87" s="56"/>
      <c r="J87" s="98"/>
      <c r="K87" s="674">
        <v>17.8</v>
      </c>
      <c r="L87" s="674">
        <v>18.5</v>
      </c>
      <c r="M87" s="510"/>
      <c r="N87" s="246"/>
      <c r="O87" s="510"/>
      <c r="P87" s="246"/>
      <c r="Q87" s="510"/>
      <c r="R87" s="246"/>
      <c r="S87" s="510"/>
      <c r="T87" s="246"/>
    </row>
    <row r="88" spans="2:20" ht="27.4" customHeight="1" x14ac:dyDescent="0.45">
      <c r="B88" s="1348"/>
      <c r="C88" s="1091"/>
      <c r="D88" s="1105"/>
      <c r="E88" s="1074"/>
      <c r="F88" s="339" t="s">
        <v>473</v>
      </c>
      <c r="G88" s="111" t="s">
        <v>48</v>
      </c>
      <c r="H88" s="111"/>
      <c r="I88" s="111" t="s">
        <v>219</v>
      </c>
      <c r="J88" s="112" t="s">
        <v>474</v>
      </c>
      <c r="K88" s="676">
        <v>0.44</v>
      </c>
      <c r="L88" s="676">
        <v>0</v>
      </c>
      <c r="M88" s="411"/>
      <c r="N88" s="261"/>
      <c r="O88" s="411"/>
      <c r="P88" s="261"/>
      <c r="Q88" s="411"/>
      <c r="R88" s="261"/>
      <c r="S88" s="411"/>
      <c r="T88" s="261"/>
    </row>
    <row r="89" spans="2:20" ht="27.4" customHeight="1" x14ac:dyDescent="0.45">
      <c r="B89" s="1348"/>
      <c r="C89" s="1091"/>
      <c r="D89" s="1100" t="s">
        <v>475</v>
      </c>
      <c r="E89" s="1024"/>
      <c r="F89" s="343" t="s">
        <v>476</v>
      </c>
      <c r="G89" s="344" t="s">
        <v>39</v>
      </c>
      <c r="H89" s="344"/>
      <c r="I89" s="344"/>
      <c r="J89" s="345"/>
      <c r="K89" s="681">
        <v>51.6</v>
      </c>
      <c r="L89" s="681">
        <v>49.3</v>
      </c>
      <c r="M89" s="410"/>
      <c r="N89" s="414"/>
      <c r="O89" s="410"/>
      <c r="P89" s="414"/>
      <c r="Q89" s="410"/>
      <c r="R89" s="414"/>
      <c r="S89" s="410"/>
      <c r="T89" s="414"/>
    </row>
    <row r="90" spans="2:20" ht="27.4" customHeight="1" x14ac:dyDescent="0.45">
      <c r="B90" s="1348"/>
      <c r="C90" s="1091"/>
      <c r="D90" s="1101"/>
      <c r="E90" s="1020"/>
      <c r="F90" s="97" t="s">
        <v>477</v>
      </c>
      <c r="G90" s="56" t="s">
        <v>39</v>
      </c>
      <c r="H90" s="56"/>
      <c r="I90" s="56"/>
      <c r="J90" s="98"/>
      <c r="K90" s="674">
        <v>53</v>
      </c>
      <c r="L90" s="674">
        <v>51.3</v>
      </c>
      <c r="M90" s="411"/>
      <c r="N90" s="342"/>
      <c r="O90" s="411"/>
      <c r="P90" s="342"/>
      <c r="Q90" s="411"/>
      <c r="R90" s="342"/>
      <c r="S90" s="411"/>
      <c r="T90" s="342"/>
    </row>
    <row r="91" spans="2:20" ht="17.25" x14ac:dyDescent="0.45">
      <c r="B91" s="1348"/>
      <c r="C91" s="1091"/>
      <c r="D91" s="1102"/>
      <c r="E91" s="1022"/>
      <c r="F91" s="359" t="s">
        <v>478</v>
      </c>
      <c r="G91" s="360" t="s">
        <v>39</v>
      </c>
      <c r="H91" s="360"/>
      <c r="I91" s="360"/>
      <c r="J91" s="361"/>
      <c r="K91" s="679">
        <v>50.5</v>
      </c>
      <c r="L91" s="679">
        <v>48.8</v>
      </c>
      <c r="M91" s="413"/>
      <c r="N91" s="415"/>
      <c r="O91" s="413"/>
      <c r="P91" s="415"/>
      <c r="Q91" s="413"/>
      <c r="R91" s="415"/>
      <c r="S91" s="413"/>
      <c r="T91" s="415"/>
    </row>
    <row r="92" spans="2:20" ht="27.4" customHeight="1" x14ac:dyDescent="0.45">
      <c r="B92" s="1348"/>
      <c r="C92" s="1091"/>
      <c r="D92" s="1106" t="s">
        <v>479</v>
      </c>
      <c r="E92" s="1080"/>
      <c r="F92" s="99" t="s">
        <v>480</v>
      </c>
      <c r="G92" s="57" t="s">
        <v>481</v>
      </c>
      <c r="H92" s="57"/>
      <c r="I92" s="57"/>
      <c r="J92" s="100"/>
      <c r="K92" s="680">
        <v>2</v>
      </c>
      <c r="L92" s="680" t="s">
        <v>456</v>
      </c>
      <c r="M92" s="411"/>
      <c r="N92" s="260"/>
      <c r="O92" s="411"/>
      <c r="P92" s="260"/>
      <c r="Q92" s="411"/>
      <c r="R92" s="260"/>
      <c r="S92" s="411"/>
      <c r="T92" s="260"/>
    </row>
    <row r="93" spans="2:20" ht="17.649999999999999" customHeight="1" x14ac:dyDescent="0.45">
      <c r="B93" s="1348"/>
      <c r="C93" s="1091"/>
      <c r="D93" s="1106"/>
      <c r="E93" s="1080"/>
      <c r="F93" s="99" t="s">
        <v>482</v>
      </c>
      <c r="G93" s="57"/>
      <c r="H93" s="57"/>
      <c r="I93" s="57"/>
      <c r="J93" s="100"/>
      <c r="K93" s="680" t="s">
        <v>21</v>
      </c>
      <c r="L93" s="680" t="s">
        <v>21</v>
      </c>
      <c r="M93" s="411"/>
      <c r="N93" s="246"/>
      <c r="O93" s="411"/>
      <c r="P93" s="246"/>
      <c r="Q93" s="411"/>
      <c r="R93" s="246"/>
      <c r="S93" s="411"/>
      <c r="T93" s="246"/>
    </row>
    <row r="94" spans="2:20" ht="27.4" customHeight="1" x14ac:dyDescent="0.45">
      <c r="B94" s="1348"/>
      <c r="C94" s="1091"/>
      <c r="D94" s="1106"/>
      <c r="E94" s="1080"/>
      <c r="F94" s="87" t="s">
        <v>483</v>
      </c>
      <c r="G94" s="83" t="s">
        <v>21</v>
      </c>
      <c r="H94" s="83"/>
      <c r="I94" s="83"/>
      <c r="J94" s="88" t="s">
        <v>451</v>
      </c>
      <c r="K94" s="675" t="s">
        <v>21</v>
      </c>
      <c r="L94" s="675" t="s">
        <v>456</v>
      </c>
      <c r="M94" s="411"/>
      <c r="N94" s="246"/>
      <c r="O94" s="411"/>
      <c r="P94" s="246"/>
      <c r="Q94" s="411"/>
      <c r="R94" s="246"/>
      <c r="S94" s="411"/>
      <c r="T94" s="246"/>
    </row>
    <row r="95" spans="2:20" ht="27.4" customHeight="1" x14ac:dyDescent="0.45">
      <c r="B95" s="1348"/>
      <c r="C95" s="1091"/>
      <c r="D95" s="1106"/>
      <c r="E95" s="1080"/>
      <c r="F95" s="367" t="s">
        <v>485</v>
      </c>
      <c r="G95" s="108" t="s">
        <v>77</v>
      </c>
      <c r="H95" s="108"/>
      <c r="I95" s="108"/>
      <c r="J95" s="109"/>
      <c r="K95" s="692" t="s">
        <v>21</v>
      </c>
      <c r="L95" s="692" t="s">
        <v>21</v>
      </c>
      <c r="M95" s="412"/>
      <c r="N95" s="261"/>
      <c r="O95" s="412"/>
      <c r="P95" s="261"/>
      <c r="Q95" s="412"/>
      <c r="R95" s="261"/>
      <c r="S95" s="412"/>
      <c r="T95" s="261"/>
    </row>
    <row r="96" spans="2:20" ht="27.4" customHeight="1" x14ac:dyDescent="0.45">
      <c r="B96" s="1348"/>
      <c r="C96" s="1091"/>
      <c r="D96" s="1094" t="s">
        <v>486</v>
      </c>
      <c r="E96" s="1095"/>
      <c r="F96" s="343" t="s">
        <v>38</v>
      </c>
      <c r="G96" s="344" t="s">
        <v>39</v>
      </c>
      <c r="H96" s="344"/>
      <c r="I96" s="344"/>
      <c r="J96" s="345"/>
      <c r="K96" s="681">
        <v>65.900000000000006</v>
      </c>
      <c r="L96" s="681">
        <v>65.900000000000006</v>
      </c>
      <c r="M96" s="410"/>
      <c r="N96" s="347"/>
      <c r="O96" s="410"/>
      <c r="P96" s="347"/>
      <c r="Q96" s="410"/>
      <c r="R96" s="347"/>
      <c r="S96" s="410"/>
      <c r="T96" s="347"/>
    </row>
    <row r="97" spans="2:20" ht="27.4" customHeight="1" x14ac:dyDescent="0.45">
      <c r="B97" s="1348"/>
      <c r="C97" s="1091"/>
      <c r="D97" s="1096"/>
      <c r="E97" s="1097"/>
      <c r="F97" s="97" t="s">
        <v>40</v>
      </c>
      <c r="G97" s="56" t="s">
        <v>39</v>
      </c>
      <c r="H97" s="56"/>
      <c r="I97" s="56"/>
      <c r="J97" s="98"/>
      <c r="K97" s="674">
        <v>63.1</v>
      </c>
      <c r="L97" s="674">
        <v>63.1</v>
      </c>
      <c r="M97" s="411"/>
      <c r="N97" s="246"/>
      <c r="O97" s="411"/>
      <c r="P97" s="246"/>
      <c r="Q97" s="411"/>
      <c r="R97" s="246"/>
      <c r="S97" s="411"/>
      <c r="T97" s="246"/>
    </row>
    <row r="98" spans="2:20" ht="27.4" customHeight="1" x14ac:dyDescent="0.45">
      <c r="B98" s="1348"/>
      <c r="C98" s="1091"/>
      <c r="D98" s="1098"/>
      <c r="E98" s="1099"/>
      <c r="F98" s="359" t="s">
        <v>41</v>
      </c>
      <c r="G98" s="360" t="s">
        <v>39</v>
      </c>
      <c r="H98" s="360"/>
      <c r="I98" s="360"/>
      <c r="J98" s="361"/>
      <c r="K98" s="679">
        <v>58.7</v>
      </c>
      <c r="L98" s="679">
        <v>58.7</v>
      </c>
      <c r="M98" s="413"/>
      <c r="N98" s="352"/>
      <c r="O98" s="413"/>
      <c r="P98" s="352"/>
      <c r="Q98" s="413"/>
      <c r="R98" s="352"/>
      <c r="S98" s="413"/>
      <c r="T98" s="352"/>
    </row>
    <row r="99" spans="2:20" ht="27.4" customHeight="1" x14ac:dyDescent="0.45">
      <c r="B99" s="1348"/>
      <c r="C99" s="1091"/>
      <c r="D99" s="1105" t="s">
        <v>487</v>
      </c>
      <c r="E99" s="1109"/>
      <c r="F99" s="113" t="s">
        <v>488</v>
      </c>
      <c r="G99" s="57" t="s">
        <v>489</v>
      </c>
      <c r="H99" s="108" t="s">
        <v>217</v>
      </c>
      <c r="I99" s="108"/>
      <c r="J99" s="109"/>
      <c r="K99" s="692">
        <v>0.16800000000000001</v>
      </c>
      <c r="L99" s="692">
        <v>0.16800000000000001</v>
      </c>
      <c r="M99" s="411"/>
      <c r="N99" s="260"/>
      <c r="O99" s="411"/>
      <c r="P99" s="260"/>
      <c r="Q99" s="411"/>
      <c r="R99" s="260"/>
      <c r="S99" s="411"/>
      <c r="T99" s="260"/>
    </row>
    <row r="100" spans="2:20" ht="27.4" customHeight="1" x14ac:dyDescent="0.45">
      <c r="B100" s="1348"/>
      <c r="C100" s="1091"/>
      <c r="D100" s="1105"/>
      <c r="E100" s="1109"/>
      <c r="F100" s="114" t="s">
        <v>488</v>
      </c>
      <c r="G100" s="83" t="s">
        <v>489</v>
      </c>
      <c r="H100" s="83" t="s">
        <v>350</v>
      </c>
      <c r="I100" s="83"/>
      <c r="J100" s="88"/>
      <c r="K100" s="675">
        <v>0.18</v>
      </c>
      <c r="L100" s="675">
        <v>0.18</v>
      </c>
      <c r="M100" s="411"/>
      <c r="N100" s="246"/>
      <c r="O100" s="411"/>
      <c r="P100" s="246"/>
      <c r="Q100" s="411"/>
      <c r="R100" s="246"/>
      <c r="S100" s="411"/>
      <c r="T100" s="246"/>
    </row>
    <row r="101" spans="2:20" ht="27.4" customHeight="1" x14ac:dyDescent="0.45">
      <c r="B101" s="1348"/>
      <c r="C101" s="1091"/>
      <c r="D101" s="1105"/>
      <c r="E101" s="1109"/>
      <c r="F101" s="115" t="s">
        <v>490</v>
      </c>
      <c r="G101" s="56" t="s">
        <v>77</v>
      </c>
      <c r="H101" s="56" t="s">
        <v>491</v>
      </c>
      <c r="I101" s="56"/>
      <c r="J101" s="98"/>
      <c r="K101" s="674">
        <v>58</v>
      </c>
      <c r="L101" s="674">
        <v>58</v>
      </c>
      <c r="M101" s="411"/>
      <c r="N101" s="246"/>
      <c r="O101" s="411"/>
      <c r="P101" s="246"/>
      <c r="Q101" s="411"/>
      <c r="R101" s="246"/>
      <c r="S101" s="411"/>
      <c r="T101" s="246"/>
    </row>
    <row r="102" spans="2:20" ht="27.4" customHeight="1" x14ac:dyDescent="0.45">
      <c r="B102" s="1348"/>
      <c r="C102" s="1091"/>
      <c r="D102" s="1105"/>
      <c r="E102" s="1109"/>
      <c r="F102" s="116" t="s">
        <v>492</v>
      </c>
      <c r="G102" s="111" t="s">
        <v>493</v>
      </c>
      <c r="H102" s="111" t="s">
        <v>491</v>
      </c>
      <c r="I102" s="111"/>
      <c r="J102" s="112"/>
      <c r="K102" s="676">
        <v>53</v>
      </c>
      <c r="L102" s="676">
        <v>53</v>
      </c>
      <c r="M102" s="411"/>
      <c r="N102" s="246"/>
      <c r="O102" s="411"/>
      <c r="P102" s="246"/>
      <c r="Q102" s="411"/>
      <c r="R102" s="246"/>
      <c r="S102" s="411"/>
      <c r="T102" s="246"/>
    </row>
    <row r="103" spans="2:20" ht="27.4" customHeight="1" x14ac:dyDescent="0.45">
      <c r="B103" s="1348"/>
      <c r="C103" s="1091"/>
      <c r="D103" s="1105"/>
      <c r="E103" s="1109"/>
      <c r="F103" s="115" t="s">
        <v>494</v>
      </c>
      <c r="G103" s="56" t="s">
        <v>39</v>
      </c>
      <c r="H103" s="56" t="s">
        <v>491</v>
      </c>
      <c r="I103" s="56"/>
      <c r="J103" s="98"/>
      <c r="K103" s="674">
        <v>53</v>
      </c>
      <c r="L103" s="674">
        <v>53</v>
      </c>
      <c r="M103" s="411"/>
      <c r="N103" s="246"/>
      <c r="O103" s="411"/>
      <c r="P103" s="246"/>
      <c r="Q103" s="411"/>
      <c r="R103" s="246"/>
      <c r="S103" s="411"/>
      <c r="T103" s="246"/>
    </row>
    <row r="104" spans="2:20" ht="27.4" customHeight="1" x14ac:dyDescent="0.45">
      <c r="B104" s="1348"/>
      <c r="C104" s="1091"/>
      <c r="D104" s="1105"/>
      <c r="E104" s="1109"/>
      <c r="F104" s="116" t="s">
        <v>495</v>
      </c>
      <c r="G104" s="111" t="s">
        <v>496</v>
      </c>
      <c r="H104" s="111" t="s">
        <v>491</v>
      </c>
      <c r="I104" s="111"/>
      <c r="J104" s="112"/>
      <c r="K104" s="676">
        <v>0</v>
      </c>
      <c r="L104" s="676">
        <v>0</v>
      </c>
      <c r="M104" s="412"/>
      <c r="N104" s="261"/>
      <c r="O104" s="412"/>
      <c r="P104" s="261"/>
      <c r="Q104" s="412"/>
      <c r="R104" s="261"/>
      <c r="S104" s="412"/>
      <c r="T104" s="261"/>
    </row>
    <row r="105" spans="2:20" ht="27.4" customHeight="1" x14ac:dyDescent="0.45">
      <c r="B105" s="1348"/>
      <c r="C105" s="1091"/>
      <c r="D105" s="1094" t="s">
        <v>497</v>
      </c>
      <c r="E105" s="1095"/>
      <c r="F105" s="343" t="s">
        <v>498</v>
      </c>
      <c r="G105" s="344" t="s">
        <v>430</v>
      </c>
      <c r="H105" s="344"/>
      <c r="I105" s="344"/>
      <c r="J105" s="345"/>
      <c r="K105" s="681">
        <v>850</v>
      </c>
      <c r="L105" s="681">
        <v>850</v>
      </c>
      <c r="M105" s="410"/>
      <c r="N105" s="347"/>
      <c r="O105" s="410"/>
      <c r="P105" s="347"/>
      <c r="Q105" s="410"/>
      <c r="R105" s="347"/>
      <c r="S105" s="410"/>
      <c r="T105" s="347"/>
    </row>
    <row r="106" spans="2:20" ht="52.9" customHeight="1" x14ac:dyDescent="0.45">
      <c r="B106" s="1348"/>
      <c r="C106" s="1091"/>
      <c r="D106" s="1096"/>
      <c r="E106" s="1097"/>
      <c r="F106" s="97" t="s">
        <v>499</v>
      </c>
      <c r="G106" s="56" t="s">
        <v>21</v>
      </c>
      <c r="H106" s="56"/>
      <c r="I106" s="56"/>
      <c r="J106" s="98" t="s">
        <v>500</v>
      </c>
      <c r="K106" s="674" t="s">
        <v>200</v>
      </c>
      <c r="L106" s="674" t="s">
        <v>200</v>
      </c>
      <c r="M106" s="411"/>
      <c r="N106" s="246"/>
      <c r="O106" s="411"/>
      <c r="P106" s="246"/>
      <c r="Q106" s="411"/>
      <c r="R106" s="246"/>
      <c r="S106" s="411"/>
      <c r="T106" s="246"/>
    </row>
    <row r="107" spans="2:20" ht="27.4" customHeight="1" x14ac:dyDescent="0.45">
      <c r="B107" s="1348"/>
      <c r="C107" s="1091"/>
      <c r="D107" s="1086"/>
      <c r="E107" s="1087"/>
      <c r="F107" s="87" t="s">
        <v>277</v>
      </c>
      <c r="G107" s="83"/>
      <c r="H107" s="83"/>
      <c r="I107" s="83"/>
      <c r="J107" s="88"/>
      <c r="K107" s="675">
        <v>298</v>
      </c>
      <c r="L107" s="675">
        <v>289</v>
      </c>
      <c r="M107" s="411"/>
      <c r="N107" s="246"/>
      <c r="O107" s="411"/>
      <c r="P107" s="246"/>
      <c r="Q107" s="411"/>
      <c r="R107" s="246"/>
      <c r="S107" s="411"/>
      <c r="T107" s="246"/>
    </row>
    <row r="108" spans="2:20" ht="27.4" customHeight="1" x14ac:dyDescent="0.45">
      <c r="B108" s="1348"/>
      <c r="C108" s="1091"/>
      <c r="D108" s="1098"/>
      <c r="E108" s="1099"/>
      <c r="F108" s="348" t="s">
        <v>501</v>
      </c>
      <c r="G108" s="349" t="s">
        <v>21</v>
      </c>
      <c r="H108" s="349"/>
      <c r="I108" s="349"/>
      <c r="J108" s="350" t="s">
        <v>270</v>
      </c>
      <c r="K108" s="682" t="s">
        <v>151</v>
      </c>
      <c r="L108" s="682" t="s">
        <v>151</v>
      </c>
      <c r="M108" s="413"/>
      <c r="N108" s="352"/>
      <c r="O108" s="413"/>
      <c r="P108" s="352"/>
      <c r="Q108" s="413"/>
      <c r="R108" s="352"/>
      <c r="S108" s="413"/>
      <c r="T108" s="352"/>
    </row>
    <row r="109" spans="2:20" ht="27.4" customHeight="1" x14ac:dyDescent="0.45">
      <c r="B109" s="1348"/>
      <c r="C109" s="1091"/>
      <c r="D109" s="1085" t="s">
        <v>503</v>
      </c>
      <c r="E109" s="1084"/>
      <c r="F109" s="99" t="s">
        <v>38</v>
      </c>
      <c r="G109" s="57" t="s">
        <v>39</v>
      </c>
      <c r="H109" s="57"/>
      <c r="I109" s="57"/>
      <c r="J109" s="100"/>
      <c r="K109" s="680">
        <v>50.6</v>
      </c>
      <c r="L109" s="680">
        <v>53</v>
      </c>
      <c r="M109" s="411"/>
      <c r="N109" s="260"/>
      <c r="O109" s="411"/>
      <c r="P109" s="260"/>
      <c r="Q109" s="411"/>
      <c r="R109" s="260"/>
      <c r="S109" s="411"/>
      <c r="T109" s="260"/>
    </row>
    <row r="110" spans="2:20" ht="30.75" customHeight="1" x14ac:dyDescent="0.45">
      <c r="B110" s="1348"/>
      <c r="C110" s="1091"/>
      <c r="D110" s="1096"/>
      <c r="E110" s="1097"/>
      <c r="F110" s="87" t="s">
        <v>40</v>
      </c>
      <c r="G110" s="83" t="s">
        <v>39</v>
      </c>
      <c r="H110" s="83"/>
      <c r="I110" s="83"/>
      <c r="J110" s="88"/>
      <c r="K110" s="675">
        <v>48</v>
      </c>
      <c r="L110" s="675">
        <v>52.5</v>
      </c>
      <c r="M110" s="411"/>
      <c r="N110" s="246"/>
      <c r="O110" s="411"/>
      <c r="P110" s="246"/>
      <c r="Q110" s="411"/>
      <c r="R110" s="246"/>
      <c r="S110" s="411"/>
      <c r="T110" s="246"/>
    </row>
    <row r="111" spans="2:20" ht="24.75" customHeight="1" x14ac:dyDescent="0.45">
      <c r="B111" s="1349"/>
      <c r="C111" s="1093"/>
      <c r="D111" s="1107"/>
      <c r="E111" s="1108"/>
      <c r="F111" s="373" t="s">
        <v>41</v>
      </c>
      <c r="G111" s="374" t="s">
        <v>39</v>
      </c>
      <c r="H111" s="374"/>
      <c r="I111" s="374"/>
      <c r="J111" s="375"/>
      <c r="K111" s="687">
        <v>48.6</v>
      </c>
      <c r="L111" s="687">
        <v>52.7</v>
      </c>
      <c r="M111" s="416"/>
      <c r="N111" s="377"/>
      <c r="O111" s="416"/>
      <c r="P111" s="377"/>
      <c r="Q111" s="416"/>
      <c r="R111" s="377"/>
      <c r="S111" s="416"/>
      <c r="T111" s="377"/>
    </row>
    <row r="112" spans="2:20" ht="27.4" customHeight="1" x14ac:dyDescent="0.45">
      <c r="B112" s="1332" t="s">
        <v>221</v>
      </c>
      <c r="C112" s="1068"/>
      <c r="D112" s="1017" t="s">
        <v>504</v>
      </c>
      <c r="E112" s="1018"/>
      <c r="F112" s="378" t="s">
        <v>505</v>
      </c>
      <c r="G112" s="379" t="s">
        <v>137</v>
      </c>
      <c r="H112" s="379" t="s">
        <v>345</v>
      </c>
      <c r="I112" s="379"/>
      <c r="J112" s="380"/>
      <c r="K112" s="688">
        <v>0.22</v>
      </c>
      <c r="L112" s="688">
        <v>0.2</v>
      </c>
      <c r="M112" s="417"/>
      <c r="N112" s="372"/>
      <c r="O112" s="417"/>
      <c r="P112" s="372"/>
      <c r="Q112" s="417"/>
      <c r="R112" s="372"/>
      <c r="S112" s="417"/>
      <c r="T112" s="372"/>
    </row>
    <row r="113" spans="1:20" ht="27.4" customHeight="1" x14ac:dyDescent="0.45">
      <c r="B113" s="1332"/>
      <c r="C113" s="1068"/>
      <c r="D113" s="1019"/>
      <c r="E113" s="1020"/>
      <c r="F113" s="87" t="s">
        <v>505</v>
      </c>
      <c r="G113" s="83" t="s">
        <v>137</v>
      </c>
      <c r="H113" s="83" t="s">
        <v>217</v>
      </c>
      <c r="I113" s="83"/>
      <c r="J113" s="88"/>
      <c r="K113" s="675">
        <v>0.21299999999999999</v>
      </c>
      <c r="L113" s="675">
        <v>0.20899999999999999</v>
      </c>
      <c r="M113" s="411"/>
      <c r="N113" s="246"/>
      <c r="O113" s="411"/>
      <c r="P113" s="246"/>
      <c r="Q113" s="411"/>
      <c r="R113" s="246"/>
      <c r="S113" s="411"/>
      <c r="T113" s="246"/>
    </row>
    <row r="114" spans="1:20" ht="27.4" customHeight="1" x14ac:dyDescent="0.45">
      <c r="B114" s="1332"/>
      <c r="C114" s="1068"/>
      <c r="D114" s="1019"/>
      <c r="E114" s="1020"/>
      <c r="F114" s="97" t="s">
        <v>506</v>
      </c>
      <c r="G114" s="56" t="s">
        <v>507</v>
      </c>
      <c r="H114" s="56" t="s">
        <v>217</v>
      </c>
      <c r="I114" s="56"/>
      <c r="J114" s="98"/>
      <c r="K114" s="674">
        <v>506</v>
      </c>
      <c r="L114" s="674">
        <v>519</v>
      </c>
      <c r="M114" s="411"/>
      <c r="N114" s="246"/>
      <c r="O114" s="411"/>
      <c r="P114" s="246"/>
      <c r="Q114" s="411"/>
      <c r="R114" s="246"/>
      <c r="S114" s="411"/>
      <c r="T114" s="246"/>
    </row>
    <row r="115" spans="1:20" ht="29.25" customHeight="1" x14ac:dyDescent="0.45">
      <c r="B115" s="1332"/>
      <c r="C115" s="1068"/>
      <c r="D115" s="1019"/>
      <c r="E115" s="1020"/>
      <c r="F115" s="87" t="s">
        <v>508</v>
      </c>
      <c r="G115" s="83" t="s">
        <v>137</v>
      </c>
      <c r="H115" s="83" t="s">
        <v>345</v>
      </c>
      <c r="I115" s="83"/>
      <c r="J115" s="88"/>
      <c r="K115" s="675">
        <v>0.18</v>
      </c>
      <c r="L115" s="675">
        <v>0.2</v>
      </c>
      <c r="M115" s="411"/>
      <c r="N115" s="246"/>
      <c r="O115" s="411"/>
      <c r="P115" s="246"/>
      <c r="Q115" s="411"/>
      <c r="R115" s="246"/>
      <c r="S115" s="411"/>
      <c r="T115" s="246"/>
    </row>
    <row r="116" spans="1:20" ht="29.25" customHeight="1" x14ac:dyDescent="0.45">
      <c r="B116" s="1332"/>
      <c r="C116" s="1068"/>
      <c r="D116" s="1019"/>
      <c r="E116" s="1020"/>
      <c r="F116" s="97" t="s">
        <v>509</v>
      </c>
      <c r="G116" s="56" t="s">
        <v>137</v>
      </c>
      <c r="H116" s="56" t="s">
        <v>345</v>
      </c>
      <c r="I116" s="56"/>
      <c r="J116" s="98"/>
      <c r="K116" s="674">
        <v>0.21</v>
      </c>
      <c r="L116" s="674">
        <v>0.24</v>
      </c>
      <c r="M116" s="411"/>
      <c r="N116" s="246"/>
      <c r="O116" s="411"/>
      <c r="P116" s="246"/>
      <c r="Q116" s="411"/>
      <c r="R116" s="246"/>
      <c r="S116" s="411"/>
      <c r="T116" s="246"/>
    </row>
    <row r="117" spans="1:20" ht="29.25" customHeight="1" x14ac:dyDescent="0.45">
      <c r="A117" s="237" t="s">
        <v>137</v>
      </c>
      <c r="B117" s="1332"/>
      <c r="C117" s="1068"/>
      <c r="D117" s="1019"/>
      <c r="E117" s="1020"/>
      <c r="F117" s="87" t="s">
        <v>510</v>
      </c>
      <c r="G117" s="83" t="s">
        <v>137</v>
      </c>
      <c r="H117" s="83" t="s">
        <v>345</v>
      </c>
      <c r="I117" s="83"/>
      <c r="J117" s="88"/>
      <c r="K117" s="675">
        <v>0.18</v>
      </c>
      <c r="L117" s="675">
        <v>0.18</v>
      </c>
      <c r="M117" s="411"/>
      <c r="N117" s="246"/>
      <c r="O117" s="411"/>
      <c r="P117" s="246"/>
      <c r="Q117" s="411"/>
      <c r="R117" s="246"/>
      <c r="S117" s="411"/>
      <c r="T117" s="246"/>
    </row>
    <row r="118" spans="1:20" ht="29.25" customHeight="1" x14ac:dyDescent="0.45">
      <c r="B118" s="1332"/>
      <c r="C118" s="1068"/>
      <c r="D118" s="1019"/>
      <c r="E118" s="1020"/>
      <c r="F118" s="97" t="s">
        <v>511</v>
      </c>
      <c r="G118" s="56" t="s">
        <v>137</v>
      </c>
      <c r="H118" s="56" t="s">
        <v>345</v>
      </c>
      <c r="I118" s="56"/>
      <c r="J118" s="98"/>
      <c r="K118" s="674">
        <v>0.18</v>
      </c>
      <c r="L118" s="674">
        <v>0.2</v>
      </c>
      <c r="M118" s="411"/>
      <c r="N118" s="246"/>
      <c r="O118" s="411"/>
      <c r="P118" s="246"/>
      <c r="Q118" s="411"/>
      <c r="R118" s="246"/>
      <c r="S118" s="411"/>
      <c r="T118" s="246"/>
    </row>
    <row r="119" spans="1:20" ht="29.25" customHeight="1" x14ac:dyDescent="0.45">
      <c r="B119" s="1332"/>
      <c r="C119" s="1068"/>
      <c r="D119" s="1019"/>
      <c r="E119" s="1020"/>
      <c r="F119" s="87" t="s">
        <v>512</v>
      </c>
      <c r="G119" s="83" t="s">
        <v>137</v>
      </c>
      <c r="H119" s="83" t="s">
        <v>345</v>
      </c>
      <c r="I119" s="83"/>
      <c r="J119" s="88"/>
      <c r="K119" s="675">
        <v>0.18</v>
      </c>
      <c r="L119" s="675">
        <v>0.18</v>
      </c>
      <c r="M119" s="411"/>
      <c r="N119" s="246"/>
      <c r="O119" s="411"/>
      <c r="P119" s="246"/>
      <c r="Q119" s="411"/>
      <c r="R119" s="246"/>
      <c r="S119" s="411"/>
      <c r="T119" s="246"/>
    </row>
    <row r="120" spans="1:20" ht="29.25" customHeight="1" x14ac:dyDescent="0.45">
      <c r="B120" s="1332"/>
      <c r="C120" s="1068"/>
      <c r="D120" s="1019"/>
      <c r="E120" s="1020"/>
      <c r="F120" s="97" t="s">
        <v>513</v>
      </c>
      <c r="G120" s="56" t="s">
        <v>137</v>
      </c>
      <c r="H120" s="56" t="s">
        <v>345</v>
      </c>
      <c r="I120" s="56"/>
      <c r="J120" s="98"/>
      <c r="K120" s="674">
        <v>0.1</v>
      </c>
      <c r="L120" s="674">
        <v>0.1</v>
      </c>
      <c r="M120" s="411"/>
      <c r="N120" s="246"/>
      <c r="O120" s="411"/>
      <c r="P120" s="246"/>
      <c r="Q120" s="411"/>
      <c r="R120" s="246"/>
      <c r="S120" s="411"/>
      <c r="T120" s="246"/>
    </row>
    <row r="121" spans="1:20" ht="29.25" customHeight="1" x14ac:dyDescent="0.45">
      <c r="B121" s="1332"/>
      <c r="C121" s="1068"/>
      <c r="D121" s="1019"/>
      <c r="E121" s="1020"/>
      <c r="F121" s="87" t="s">
        <v>514</v>
      </c>
      <c r="G121" s="83" t="s">
        <v>137</v>
      </c>
      <c r="H121" s="83" t="s">
        <v>345</v>
      </c>
      <c r="I121" s="83"/>
      <c r="J121" s="88"/>
      <c r="K121" s="675">
        <v>0</v>
      </c>
      <c r="L121" s="675">
        <v>0</v>
      </c>
      <c r="M121" s="411"/>
      <c r="N121" s="246"/>
      <c r="O121" s="411"/>
      <c r="P121" s="246"/>
      <c r="Q121" s="411"/>
      <c r="R121" s="246"/>
      <c r="S121" s="411"/>
      <c r="T121" s="246"/>
    </row>
    <row r="122" spans="1:20" ht="29.25" customHeight="1" x14ac:dyDescent="0.45">
      <c r="B122" s="1332"/>
      <c r="C122" s="1068"/>
      <c r="D122" s="1019"/>
      <c r="E122" s="1020"/>
      <c r="F122" s="97" t="s">
        <v>515</v>
      </c>
      <c r="G122" s="56" t="s">
        <v>137</v>
      </c>
      <c r="H122" s="56" t="s">
        <v>345</v>
      </c>
      <c r="I122" s="56"/>
      <c r="J122" s="98"/>
      <c r="K122" s="674">
        <v>0</v>
      </c>
      <c r="L122" s="674">
        <v>0</v>
      </c>
      <c r="M122" s="411"/>
      <c r="N122" s="246"/>
      <c r="O122" s="411"/>
      <c r="P122" s="246"/>
      <c r="Q122" s="411"/>
      <c r="R122" s="246"/>
      <c r="S122" s="411"/>
      <c r="T122" s="246"/>
    </row>
    <row r="123" spans="1:20" ht="29.25" customHeight="1" x14ac:dyDescent="0.45">
      <c r="B123" s="1332"/>
      <c r="C123" s="1068"/>
      <c r="D123" s="1019"/>
      <c r="E123" s="1020"/>
      <c r="F123" s="87" t="s">
        <v>516</v>
      </c>
      <c r="G123" s="83" t="s">
        <v>137</v>
      </c>
      <c r="H123" s="83" t="s">
        <v>345</v>
      </c>
      <c r="I123" s="83"/>
      <c r="J123" s="88"/>
      <c r="K123" s="675">
        <v>0</v>
      </c>
      <c r="L123" s="675">
        <v>0</v>
      </c>
      <c r="M123" s="411"/>
      <c r="N123" s="246"/>
      <c r="O123" s="411"/>
      <c r="P123" s="246"/>
      <c r="Q123" s="411"/>
      <c r="R123" s="246"/>
      <c r="S123" s="411"/>
      <c r="T123" s="246"/>
    </row>
    <row r="124" spans="1:20" ht="29.25" customHeight="1" x14ac:dyDescent="0.45">
      <c r="B124" s="1332"/>
      <c r="C124" s="1068"/>
      <c r="D124" s="1019"/>
      <c r="E124" s="1020"/>
      <c r="F124" s="97" t="s">
        <v>517</v>
      </c>
      <c r="G124" s="56" t="s">
        <v>137</v>
      </c>
      <c r="H124" s="56" t="s">
        <v>345</v>
      </c>
      <c r="I124" s="56"/>
      <c r="J124" s="98"/>
      <c r="K124" s="674">
        <v>0</v>
      </c>
      <c r="L124" s="674">
        <v>0</v>
      </c>
      <c r="M124" s="411"/>
      <c r="N124" s="246"/>
      <c r="O124" s="411"/>
      <c r="P124" s="246"/>
      <c r="Q124" s="411"/>
      <c r="R124" s="246"/>
      <c r="S124" s="411"/>
      <c r="T124" s="246"/>
    </row>
    <row r="125" spans="1:20" ht="29.25" customHeight="1" x14ac:dyDescent="0.45">
      <c r="B125" s="1332"/>
      <c r="C125" s="1068"/>
      <c r="D125" s="1021"/>
      <c r="E125" s="1022"/>
      <c r="F125" s="359" t="s">
        <v>518</v>
      </c>
      <c r="G125" s="360" t="s">
        <v>137</v>
      </c>
      <c r="H125" s="360" t="s">
        <v>345</v>
      </c>
      <c r="I125" s="360"/>
      <c r="J125" s="361"/>
      <c r="K125" s="679">
        <v>0</v>
      </c>
      <c r="L125" s="679">
        <v>0</v>
      </c>
      <c r="M125" s="413"/>
      <c r="N125" s="352"/>
      <c r="O125" s="413"/>
      <c r="P125" s="352"/>
      <c r="Q125" s="413"/>
      <c r="R125" s="352"/>
      <c r="S125" s="413"/>
      <c r="T125" s="352"/>
    </row>
    <row r="126" spans="1:20" ht="27.4" customHeight="1" x14ac:dyDescent="0.45">
      <c r="B126" s="1332"/>
      <c r="C126" s="1068"/>
      <c r="D126" s="1019" t="s">
        <v>519</v>
      </c>
      <c r="E126" s="1020"/>
      <c r="F126" s="99" t="s">
        <v>520</v>
      </c>
      <c r="G126" s="57" t="s">
        <v>137</v>
      </c>
      <c r="H126" s="57" t="s">
        <v>345</v>
      </c>
      <c r="I126" s="57"/>
      <c r="J126" s="100"/>
      <c r="K126" s="680">
        <v>6.2</v>
      </c>
      <c r="L126" s="680">
        <v>6.2</v>
      </c>
      <c r="M126" s="411"/>
      <c r="N126" s="260"/>
      <c r="O126" s="411"/>
      <c r="P126" s="260"/>
      <c r="Q126" s="411"/>
      <c r="R126" s="260"/>
      <c r="S126" s="411"/>
      <c r="T126" s="260"/>
    </row>
    <row r="127" spans="1:20" ht="27.4" customHeight="1" x14ac:dyDescent="0.45">
      <c r="B127" s="1332"/>
      <c r="C127" s="1068"/>
      <c r="D127" s="1019"/>
      <c r="E127" s="1020"/>
      <c r="F127" s="87" t="s">
        <v>521</v>
      </c>
      <c r="G127" s="83" t="s">
        <v>137</v>
      </c>
      <c r="H127" s="83" t="s">
        <v>345</v>
      </c>
      <c r="I127" s="83"/>
      <c r="J127" s="88"/>
      <c r="K127" s="675">
        <v>6.2</v>
      </c>
      <c r="L127" s="675">
        <v>6.2</v>
      </c>
      <c r="M127" s="411"/>
      <c r="N127" s="246"/>
      <c r="O127" s="411"/>
      <c r="P127" s="246"/>
      <c r="Q127" s="411"/>
      <c r="R127" s="246"/>
      <c r="S127" s="411"/>
      <c r="T127" s="246"/>
    </row>
    <row r="128" spans="1:20" ht="27.4" customHeight="1" x14ac:dyDescent="0.45">
      <c r="B128" s="1332"/>
      <c r="C128" s="1068"/>
      <c r="D128" s="1019"/>
      <c r="E128" s="1020"/>
      <c r="F128" s="97" t="s">
        <v>520</v>
      </c>
      <c r="G128" s="56" t="s">
        <v>137</v>
      </c>
      <c r="H128" s="56" t="s">
        <v>73</v>
      </c>
      <c r="I128" s="56"/>
      <c r="J128" s="98"/>
      <c r="K128" s="674">
        <v>6.29</v>
      </c>
      <c r="L128" s="674">
        <v>6.55</v>
      </c>
      <c r="M128" s="507"/>
      <c r="N128" s="246"/>
      <c r="O128" s="507"/>
      <c r="P128" s="246"/>
      <c r="Q128" s="507"/>
      <c r="R128" s="246"/>
      <c r="S128" s="507"/>
      <c r="T128" s="246"/>
    </row>
    <row r="129" spans="2:20" ht="27.4" customHeight="1" x14ac:dyDescent="0.45">
      <c r="B129" s="1332"/>
      <c r="C129" s="1068"/>
      <c r="D129" s="1019"/>
      <c r="E129" s="1020"/>
      <c r="F129" s="339" t="s">
        <v>521</v>
      </c>
      <c r="G129" s="111" t="s">
        <v>137</v>
      </c>
      <c r="H129" s="111" t="s">
        <v>73</v>
      </c>
      <c r="I129" s="111"/>
      <c r="J129" s="112"/>
      <c r="K129" s="676">
        <v>6.26</v>
      </c>
      <c r="L129" s="676">
        <v>6.24</v>
      </c>
      <c r="M129" s="511"/>
      <c r="N129" s="261"/>
      <c r="O129" s="511"/>
      <c r="P129" s="261"/>
      <c r="Q129" s="511"/>
      <c r="R129" s="261"/>
      <c r="S129" s="511"/>
      <c r="T129" s="261"/>
    </row>
    <row r="130" spans="2:20" ht="27.4" customHeight="1" x14ac:dyDescent="0.45">
      <c r="B130" s="1332"/>
      <c r="C130" s="1068"/>
      <c r="D130" s="1027" t="s">
        <v>522</v>
      </c>
      <c r="E130" s="1028"/>
      <c r="F130" s="364" t="s">
        <v>523</v>
      </c>
      <c r="G130" s="365" t="s">
        <v>21</v>
      </c>
      <c r="H130" s="365" t="s">
        <v>21</v>
      </c>
      <c r="I130" s="365"/>
      <c r="J130" s="366" t="s">
        <v>451</v>
      </c>
      <c r="K130" s="693" t="s">
        <v>59</v>
      </c>
      <c r="L130" s="693" t="s">
        <v>59</v>
      </c>
      <c r="M130" s="508"/>
      <c r="N130" s="347"/>
      <c r="O130" s="508"/>
      <c r="P130" s="347"/>
      <c r="Q130" s="508"/>
      <c r="R130" s="347"/>
      <c r="S130" s="508"/>
      <c r="T130" s="347"/>
    </row>
    <row r="131" spans="2:20" ht="27.4" customHeight="1" x14ac:dyDescent="0.45">
      <c r="B131" s="1332"/>
      <c r="C131" s="1068"/>
      <c r="D131" s="1029"/>
      <c r="E131" s="1030"/>
      <c r="F131" s="339" t="s">
        <v>525</v>
      </c>
      <c r="G131" s="111" t="s">
        <v>21</v>
      </c>
      <c r="H131" s="111" t="s">
        <v>21</v>
      </c>
      <c r="I131" s="111"/>
      <c r="J131" s="112" t="s">
        <v>451</v>
      </c>
      <c r="K131" s="676" t="s">
        <v>456</v>
      </c>
      <c r="L131" s="676" t="s">
        <v>456</v>
      </c>
      <c r="M131" s="507"/>
      <c r="N131" s="246"/>
      <c r="O131" s="507"/>
      <c r="P131" s="246"/>
      <c r="Q131" s="507"/>
      <c r="R131" s="246"/>
      <c r="S131" s="507"/>
      <c r="T131" s="246"/>
    </row>
    <row r="132" spans="2:20" ht="27.4" customHeight="1" x14ac:dyDescent="0.45">
      <c r="B132" s="1332"/>
      <c r="C132" s="1068"/>
      <c r="D132" s="1029"/>
      <c r="E132" s="1030"/>
      <c r="F132" s="97" t="s">
        <v>526</v>
      </c>
      <c r="G132" s="56" t="s">
        <v>69</v>
      </c>
      <c r="H132" s="56" t="s">
        <v>345</v>
      </c>
      <c r="I132" s="56"/>
      <c r="J132" s="98"/>
      <c r="K132" s="674">
        <v>22</v>
      </c>
      <c r="L132" s="674">
        <v>31</v>
      </c>
      <c r="M132" s="507"/>
      <c r="N132" s="246"/>
      <c r="O132" s="507"/>
      <c r="P132" s="246"/>
      <c r="Q132" s="507"/>
      <c r="R132" s="246"/>
      <c r="S132" s="507"/>
      <c r="T132" s="246"/>
    </row>
    <row r="133" spans="2:20" ht="27.4" customHeight="1" x14ac:dyDescent="0.45">
      <c r="B133" s="1332"/>
      <c r="C133" s="1068"/>
      <c r="D133" s="1029"/>
      <c r="E133" s="1030"/>
      <c r="F133" s="87" t="s">
        <v>526</v>
      </c>
      <c r="G133" s="83" t="s">
        <v>72</v>
      </c>
      <c r="H133" s="83" t="s">
        <v>73</v>
      </c>
      <c r="I133" s="83"/>
      <c r="J133" s="88"/>
      <c r="K133" s="675">
        <v>420</v>
      </c>
      <c r="L133" s="675">
        <v>484</v>
      </c>
      <c r="M133" s="507"/>
      <c r="N133" s="246"/>
      <c r="O133" s="507"/>
      <c r="P133" s="246"/>
      <c r="Q133" s="507"/>
      <c r="R133" s="246"/>
      <c r="S133" s="507"/>
      <c r="T133" s="246"/>
    </row>
    <row r="134" spans="2:20" ht="27.4" customHeight="1" x14ac:dyDescent="0.45">
      <c r="B134" s="1332"/>
      <c r="C134" s="1068"/>
      <c r="D134" s="1029"/>
      <c r="E134" s="1030"/>
      <c r="F134" s="97" t="s">
        <v>527</v>
      </c>
      <c r="G134" s="56" t="s">
        <v>39</v>
      </c>
      <c r="H134" s="56" t="s">
        <v>345</v>
      </c>
      <c r="I134" s="56"/>
      <c r="J134" s="98"/>
      <c r="K134" s="674">
        <v>25</v>
      </c>
      <c r="L134" s="674">
        <v>26</v>
      </c>
      <c r="M134" s="507"/>
      <c r="N134" s="246"/>
      <c r="O134" s="507"/>
      <c r="P134" s="246"/>
      <c r="Q134" s="507"/>
      <c r="R134" s="246"/>
      <c r="S134" s="507"/>
      <c r="T134" s="246"/>
    </row>
    <row r="135" spans="2:20" ht="27.4" customHeight="1" x14ac:dyDescent="0.45">
      <c r="B135" s="1332"/>
      <c r="C135" s="1068"/>
      <c r="D135" s="1029"/>
      <c r="E135" s="1030"/>
      <c r="F135" s="87" t="s">
        <v>528</v>
      </c>
      <c r="G135" s="83" t="s">
        <v>77</v>
      </c>
      <c r="H135" s="83" t="s">
        <v>217</v>
      </c>
      <c r="I135" s="83"/>
      <c r="J135" s="88"/>
      <c r="K135" s="675">
        <v>1.77</v>
      </c>
      <c r="L135" s="675">
        <v>1.59</v>
      </c>
      <c r="M135" s="507"/>
      <c r="N135" s="246"/>
      <c r="O135" s="507"/>
      <c r="P135" s="246"/>
      <c r="Q135" s="507"/>
      <c r="R135" s="246"/>
      <c r="S135" s="507"/>
      <c r="T135" s="246"/>
    </row>
    <row r="136" spans="2:20" ht="31.5" customHeight="1" x14ac:dyDescent="0.45">
      <c r="B136" s="1332"/>
      <c r="C136" s="1068"/>
      <c r="D136" s="1029"/>
      <c r="E136" s="1030"/>
      <c r="F136" s="97" t="s">
        <v>529</v>
      </c>
      <c r="G136" s="56" t="s">
        <v>21</v>
      </c>
      <c r="H136" s="56" t="s">
        <v>21</v>
      </c>
      <c r="I136" s="8" t="s">
        <v>530</v>
      </c>
      <c r="J136" s="205"/>
      <c r="K136" s="684">
        <v>0</v>
      </c>
      <c r="L136" s="684">
        <v>0</v>
      </c>
      <c r="M136" s="507"/>
      <c r="N136" s="246"/>
      <c r="O136" s="507"/>
      <c r="P136" s="246"/>
      <c r="Q136" s="507"/>
      <c r="R136" s="246"/>
      <c r="S136" s="507"/>
      <c r="T136" s="246"/>
    </row>
    <row r="137" spans="2:20" ht="39.75" customHeight="1" x14ac:dyDescent="0.45">
      <c r="B137" s="1332"/>
      <c r="C137" s="1068"/>
      <c r="D137" s="1029"/>
      <c r="E137" s="1030"/>
      <c r="F137" s="87" t="s">
        <v>531</v>
      </c>
      <c r="G137" s="83" t="s">
        <v>21</v>
      </c>
      <c r="H137" s="83" t="s">
        <v>21</v>
      </c>
      <c r="I137" s="83"/>
      <c r="J137" s="88" t="s">
        <v>532</v>
      </c>
      <c r="K137" s="675" t="s">
        <v>151</v>
      </c>
      <c r="L137" s="675" t="s">
        <v>151</v>
      </c>
      <c r="M137" s="507"/>
      <c r="N137" s="246"/>
      <c r="O137" s="507"/>
      <c r="P137" s="246"/>
      <c r="Q137" s="507"/>
      <c r="R137" s="246"/>
      <c r="S137" s="507"/>
      <c r="T137" s="246"/>
    </row>
    <row r="138" spans="2:20" ht="27.4" customHeight="1" x14ac:dyDescent="0.45">
      <c r="B138" s="1332"/>
      <c r="C138" s="1068"/>
      <c r="D138" s="1029"/>
      <c r="E138" s="1030"/>
      <c r="F138" s="87" t="s">
        <v>533</v>
      </c>
      <c r="G138" s="83" t="s">
        <v>489</v>
      </c>
      <c r="H138" s="83" t="s">
        <v>73</v>
      </c>
      <c r="I138" s="83"/>
      <c r="J138" s="88" t="s">
        <v>534</v>
      </c>
      <c r="K138" s="675">
        <v>6.12</v>
      </c>
      <c r="L138" s="675">
        <v>5.92</v>
      </c>
      <c r="M138" s="507"/>
      <c r="N138" s="246"/>
      <c r="O138" s="507"/>
      <c r="P138" s="246"/>
      <c r="Q138" s="507"/>
      <c r="R138" s="246"/>
      <c r="S138" s="507"/>
      <c r="T138" s="246"/>
    </row>
    <row r="139" spans="2:20" ht="27" customHeight="1" x14ac:dyDescent="0.45">
      <c r="B139" s="1332"/>
      <c r="C139" s="1068"/>
      <c r="D139" s="1029"/>
      <c r="E139" s="1030"/>
      <c r="F139" s="97" t="s">
        <v>536</v>
      </c>
      <c r="G139" s="56" t="s">
        <v>137</v>
      </c>
      <c r="H139" s="56" t="s">
        <v>345</v>
      </c>
      <c r="I139" s="56"/>
      <c r="J139" s="98"/>
      <c r="K139" s="674">
        <v>6.2</v>
      </c>
      <c r="L139" s="674">
        <v>6</v>
      </c>
      <c r="M139" s="507"/>
      <c r="N139" s="246"/>
      <c r="O139" s="507"/>
      <c r="P139" s="246"/>
      <c r="Q139" s="507"/>
      <c r="R139" s="246"/>
      <c r="S139" s="507"/>
      <c r="T139" s="246"/>
    </row>
    <row r="140" spans="2:20" ht="17.649999999999999" customHeight="1" x14ac:dyDescent="0.45">
      <c r="B140" s="1332"/>
      <c r="C140" s="1068"/>
      <c r="D140" s="1029"/>
      <c r="E140" s="1030"/>
      <c r="F140" s="87" t="s">
        <v>537</v>
      </c>
      <c r="G140" s="83" t="s">
        <v>137</v>
      </c>
      <c r="H140" s="83" t="s">
        <v>345</v>
      </c>
      <c r="I140" s="83"/>
      <c r="J140" s="88"/>
      <c r="K140" s="675">
        <v>7.2</v>
      </c>
      <c r="L140" s="675">
        <v>7</v>
      </c>
      <c r="M140" s="507"/>
      <c r="N140" s="246"/>
      <c r="O140" s="507"/>
      <c r="P140" s="246"/>
      <c r="Q140" s="507"/>
      <c r="R140" s="246"/>
      <c r="S140" s="507"/>
      <c r="T140" s="246"/>
    </row>
    <row r="141" spans="2:20" ht="27.4" customHeight="1" x14ac:dyDescent="0.45">
      <c r="B141" s="1332"/>
      <c r="C141" s="1068"/>
      <c r="D141" s="1031"/>
      <c r="E141" s="1032"/>
      <c r="F141" s="348" t="s">
        <v>538</v>
      </c>
      <c r="G141" s="349" t="s">
        <v>72</v>
      </c>
      <c r="H141" s="349" t="s">
        <v>345</v>
      </c>
      <c r="I141" s="349"/>
      <c r="J141" s="350"/>
      <c r="K141" s="682">
        <v>600</v>
      </c>
      <c r="L141" s="682">
        <v>400</v>
      </c>
      <c r="M141" s="512"/>
      <c r="N141" s="352"/>
      <c r="O141" s="512"/>
      <c r="P141" s="352"/>
      <c r="Q141" s="512"/>
      <c r="R141" s="352"/>
      <c r="S141" s="512"/>
      <c r="T141" s="352"/>
    </row>
    <row r="142" spans="2:20" ht="27.4" customHeight="1" x14ac:dyDescent="0.45">
      <c r="B142" s="1332"/>
      <c r="C142" s="1068"/>
      <c r="D142" s="1019" t="s">
        <v>539</v>
      </c>
      <c r="E142" s="1020"/>
      <c r="F142" s="103" t="s">
        <v>523</v>
      </c>
      <c r="G142" s="61" t="s">
        <v>21</v>
      </c>
      <c r="H142" s="61" t="s">
        <v>21</v>
      </c>
      <c r="I142" s="61"/>
      <c r="J142" s="104" t="s">
        <v>451</v>
      </c>
      <c r="K142" s="686">
        <v>2</v>
      </c>
      <c r="L142" s="686">
        <v>1</v>
      </c>
      <c r="M142" s="506"/>
      <c r="N142" s="260"/>
      <c r="O142" s="506"/>
      <c r="P142" s="260"/>
      <c r="Q142" s="506"/>
      <c r="R142" s="260"/>
      <c r="S142" s="506"/>
      <c r="T142" s="260"/>
    </row>
    <row r="143" spans="2:20" ht="27.4" customHeight="1" x14ac:dyDescent="0.45">
      <c r="B143" s="1332"/>
      <c r="C143" s="1068"/>
      <c r="D143" s="1019"/>
      <c r="E143" s="1020"/>
      <c r="F143" s="103" t="s">
        <v>525</v>
      </c>
      <c r="G143" s="61"/>
      <c r="H143" s="61"/>
      <c r="I143" s="61"/>
      <c r="J143" s="104"/>
      <c r="K143" s="686">
        <v>1</v>
      </c>
      <c r="L143" s="686">
        <v>1</v>
      </c>
      <c r="M143" s="507"/>
      <c r="N143" s="246"/>
      <c r="O143" s="507"/>
      <c r="P143" s="246"/>
      <c r="Q143" s="507"/>
      <c r="R143" s="246"/>
      <c r="S143" s="507"/>
      <c r="T143" s="246"/>
    </row>
    <row r="144" spans="2:20" ht="27.4" customHeight="1" x14ac:dyDescent="0.45">
      <c r="B144" s="1332"/>
      <c r="C144" s="1068"/>
      <c r="D144" s="1019"/>
      <c r="E144" s="1020"/>
      <c r="F144" s="87" t="s">
        <v>526</v>
      </c>
      <c r="G144" s="83" t="s">
        <v>72</v>
      </c>
      <c r="H144" s="83" t="s">
        <v>345</v>
      </c>
      <c r="I144" s="83"/>
      <c r="J144" s="88"/>
      <c r="K144" s="675">
        <v>540</v>
      </c>
      <c r="L144" s="675">
        <v>470</v>
      </c>
      <c r="M144" s="507"/>
      <c r="N144" s="246"/>
      <c r="O144" s="507"/>
      <c r="P144" s="246"/>
      <c r="Q144" s="507"/>
      <c r="R144" s="246"/>
      <c r="S144" s="507"/>
      <c r="T144" s="246"/>
    </row>
    <row r="145" spans="2:20" ht="27.4" customHeight="1" x14ac:dyDescent="0.45">
      <c r="B145" s="1332"/>
      <c r="C145" s="1068"/>
      <c r="D145" s="1019"/>
      <c r="E145" s="1020"/>
      <c r="F145" s="87" t="s">
        <v>526</v>
      </c>
      <c r="G145" s="83" t="s">
        <v>72</v>
      </c>
      <c r="H145" s="83" t="s">
        <v>73</v>
      </c>
      <c r="I145" s="83"/>
      <c r="J145" s="88"/>
      <c r="K145" s="675">
        <v>549</v>
      </c>
      <c r="L145" s="675">
        <v>477</v>
      </c>
      <c r="M145" s="507"/>
      <c r="N145" s="246"/>
      <c r="O145" s="507"/>
      <c r="P145" s="246"/>
      <c r="Q145" s="507"/>
      <c r="R145" s="246"/>
      <c r="S145" s="507"/>
      <c r="T145" s="246"/>
    </row>
    <row r="146" spans="2:20" ht="27.4" customHeight="1" x14ac:dyDescent="0.45">
      <c r="B146" s="1332"/>
      <c r="C146" s="1068"/>
      <c r="D146" s="1019"/>
      <c r="E146" s="1020"/>
      <c r="F146" s="97" t="s">
        <v>527</v>
      </c>
      <c r="G146" s="56" t="s">
        <v>39</v>
      </c>
      <c r="H146" s="56" t="s">
        <v>345</v>
      </c>
      <c r="I146" s="56"/>
      <c r="J146" s="98"/>
      <c r="K146" s="674">
        <v>35.1</v>
      </c>
      <c r="L146" s="674">
        <v>34</v>
      </c>
      <c r="M146" s="507"/>
      <c r="N146" s="246"/>
      <c r="O146" s="507"/>
      <c r="P146" s="246"/>
      <c r="Q146" s="507"/>
      <c r="R146" s="246"/>
      <c r="S146" s="507"/>
      <c r="T146" s="246"/>
    </row>
    <row r="147" spans="2:20" ht="39.75" customHeight="1" x14ac:dyDescent="0.45">
      <c r="B147" s="1332"/>
      <c r="C147" s="1068"/>
      <c r="D147" s="1019"/>
      <c r="E147" s="1020"/>
      <c r="F147" s="97" t="s">
        <v>531</v>
      </c>
      <c r="G147" s="56" t="s">
        <v>21</v>
      </c>
      <c r="H147" s="56" t="s">
        <v>21</v>
      </c>
      <c r="I147" s="56"/>
      <c r="J147" s="98" t="s">
        <v>532</v>
      </c>
      <c r="K147" s="674" t="s">
        <v>151</v>
      </c>
      <c r="L147" s="674" t="s">
        <v>151</v>
      </c>
      <c r="M147" s="507"/>
      <c r="N147" s="246"/>
      <c r="O147" s="507"/>
      <c r="P147" s="246"/>
      <c r="Q147" s="507"/>
      <c r="R147" s="246"/>
      <c r="S147" s="507"/>
      <c r="T147" s="246"/>
    </row>
    <row r="148" spans="2:20" ht="27.4" customHeight="1" x14ac:dyDescent="0.45">
      <c r="B148" s="1332"/>
      <c r="C148" s="1068"/>
      <c r="D148" s="1019"/>
      <c r="E148" s="1020"/>
      <c r="F148" s="87" t="s">
        <v>540</v>
      </c>
      <c r="G148" s="83" t="s">
        <v>137</v>
      </c>
      <c r="H148" s="83" t="s">
        <v>345</v>
      </c>
      <c r="I148" s="83"/>
      <c r="J148" s="88"/>
      <c r="K148" s="675">
        <v>7.2</v>
      </c>
      <c r="L148" s="675">
        <v>7</v>
      </c>
      <c r="M148" s="507"/>
      <c r="N148" s="246"/>
      <c r="O148" s="507"/>
      <c r="P148" s="246"/>
      <c r="Q148" s="507"/>
      <c r="R148" s="246"/>
      <c r="S148" s="507"/>
      <c r="T148" s="246"/>
    </row>
    <row r="149" spans="2:20" ht="27.4" customHeight="1" x14ac:dyDescent="0.45">
      <c r="B149" s="1332"/>
      <c r="C149" s="1068"/>
      <c r="D149" s="1019"/>
      <c r="E149" s="1020"/>
      <c r="F149" s="97" t="s">
        <v>540</v>
      </c>
      <c r="G149" s="56" t="s">
        <v>137</v>
      </c>
      <c r="H149" s="56" t="s">
        <v>73</v>
      </c>
      <c r="I149" s="56"/>
      <c r="J149" s="98"/>
      <c r="K149" s="674">
        <v>6.11</v>
      </c>
      <c r="L149" s="674">
        <v>6.27</v>
      </c>
      <c r="M149" s="507"/>
      <c r="N149" s="246"/>
      <c r="O149" s="507"/>
      <c r="P149" s="246"/>
      <c r="Q149" s="507"/>
      <c r="R149" s="246"/>
      <c r="S149" s="507"/>
      <c r="T149" s="246"/>
    </row>
    <row r="150" spans="2:20" ht="27.4" customHeight="1" x14ac:dyDescent="0.45">
      <c r="B150" s="1332"/>
      <c r="C150" s="1068"/>
      <c r="D150" s="1019"/>
      <c r="E150" s="1020"/>
      <c r="F150" s="87" t="s">
        <v>538</v>
      </c>
      <c r="G150" s="83" t="s">
        <v>72</v>
      </c>
      <c r="H150" s="83" t="s">
        <v>345</v>
      </c>
      <c r="I150" s="83"/>
      <c r="J150" s="88"/>
      <c r="K150" s="675">
        <v>290</v>
      </c>
      <c r="L150" s="675">
        <v>370</v>
      </c>
      <c r="M150" s="507"/>
      <c r="N150" s="246"/>
      <c r="O150" s="507"/>
      <c r="P150" s="246"/>
      <c r="Q150" s="507"/>
      <c r="R150" s="246"/>
      <c r="S150" s="507"/>
      <c r="T150" s="246"/>
    </row>
    <row r="151" spans="2:20" ht="27.4" customHeight="1" x14ac:dyDescent="0.45">
      <c r="B151" s="1332"/>
      <c r="C151" s="1068"/>
      <c r="D151" s="1019"/>
      <c r="E151" s="1020"/>
      <c r="F151" s="97" t="s">
        <v>538</v>
      </c>
      <c r="G151" s="56" t="s">
        <v>72</v>
      </c>
      <c r="H151" s="56" t="s">
        <v>73</v>
      </c>
      <c r="I151" s="56"/>
      <c r="J151" s="98"/>
      <c r="K151" s="674">
        <v>307</v>
      </c>
      <c r="L151" s="674">
        <v>390</v>
      </c>
      <c r="M151" s="507"/>
      <c r="N151" s="246"/>
      <c r="O151" s="507"/>
      <c r="P151" s="246"/>
      <c r="Q151" s="507"/>
      <c r="R151" s="246"/>
      <c r="S151" s="507"/>
      <c r="T151" s="246"/>
    </row>
    <row r="152" spans="2:20" ht="17.25" x14ac:dyDescent="0.45">
      <c r="B152" s="1332"/>
      <c r="C152" s="1068"/>
      <c r="D152" s="1019"/>
      <c r="E152" s="1020"/>
      <c r="F152" s="339" t="s">
        <v>537</v>
      </c>
      <c r="G152" s="111" t="s">
        <v>137</v>
      </c>
      <c r="H152" s="111" t="s">
        <v>345</v>
      </c>
      <c r="I152" s="111"/>
      <c r="J152" s="112"/>
      <c r="K152" s="676">
        <v>6.1</v>
      </c>
      <c r="L152" s="676">
        <v>6.2</v>
      </c>
      <c r="M152" s="511"/>
      <c r="N152" s="261"/>
      <c r="O152" s="511"/>
      <c r="P152" s="261"/>
      <c r="Q152" s="511"/>
      <c r="R152" s="261"/>
      <c r="S152" s="511"/>
      <c r="T152" s="261"/>
    </row>
    <row r="153" spans="2:20" ht="27.4" customHeight="1" x14ac:dyDescent="0.45">
      <c r="B153" s="1332"/>
      <c r="C153" s="1068"/>
      <c r="D153" s="1023" t="s">
        <v>541</v>
      </c>
      <c r="E153" s="1024"/>
      <c r="F153" s="354" t="s">
        <v>542</v>
      </c>
      <c r="G153" s="355" t="s">
        <v>72</v>
      </c>
      <c r="H153" s="355" t="s">
        <v>345</v>
      </c>
      <c r="I153" s="355"/>
      <c r="J153" s="356"/>
      <c r="K153" s="677">
        <v>130</v>
      </c>
      <c r="L153" s="677">
        <v>100</v>
      </c>
      <c r="M153" s="513"/>
      <c r="N153" s="347"/>
      <c r="O153" s="513"/>
      <c r="P153" s="347"/>
      <c r="Q153" s="513"/>
      <c r="R153" s="347"/>
      <c r="S153" s="513"/>
      <c r="T153" s="347"/>
    </row>
    <row r="154" spans="2:20" ht="27.4" customHeight="1" x14ac:dyDescent="0.45">
      <c r="B154" s="1332"/>
      <c r="C154" s="1068"/>
      <c r="D154" s="1021"/>
      <c r="E154" s="1022"/>
      <c r="F154" s="359" t="s">
        <v>401</v>
      </c>
      <c r="G154" s="360" t="s">
        <v>77</v>
      </c>
      <c r="H154" s="360" t="s">
        <v>217</v>
      </c>
      <c r="I154" s="360"/>
      <c r="J154" s="361"/>
      <c r="K154" s="679">
        <v>0</v>
      </c>
      <c r="L154" s="679">
        <v>0</v>
      </c>
      <c r="M154" s="514"/>
      <c r="N154" s="352"/>
      <c r="O154" s="514"/>
      <c r="P154" s="352"/>
      <c r="Q154" s="514"/>
      <c r="R154" s="352"/>
      <c r="S154" s="514"/>
      <c r="T154" s="352"/>
    </row>
    <row r="155" spans="2:20" ht="27.4" customHeight="1" x14ac:dyDescent="0.45">
      <c r="B155" s="1332"/>
      <c r="C155" s="1068"/>
      <c r="D155" s="1023" t="s">
        <v>543</v>
      </c>
      <c r="E155" s="1024"/>
      <c r="F155" s="354" t="s">
        <v>544</v>
      </c>
      <c r="G155" s="355" t="s">
        <v>21</v>
      </c>
      <c r="H155" s="355"/>
      <c r="I155" s="355"/>
      <c r="J155" s="356" t="s">
        <v>451</v>
      </c>
      <c r="K155" s="677">
        <v>1</v>
      </c>
      <c r="L155" s="677"/>
      <c r="M155" s="513"/>
      <c r="N155" s="347"/>
      <c r="O155" s="513"/>
      <c r="P155" s="347"/>
      <c r="Q155" s="513"/>
      <c r="R155" s="347"/>
      <c r="S155" s="513"/>
      <c r="T155" s="347"/>
    </row>
    <row r="156" spans="2:20" ht="27.4" customHeight="1" x14ac:dyDescent="0.45">
      <c r="B156" s="1332"/>
      <c r="C156" s="1068"/>
      <c r="D156" s="1021"/>
      <c r="E156" s="1022"/>
      <c r="F156" s="359" t="s">
        <v>546</v>
      </c>
      <c r="G156" s="360"/>
      <c r="H156" s="360"/>
      <c r="I156" s="360"/>
      <c r="J156" s="361"/>
      <c r="K156" s="679"/>
      <c r="L156" s="679"/>
      <c r="M156" s="669"/>
      <c r="N156" s="520"/>
      <c r="O156" s="669"/>
      <c r="P156" s="520"/>
      <c r="Q156" s="669"/>
      <c r="R156" s="520"/>
      <c r="S156" s="669"/>
      <c r="T156" s="520"/>
    </row>
    <row r="157" spans="2:20" ht="27.4" customHeight="1" x14ac:dyDescent="0.45">
      <c r="B157" s="1332"/>
      <c r="C157" s="1068"/>
      <c r="D157" s="1019" t="s">
        <v>547</v>
      </c>
      <c r="E157" s="1020"/>
      <c r="F157" s="99" t="s">
        <v>548</v>
      </c>
      <c r="G157" s="57" t="s">
        <v>137</v>
      </c>
      <c r="H157" s="57" t="s">
        <v>345</v>
      </c>
      <c r="I157" s="57"/>
      <c r="J157" s="100"/>
      <c r="K157" s="680">
        <v>6.2</v>
      </c>
      <c r="L157" s="680">
        <v>6.2</v>
      </c>
      <c r="M157" s="515"/>
      <c r="N157" s="260"/>
      <c r="O157" s="515"/>
      <c r="P157" s="260"/>
      <c r="Q157" s="515"/>
      <c r="R157" s="260"/>
      <c r="S157" s="515"/>
      <c r="T157" s="260"/>
    </row>
    <row r="158" spans="2:20" ht="27.4" customHeight="1" x14ac:dyDescent="0.45">
      <c r="B158" s="1332"/>
      <c r="C158" s="1068"/>
      <c r="D158" s="1019"/>
      <c r="E158" s="1020"/>
      <c r="F158" s="87" t="s">
        <v>548</v>
      </c>
      <c r="G158" s="83" t="s">
        <v>137</v>
      </c>
      <c r="H158" s="83" t="s">
        <v>217</v>
      </c>
      <c r="I158" s="83"/>
      <c r="J158" s="88"/>
      <c r="K158" s="675">
        <v>6.25</v>
      </c>
      <c r="L158" s="675">
        <v>6.2</v>
      </c>
      <c r="M158" s="515"/>
      <c r="N158" s="246"/>
      <c r="O158" s="515"/>
      <c r="P158" s="246"/>
      <c r="Q158" s="515"/>
      <c r="R158" s="246"/>
      <c r="S158" s="515"/>
      <c r="T158" s="246"/>
    </row>
    <row r="159" spans="2:20" ht="27.4" customHeight="1" x14ac:dyDescent="0.45">
      <c r="B159" s="1332"/>
      <c r="C159" s="1068"/>
      <c r="D159" s="1019"/>
      <c r="E159" s="1020"/>
      <c r="F159" s="97" t="s">
        <v>549</v>
      </c>
      <c r="G159" s="56" t="s">
        <v>137</v>
      </c>
      <c r="H159" s="56" t="s">
        <v>345</v>
      </c>
      <c r="I159" s="56"/>
      <c r="J159" s="98"/>
      <c r="K159" s="674">
        <v>6.2</v>
      </c>
      <c r="L159" s="674">
        <v>6.2</v>
      </c>
      <c r="M159" s="515"/>
      <c r="N159" s="246"/>
      <c r="O159" s="515"/>
      <c r="P159" s="246"/>
      <c r="Q159" s="515"/>
      <c r="R159" s="246"/>
      <c r="S159" s="515"/>
      <c r="T159" s="246"/>
    </row>
    <row r="160" spans="2:20" ht="27.4" customHeight="1" x14ac:dyDescent="0.45">
      <c r="B160" s="1332"/>
      <c r="C160" s="1068"/>
      <c r="D160" s="1019"/>
      <c r="E160" s="1020"/>
      <c r="F160" s="87" t="s">
        <v>549</v>
      </c>
      <c r="G160" s="83" t="s">
        <v>137</v>
      </c>
      <c r="H160" s="83" t="s">
        <v>217</v>
      </c>
      <c r="I160" s="83"/>
      <c r="J160" s="88"/>
      <c r="K160" s="675">
        <v>6.2</v>
      </c>
      <c r="L160" s="675">
        <v>6.23</v>
      </c>
      <c r="M160" s="515"/>
      <c r="N160" s="246"/>
      <c r="O160" s="515"/>
      <c r="P160" s="246"/>
      <c r="Q160" s="515"/>
      <c r="R160" s="246"/>
      <c r="S160" s="515"/>
      <c r="T160" s="246"/>
    </row>
    <row r="161" spans="2:20" ht="27.4" customHeight="1" x14ac:dyDescent="0.45">
      <c r="B161" s="1332"/>
      <c r="C161" s="1068"/>
      <c r="D161" s="1019"/>
      <c r="E161" s="1020"/>
      <c r="F161" s="97" t="s">
        <v>550</v>
      </c>
      <c r="G161" s="56" t="s">
        <v>137</v>
      </c>
      <c r="H161" s="56" t="s">
        <v>345</v>
      </c>
      <c r="I161" s="56"/>
      <c r="J161" s="98"/>
      <c r="K161" s="674">
        <v>6.2</v>
      </c>
      <c r="L161" s="674">
        <v>6.2</v>
      </c>
      <c r="M161" s="515"/>
      <c r="N161" s="246"/>
      <c r="O161" s="515"/>
      <c r="P161" s="246"/>
      <c r="Q161" s="515"/>
      <c r="R161" s="246"/>
      <c r="S161" s="515"/>
      <c r="T161" s="246"/>
    </row>
    <row r="162" spans="2:20" ht="27.4" customHeight="1" x14ac:dyDescent="0.45">
      <c r="B162" s="1332"/>
      <c r="C162" s="1068"/>
      <c r="D162" s="1019"/>
      <c r="E162" s="1020"/>
      <c r="F162" s="87" t="s">
        <v>551</v>
      </c>
      <c r="G162" s="83" t="s">
        <v>137</v>
      </c>
      <c r="H162" s="83" t="s">
        <v>217</v>
      </c>
      <c r="I162" s="83"/>
      <c r="J162" s="88"/>
      <c r="K162" s="675">
        <v>6.18</v>
      </c>
      <c r="L162" s="675">
        <v>6.2</v>
      </c>
      <c r="M162" s="515"/>
      <c r="N162" s="246"/>
      <c r="O162" s="515"/>
      <c r="P162" s="246"/>
      <c r="Q162" s="515"/>
      <c r="R162" s="246"/>
      <c r="S162" s="515"/>
      <c r="T162" s="246"/>
    </row>
    <row r="163" spans="2:20" ht="27.4" customHeight="1" x14ac:dyDescent="0.45">
      <c r="B163" s="1332"/>
      <c r="C163" s="1068"/>
      <c r="D163" s="1019"/>
      <c r="E163" s="1020"/>
      <c r="F163" s="97" t="s">
        <v>552</v>
      </c>
      <c r="G163" s="56" t="s">
        <v>137</v>
      </c>
      <c r="H163" s="56" t="s">
        <v>345</v>
      </c>
      <c r="I163" s="56"/>
      <c r="J163" s="98"/>
      <c r="K163" s="674">
        <v>6.2</v>
      </c>
      <c r="L163" s="674">
        <v>6.2</v>
      </c>
      <c r="M163" s="515"/>
      <c r="N163" s="246"/>
      <c r="O163" s="515"/>
      <c r="P163" s="246"/>
      <c r="Q163" s="515"/>
      <c r="R163" s="246"/>
      <c r="S163" s="515"/>
      <c r="T163" s="246"/>
    </row>
    <row r="164" spans="2:20" ht="27.4" customHeight="1" x14ac:dyDescent="0.45">
      <c r="B164" s="1332"/>
      <c r="C164" s="1068"/>
      <c r="D164" s="1019"/>
      <c r="E164" s="1020"/>
      <c r="F164" s="87" t="s">
        <v>553</v>
      </c>
      <c r="G164" s="83" t="s">
        <v>137</v>
      </c>
      <c r="H164" s="83" t="s">
        <v>217</v>
      </c>
      <c r="I164" s="83"/>
      <c r="J164" s="88"/>
      <c r="K164" s="675">
        <v>6.24</v>
      </c>
      <c r="L164" s="675">
        <v>6.2</v>
      </c>
      <c r="M164" s="515"/>
      <c r="N164" s="246"/>
      <c r="O164" s="515"/>
      <c r="P164" s="246"/>
      <c r="Q164" s="515"/>
      <c r="R164" s="246"/>
      <c r="S164" s="515"/>
      <c r="T164" s="246"/>
    </row>
    <row r="165" spans="2:20" ht="27.4" customHeight="1" x14ac:dyDescent="0.45">
      <c r="B165" s="1332"/>
      <c r="C165" s="1068"/>
      <c r="D165" s="1019"/>
      <c r="E165" s="1020"/>
      <c r="F165" s="97" t="s">
        <v>554</v>
      </c>
      <c r="G165" s="56" t="s">
        <v>137</v>
      </c>
      <c r="H165" s="56" t="s">
        <v>345</v>
      </c>
      <c r="I165" s="56"/>
      <c r="J165" s="98"/>
      <c r="K165" s="674">
        <v>6.2</v>
      </c>
      <c r="L165" s="674">
        <v>6.2</v>
      </c>
      <c r="M165" s="411"/>
      <c r="N165" s="246"/>
      <c r="O165" s="411"/>
      <c r="P165" s="246"/>
      <c r="Q165" s="411"/>
      <c r="R165" s="246"/>
      <c r="S165" s="411"/>
      <c r="T165" s="246"/>
    </row>
    <row r="166" spans="2:20" ht="27.4" customHeight="1" x14ac:dyDescent="0.45">
      <c r="B166" s="1332"/>
      <c r="C166" s="1068"/>
      <c r="D166" s="1019"/>
      <c r="E166" s="1020"/>
      <c r="F166" s="87" t="s">
        <v>555</v>
      </c>
      <c r="G166" s="83" t="s">
        <v>137</v>
      </c>
      <c r="H166" s="83" t="s">
        <v>217</v>
      </c>
      <c r="I166" s="83"/>
      <c r="J166" s="88"/>
      <c r="K166" s="675">
        <v>6.19</v>
      </c>
      <c r="L166" s="675">
        <v>6.2</v>
      </c>
      <c r="M166" s="411"/>
      <c r="N166" s="246"/>
      <c r="O166" s="411"/>
      <c r="P166" s="246"/>
      <c r="Q166" s="411"/>
      <c r="R166" s="246"/>
      <c r="S166" s="411"/>
      <c r="T166" s="246"/>
    </row>
    <row r="167" spans="2:20" ht="27.4" customHeight="1" x14ac:dyDescent="0.45">
      <c r="B167" s="1332"/>
      <c r="C167" s="1068"/>
      <c r="D167" s="1019"/>
      <c r="E167" s="1020"/>
      <c r="F167" s="97" t="s">
        <v>557</v>
      </c>
      <c r="G167" s="56" t="s">
        <v>137</v>
      </c>
      <c r="H167" s="56" t="s">
        <v>345</v>
      </c>
      <c r="I167" s="56"/>
      <c r="J167" s="98"/>
      <c r="K167" s="674">
        <v>6.2</v>
      </c>
      <c r="L167" s="674">
        <v>6.2</v>
      </c>
      <c r="M167" s="411"/>
      <c r="N167" s="246"/>
      <c r="O167" s="411"/>
      <c r="P167" s="246"/>
      <c r="Q167" s="411"/>
      <c r="R167" s="246"/>
      <c r="S167" s="411"/>
      <c r="T167" s="246"/>
    </row>
    <row r="168" spans="2:20" ht="27.4" customHeight="1" x14ac:dyDescent="0.45">
      <c r="B168" s="1332"/>
      <c r="C168" s="1068"/>
      <c r="D168" s="1019"/>
      <c r="E168" s="1020"/>
      <c r="F168" s="87" t="s">
        <v>558</v>
      </c>
      <c r="G168" s="83" t="s">
        <v>137</v>
      </c>
      <c r="H168" s="83" t="s">
        <v>217</v>
      </c>
      <c r="I168" s="83"/>
      <c r="J168" s="88"/>
      <c r="K168" s="675">
        <v>6.2</v>
      </c>
      <c r="L168" s="675">
        <v>6.21</v>
      </c>
      <c r="M168" s="411"/>
      <c r="N168" s="246"/>
      <c r="O168" s="411"/>
      <c r="P168" s="246"/>
      <c r="Q168" s="411"/>
      <c r="R168" s="246"/>
      <c r="S168" s="411"/>
      <c r="T168" s="246"/>
    </row>
    <row r="169" spans="2:20" ht="27.4" customHeight="1" x14ac:dyDescent="0.45">
      <c r="B169" s="1332"/>
      <c r="C169" s="1068"/>
      <c r="D169" s="1019"/>
      <c r="E169" s="1020"/>
      <c r="F169" s="97" t="s">
        <v>560</v>
      </c>
      <c r="G169" s="56" t="s">
        <v>137</v>
      </c>
      <c r="H169" s="56" t="s">
        <v>345</v>
      </c>
      <c r="I169" s="56"/>
      <c r="J169" s="98"/>
      <c r="K169" s="674">
        <v>6.2</v>
      </c>
      <c r="L169" s="674">
        <v>6.2</v>
      </c>
      <c r="M169" s="411"/>
      <c r="N169" s="246"/>
      <c r="O169" s="411"/>
      <c r="P169" s="246"/>
      <c r="Q169" s="411"/>
      <c r="R169" s="246"/>
      <c r="S169" s="411"/>
      <c r="T169" s="246"/>
    </row>
    <row r="170" spans="2:20" ht="27.4" customHeight="1" x14ac:dyDescent="0.45">
      <c r="B170" s="1332"/>
      <c r="C170" s="1068"/>
      <c r="D170" s="1019"/>
      <c r="E170" s="1020"/>
      <c r="F170" s="87" t="s">
        <v>561</v>
      </c>
      <c r="G170" s="83" t="s">
        <v>137</v>
      </c>
      <c r="H170" s="83" t="s">
        <v>217</v>
      </c>
      <c r="I170" s="83"/>
      <c r="J170" s="88"/>
      <c r="K170" s="675">
        <v>6.23</v>
      </c>
      <c r="L170" s="675">
        <v>6.19</v>
      </c>
      <c r="M170" s="411"/>
      <c r="N170" s="246"/>
      <c r="O170" s="411"/>
      <c r="P170" s="246"/>
      <c r="Q170" s="411"/>
      <c r="R170" s="246"/>
      <c r="S170" s="411"/>
      <c r="T170" s="246"/>
    </row>
    <row r="171" spans="2:20" ht="27.4" customHeight="1" x14ac:dyDescent="0.45">
      <c r="B171" s="1332"/>
      <c r="C171" s="1068"/>
      <c r="D171" s="1019"/>
      <c r="E171" s="1020"/>
      <c r="F171" s="97" t="s">
        <v>562</v>
      </c>
      <c r="G171" s="56" t="s">
        <v>137</v>
      </c>
      <c r="H171" s="56" t="s">
        <v>345</v>
      </c>
      <c r="I171" s="56"/>
      <c r="J171" s="98"/>
      <c r="K171" s="674">
        <v>0</v>
      </c>
      <c r="L171" s="674">
        <v>0</v>
      </c>
      <c r="M171" s="411"/>
      <c r="N171" s="246"/>
      <c r="O171" s="411"/>
      <c r="P171" s="246"/>
      <c r="Q171" s="411"/>
      <c r="R171" s="246"/>
      <c r="S171" s="411"/>
      <c r="T171" s="246"/>
    </row>
    <row r="172" spans="2:20" ht="27.4" customHeight="1" x14ac:dyDescent="0.45">
      <c r="B172" s="1333"/>
      <c r="C172" s="1070"/>
      <c r="D172" s="1025"/>
      <c r="E172" s="1026"/>
      <c r="F172" s="385" t="s">
        <v>563</v>
      </c>
      <c r="G172" s="386" t="s">
        <v>137</v>
      </c>
      <c r="H172" s="386" t="s">
        <v>217</v>
      </c>
      <c r="I172" s="386"/>
      <c r="J172" s="387"/>
      <c r="K172" s="694">
        <v>0</v>
      </c>
      <c r="L172" s="694">
        <v>0</v>
      </c>
      <c r="M172" s="416"/>
      <c r="N172" s="377"/>
      <c r="O172" s="416"/>
      <c r="P172" s="377"/>
      <c r="Q172" s="416"/>
      <c r="R172" s="377"/>
      <c r="S172" s="416"/>
      <c r="T172" s="377"/>
    </row>
    <row r="173" spans="2:20" ht="27.4" customHeight="1" x14ac:dyDescent="0.45">
      <c r="B173" s="1372" t="s">
        <v>214</v>
      </c>
      <c r="C173" s="1062"/>
      <c r="D173" s="1017" t="s">
        <v>564</v>
      </c>
      <c r="E173" s="1018"/>
      <c r="F173" s="87" t="s">
        <v>565</v>
      </c>
      <c r="G173" s="83" t="s">
        <v>566</v>
      </c>
      <c r="H173" s="83" t="s">
        <v>73</v>
      </c>
      <c r="I173" s="83"/>
      <c r="J173" s="88" t="s">
        <v>60</v>
      </c>
      <c r="K173" s="695">
        <v>1</v>
      </c>
      <c r="L173" s="695">
        <v>2</v>
      </c>
      <c r="M173" s="417"/>
      <c r="N173" s="372"/>
      <c r="O173" s="417"/>
      <c r="P173" s="372"/>
      <c r="Q173" s="417"/>
      <c r="R173" s="372"/>
      <c r="S173" s="417"/>
      <c r="T173" s="372"/>
    </row>
    <row r="174" spans="2:20" ht="27.4" customHeight="1" x14ac:dyDescent="0.45">
      <c r="B174" s="1374"/>
      <c r="C174" s="1064"/>
      <c r="D174" s="1019"/>
      <c r="E174" s="1020"/>
      <c r="F174" s="97" t="s">
        <v>567</v>
      </c>
      <c r="G174" s="56" t="s">
        <v>137</v>
      </c>
      <c r="H174" s="56" t="s">
        <v>345</v>
      </c>
      <c r="I174" s="56"/>
      <c r="J174" s="98"/>
      <c r="K174" s="674">
        <v>0.4</v>
      </c>
      <c r="L174" s="674">
        <v>0.4</v>
      </c>
      <c r="M174" s="411"/>
      <c r="N174" s="246"/>
      <c r="O174" s="411"/>
      <c r="P174" s="246"/>
      <c r="Q174" s="411"/>
      <c r="R174" s="246"/>
      <c r="S174" s="411"/>
      <c r="T174" s="246"/>
    </row>
    <row r="175" spans="2:20" ht="27.4" customHeight="1" x14ac:dyDescent="0.45">
      <c r="B175" s="1374"/>
      <c r="C175" s="1064"/>
      <c r="D175" s="1019"/>
      <c r="E175" s="1020"/>
      <c r="F175" s="87" t="s">
        <v>568</v>
      </c>
      <c r="G175" s="83" t="s">
        <v>137</v>
      </c>
      <c r="H175" s="83" t="s">
        <v>345</v>
      </c>
      <c r="I175" s="83"/>
      <c r="J175" s="88"/>
      <c r="K175" s="674">
        <v>0.4</v>
      </c>
      <c r="L175" s="674">
        <v>0.4</v>
      </c>
      <c r="M175" s="411"/>
      <c r="N175" s="246"/>
      <c r="O175" s="411"/>
      <c r="P175" s="246"/>
      <c r="Q175" s="411"/>
      <c r="R175" s="246"/>
      <c r="S175" s="411"/>
      <c r="T175" s="246"/>
    </row>
    <row r="176" spans="2:20" ht="27.4" customHeight="1" x14ac:dyDescent="0.45">
      <c r="B176" s="1374"/>
      <c r="C176" s="1064"/>
      <c r="D176" s="1019"/>
      <c r="E176" s="1020"/>
      <c r="F176" s="97" t="s">
        <v>569</v>
      </c>
      <c r="G176" s="56" t="s">
        <v>434</v>
      </c>
      <c r="H176" s="56" t="s">
        <v>217</v>
      </c>
      <c r="I176" s="56"/>
      <c r="J176" s="98"/>
      <c r="K176" s="674">
        <v>0.53</v>
      </c>
      <c r="L176" s="674" t="s">
        <v>597</v>
      </c>
      <c r="M176" s="411"/>
      <c r="N176" s="246"/>
      <c r="O176" s="411"/>
      <c r="P176" s="246"/>
      <c r="Q176" s="411"/>
      <c r="R176" s="246"/>
      <c r="S176" s="411"/>
      <c r="T176" s="246"/>
    </row>
    <row r="177" spans="1:20" ht="27.4" customHeight="1" x14ac:dyDescent="0.45">
      <c r="B177" s="1374"/>
      <c r="C177" s="1064"/>
      <c r="D177" s="1019"/>
      <c r="E177" s="1020"/>
      <c r="F177" s="87" t="s">
        <v>570</v>
      </c>
      <c r="G177" s="83" t="s">
        <v>137</v>
      </c>
      <c r="H177" s="83" t="s">
        <v>345</v>
      </c>
      <c r="I177" s="83"/>
      <c r="J177" s="88"/>
      <c r="K177" s="675">
        <v>0.4</v>
      </c>
      <c r="L177" s="675">
        <v>0.35</v>
      </c>
      <c r="M177" s="411"/>
      <c r="N177" s="246"/>
      <c r="O177" s="411"/>
      <c r="P177" s="246"/>
      <c r="Q177" s="411"/>
      <c r="R177" s="246"/>
      <c r="S177" s="411"/>
      <c r="T177" s="246"/>
    </row>
    <row r="178" spans="1:20" ht="27.4" customHeight="1" x14ac:dyDescent="0.45">
      <c r="B178" s="1374"/>
      <c r="C178" s="1064"/>
      <c r="D178" s="1019"/>
      <c r="E178" s="1020"/>
      <c r="F178" s="97" t="s">
        <v>572</v>
      </c>
      <c r="G178" s="56" t="s">
        <v>137</v>
      </c>
      <c r="H178" s="56" t="s">
        <v>491</v>
      </c>
      <c r="I178" s="56"/>
      <c r="J178" s="98"/>
      <c r="K178" s="674">
        <v>0.3</v>
      </c>
      <c r="L178" s="674" t="s">
        <v>597</v>
      </c>
      <c r="M178" s="411"/>
      <c r="N178" s="246"/>
      <c r="O178" s="411"/>
      <c r="P178" s="246"/>
      <c r="Q178" s="411"/>
      <c r="R178" s="246"/>
      <c r="S178" s="411"/>
      <c r="T178" s="246"/>
    </row>
    <row r="179" spans="1:20" ht="27.4" customHeight="1" x14ac:dyDescent="0.45">
      <c r="B179" s="1374"/>
      <c r="C179" s="1064"/>
      <c r="D179" s="1019"/>
      <c r="E179" s="1020"/>
      <c r="F179" s="87" t="s">
        <v>573</v>
      </c>
      <c r="G179" s="83" t="s">
        <v>137</v>
      </c>
      <c r="H179" s="83" t="s">
        <v>345</v>
      </c>
      <c r="I179" s="83"/>
      <c r="J179" s="88"/>
      <c r="K179" s="675">
        <v>0</v>
      </c>
      <c r="L179" s="675">
        <v>0</v>
      </c>
      <c r="M179" s="411"/>
      <c r="N179" s="246"/>
      <c r="O179" s="411"/>
      <c r="P179" s="246"/>
      <c r="Q179" s="411"/>
      <c r="R179" s="246"/>
      <c r="S179" s="411"/>
      <c r="T179" s="246"/>
    </row>
    <row r="180" spans="1:20" s="494" customFormat="1" ht="27.4" customHeight="1" x14ac:dyDescent="0.45">
      <c r="A180" s="237"/>
      <c r="B180" s="1374"/>
      <c r="C180" s="1064"/>
      <c r="D180" s="1019"/>
      <c r="E180" s="1020"/>
      <c r="F180" s="97" t="s">
        <v>574</v>
      </c>
      <c r="G180" s="56" t="s">
        <v>21</v>
      </c>
      <c r="H180" s="56"/>
      <c r="I180" s="56" t="s">
        <v>575</v>
      </c>
      <c r="J180" s="98"/>
      <c r="K180" s="674" t="s">
        <v>48</v>
      </c>
      <c r="L180" s="674" t="s">
        <v>48</v>
      </c>
      <c r="M180" s="411"/>
      <c r="N180" s="246"/>
      <c r="O180" s="411"/>
      <c r="P180" s="246"/>
      <c r="Q180" s="411"/>
      <c r="R180" s="246"/>
      <c r="S180" s="411"/>
      <c r="T180" s="246"/>
    </row>
    <row r="181" spans="1:20" ht="27.4" customHeight="1" x14ac:dyDescent="0.45">
      <c r="B181" s="1374"/>
      <c r="C181" s="1064"/>
      <c r="D181" s="1019"/>
      <c r="E181" s="1020"/>
      <c r="F181" s="87" t="s">
        <v>569</v>
      </c>
      <c r="G181" s="83" t="s">
        <v>137</v>
      </c>
      <c r="H181" s="83" t="s">
        <v>73</v>
      </c>
      <c r="I181" s="83"/>
      <c r="J181" s="88"/>
      <c r="K181" s="675"/>
      <c r="L181" s="675"/>
      <c r="M181" s="411"/>
      <c r="N181" s="246"/>
      <c r="O181" s="411"/>
      <c r="P181" s="246"/>
      <c r="Q181" s="411"/>
      <c r="R181" s="246"/>
      <c r="S181" s="411"/>
      <c r="T181" s="246"/>
    </row>
    <row r="182" spans="1:20" ht="37.9" customHeight="1" x14ac:dyDescent="0.45">
      <c r="B182" s="1374"/>
      <c r="C182" s="1064"/>
      <c r="D182" s="1019"/>
      <c r="E182" s="1020"/>
      <c r="F182" s="97" t="s">
        <v>577</v>
      </c>
      <c r="G182" s="56" t="s">
        <v>845</v>
      </c>
      <c r="H182" s="56" t="s">
        <v>73</v>
      </c>
      <c r="I182" s="56"/>
      <c r="J182" s="98"/>
      <c r="K182" s="674" t="s">
        <v>846</v>
      </c>
      <c r="L182" s="674" t="s">
        <v>847</v>
      </c>
      <c r="M182" s="667"/>
      <c r="N182" s="493"/>
      <c r="O182" s="667"/>
      <c r="P182" s="493"/>
      <c r="Q182" s="667"/>
      <c r="R182" s="493"/>
      <c r="S182" s="667"/>
      <c r="T182" s="493"/>
    </row>
    <row r="183" spans="1:20" ht="27.4" customHeight="1" x14ac:dyDescent="0.45">
      <c r="B183" s="1374"/>
      <c r="C183" s="1064"/>
      <c r="D183" s="1019"/>
      <c r="E183" s="1020"/>
      <c r="F183" s="87" t="s">
        <v>588</v>
      </c>
      <c r="G183" s="83" t="s">
        <v>845</v>
      </c>
      <c r="H183" s="83" t="s">
        <v>73</v>
      </c>
      <c r="I183" s="83"/>
      <c r="J183" s="88"/>
      <c r="K183" s="675" t="s">
        <v>848</v>
      </c>
      <c r="L183" s="675" t="s">
        <v>849</v>
      </c>
      <c r="M183" s="411"/>
      <c r="N183" s="246"/>
      <c r="O183" s="411"/>
      <c r="P183" s="246"/>
      <c r="Q183" s="411"/>
      <c r="R183" s="246"/>
      <c r="S183" s="411"/>
      <c r="T183" s="246"/>
    </row>
    <row r="184" spans="1:20" ht="27.4" customHeight="1" x14ac:dyDescent="0.45">
      <c r="B184" s="1374"/>
      <c r="C184" s="1064"/>
      <c r="D184" s="1021"/>
      <c r="E184" s="1022"/>
      <c r="F184" s="348" t="s">
        <v>595</v>
      </c>
      <c r="G184" s="349" t="s">
        <v>115</v>
      </c>
      <c r="H184" s="349" t="s">
        <v>73</v>
      </c>
      <c r="I184" s="349" t="s">
        <v>21</v>
      </c>
      <c r="J184" s="350" t="s">
        <v>21</v>
      </c>
      <c r="K184" s="682">
        <v>753</v>
      </c>
      <c r="L184" s="682">
        <v>753</v>
      </c>
      <c r="M184" s="413"/>
      <c r="N184" s="352"/>
      <c r="O184" s="413"/>
      <c r="P184" s="352"/>
      <c r="Q184" s="413"/>
      <c r="R184" s="352"/>
      <c r="S184" s="413"/>
      <c r="T184" s="352"/>
    </row>
    <row r="185" spans="1:20" ht="27.4" customHeight="1" x14ac:dyDescent="0.45">
      <c r="B185" s="1374"/>
      <c r="C185" s="1064"/>
      <c r="D185" s="1023" t="s">
        <v>596</v>
      </c>
      <c r="E185" s="1024"/>
      <c r="F185" s="87" t="s">
        <v>565</v>
      </c>
      <c r="G185" s="83" t="s">
        <v>566</v>
      </c>
      <c r="H185" s="83" t="s">
        <v>21</v>
      </c>
      <c r="I185" s="83"/>
      <c r="J185" s="88" t="s">
        <v>60</v>
      </c>
      <c r="K185" s="686">
        <v>1</v>
      </c>
      <c r="L185" s="686">
        <v>2</v>
      </c>
      <c r="M185" s="411"/>
      <c r="N185" s="260"/>
      <c r="O185" s="411"/>
      <c r="P185" s="260"/>
      <c r="Q185" s="411"/>
      <c r="R185" s="260"/>
      <c r="S185" s="411"/>
      <c r="T185" s="260"/>
    </row>
    <row r="186" spans="1:20" ht="27.4" customHeight="1" x14ac:dyDescent="0.45">
      <c r="B186" s="1374"/>
      <c r="C186" s="1064"/>
      <c r="D186" s="1019"/>
      <c r="E186" s="1020"/>
      <c r="F186" s="97" t="s">
        <v>567</v>
      </c>
      <c r="G186" s="56" t="s">
        <v>137</v>
      </c>
      <c r="H186" s="56" t="s">
        <v>345</v>
      </c>
      <c r="I186" s="56"/>
      <c r="J186" s="98"/>
      <c r="K186" s="674">
        <v>0.3</v>
      </c>
      <c r="L186" s="674">
        <v>0.34</v>
      </c>
      <c r="M186" s="411"/>
      <c r="N186" s="246"/>
      <c r="O186" s="411"/>
      <c r="P186" s="246"/>
      <c r="Q186" s="411"/>
      <c r="R186" s="246"/>
      <c r="S186" s="411"/>
      <c r="T186" s="246"/>
    </row>
    <row r="187" spans="1:20" ht="27.4" customHeight="1" x14ac:dyDescent="0.45">
      <c r="B187" s="1374"/>
      <c r="C187" s="1064"/>
      <c r="D187" s="1019"/>
      <c r="E187" s="1020"/>
      <c r="F187" s="87" t="s">
        <v>568</v>
      </c>
      <c r="G187" s="83" t="s">
        <v>137</v>
      </c>
      <c r="H187" s="83" t="s">
        <v>345</v>
      </c>
      <c r="I187" s="83"/>
      <c r="J187" s="88"/>
      <c r="K187" s="674">
        <v>0.3</v>
      </c>
      <c r="L187" s="674">
        <v>0.3</v>
      </c>
      <c r="M187" s="411"/>
      <c r="N187" s="246"/>
      <c r="O187" s="411"/>
      <c r="P187" s="246"/>
      <c r="Q187" s="411"/>
      <c r="R187" s="246"/>
      <c r="S187" s="411"/>
      <c r="T187" s="246"/>
    </row>
    <row r="188" spans="1:20" ht="27.4" customHeight="1" x14ac:dyDescent="0.45">
      <c r="B188" s="1374"/>
      <c r="C188" s="1064"/>
      <c r="D188" s="1019"/>
      <c r="E188" s="1020"/>
      <c r="F188" s="97" t="s">
        <v>569</v>
      </c>
      <c r="G188" s="56" t="s">
        <v>434</v>
      </c>
      <c r="H188" s="56" t="s">
        <v>217</v>
      </c>
      <c r="I188" s="56"/>
      <c r="J188" s="98"/>
      <c r="K188" s="674">
        <v>454</v>
      </c>
      <c r="L188" s="674">
        <v>14</v>
      </c>
      <c r="M188" s="411"/>
      <c r="N188" s="246"/>
      <c r="O188" s="411"/>
      <c r="P188" s="246"/>
      <c r="Q188" s="411"/>
      <c r="R188" s="246"/>
      <c r="S188" s="411"/>
      <c r="T188" s="246"/>
    </row>
    <row r="189" spans="1:20" ht="27.4" customHeight="1" x14ac:dyDescent="0.45">
      <c r="B189" s="1374"/>
      <c r="C189" s="1064"/>
      <c r="D189" s="1019"/>
      <c r="E189" s="1020"/>
      <c r="F189" s="87" t="s">
        <v>570</v>
      </c>
      <c r="G189" s="83" t="s">
        <v>137</v>
      </c>
      <c r="H189" s="83" t="s">
        <v>345</v>
      </c>
      <c r="I189" s="83"/>
      <c r="J189" s="88"/>
      <c r="K189" s="675">
        <v>0.3</v>
      </c>
      <c r="L189" s="675">
        <v>0.3</v>
      </c>
      <c r="M189" s="411"/>
      <c r="N189" s="246"/>
      <c r="O189" s="411"/>
      <c r="P189" s="246"/>
      <c r="Q189" s="411"/>
      <c r="R189" s="246"/>
      <c r="S189" s="411"/>
      <c r="T189" s="246"/>
    </row>
    <row r="190" spans="1:20" ht="27.4" customHeight="1" x14ac:dyDescent="0.45">
      <c r="B190" s="1374"/>
      <c r="C190" s="1064"/>
      <c r="D190" s="1019"/>
      <c r="E190" s="1020"/>
      <c r="F190" s="97" t="s">
        <v>572</v>
      </c>
      <c r="G190" s="56" t="s">
        <v>137</v>
      </c>
      <c r="H190" s="56" t="s">
        <v>491</v>
      </c>
      <c r="I190" s="56"/>
      <c r="J190" s="98"/>
      <c r="K190" s="674"/>
      <c r="L190" s="674">
        <v>14.1</v>
      </c>
      <c r="M190" s="411"/>
      <c r="N190" s="246"/>
      <c r="O190" s="411"/>
      <c r="P190" s="246"/>
      <c r="Q190" s="411"/>
      <c r="R190" s="246"/>
      <c r="S190" s="411"/>
      <c r="T190" s="246"/>
    </row>
    <row r="191" spans="1:20" ht="27.4" customHeight="1" x14ac:dyDescent="0.45">
      <c r="B191" s="1374"/>
      <c r="C191" s="1064"/>
      <c r="D191" s="1019"/>
      <c r="E191" s="1020"/>
      <c r="F191" s="87" t="s">
        <v>600</v>
      </c>
      <c r="G191" s="83" t="s">
        <v>137</v>
      </c>
      <c r="H191" s="83" t="s">
        <v>345</v>
      </c>
      <c r="I191" s="83"/>
      <c r="J191" s="88"/>
      <c r="K191" s="675">
        <v>0</v>
      </c>
      <c r="L191" s="675">
        <v>0</v>
      </c>
      <c r="M191" s="411"/>
      <c r="N191" s="246"/>
      <c r="O191" s="411"/>
      <c r="P191" s="246"/>
      <c r="Q191" s="411"/>
      <c r="R191" s="246"/>
      <c r="S191" s="411"/>
      <c r="T191" s="246"/>
    </row>
    <row r="192" spans="1:20" ht="37.9" customHeight="1" x14ac:dyDescent="0.45">
      <c r="B192" s="1374"/>
      <c r="C192" s="1064"/>
      <c r="D192" s="1019"/>
      <c r="E192" s="1020"/>
      <c r="F192" s="97" t="s">
        <v>574</v>
      </c>
      <c r="G192" s="56" t="s">
        <v>21</v>
      </c>
      <c r="H192" s="56"/>
      <c r="I192" s="56" t="s">
        <v>575</v>
      </c>
      <c r="J192" s="98"/>
      <c r="K192" s="674" t="s">
        <v>48</v>
      </c>
      <c r="L192" s="674" t="s">
        <v>48</v>
      </c>
      <c r="M192" s="411"/>
      <c r="N192" s="246"/>
      <c r="O192" s="411"/>
      <c r="P192" s="246"/>
      <c r="Q192" s="411"/>
      <c r="R192" s="246"/>
      <c r="S192" s="411"/>
      <c r="T192" s="246"/>
    </row>
    <row r="193" spans="1:20" ht="27.4" customHeight="1" x14ac:dyDescent="0.45">
      <c r="B193" s="1374"/>
      <c r="C193" s="1064"/>
      <c r="D193" s="1019"/>
      <c r="E193" s="1020"/>
      <c r="F193" s="87" t="s">
        <v>569</v>
      </c>
      <c r="G193" s="83" t="s">
        <v>137</v>
      </c>
      <c r="H193" s="83" t="s">
        <v>73</v>
      </c>
      <c r="I193" s="83"/>
      <c r="J193" s="88"/>
      <c r="K193" s="675"/>
      <c r="L193" s="675">
        <v>14.3</v>
      </c>
      <c r="M193" s="411"/>
      <c r="N193" s="246"/>
      <c r="O193" s="411"/>
      <c r="P193" s="246"/>
      <c r="Q193" s="411"/>
      <c r="R193" s="246"/>
      <c r="S193" s="411"/>
      <c r="T193" s="246"/>
    </row>
    <row r="194" spans="1:20" ht="27.4" customHeight="1" x14ac:dyDescent="0.45">
      <c r="B194" s="1374"/>
      <c r="C194" s="1064"/>
      <c r="D194" s="1019"/>
      <c r="E194" s="1020"/>
      <c r="F194" s="97" t="s">
        <v>577</v>
      </c>
      <c r="G194" s="56" t="s">
        <v>845</v>
      </c>
      <c r="H194" s="56" t="s">
        <v>73</v>
      </c>
      <c r="I194" s="56"/>
      <c r="J194" s="98"/>
      <c r="K194" s="674" t="s">
        <v>850</v>
      </c>
      <c r="L194" s="674" t="s">
        <v>850</v>
      </c>
      <c r="M194" s="411"/>
      <c r="N194" s="246"/>
      <c r="O194" s="411"/>
      <c r="P194" s="246"/>
      <c r="Q194" s="411"/>
      <c r="R194" s="246"/>
      <c r="S194" s="411"/>
      <c r="T194" s="246"/>
    </row>
    <row r="195" spans="1:20" ht="27.4" customHeight="1" x14ac:dyDescent="0.45">
      <c r="B195" s="1374"/>
      <c r="C195" s="1064"/>
      <c r="D195" s="1019"/>
      <c r="E195" s="1020"/>
      <c r="F195" s="87" t="s">
        <v>588</v>
      </c>
      <c r="G195" s="83" t="s">
        <v>845</v>
      </c>
      <c r="H195" s="83" t="s">
        <v>73</v>
      </c>
      <c r="I195" s="83"/>
      <c r="J195" s="88"/>
      <c r="K195" s="675" t="s">
        <v>851</v>
      </c>
      <c r="L195" s="675" t="s">
        <v>851</v>
      </c>
      <c r="M195" s="411"/>
      <c r="N195" s="246"/>
      <c r="O195" s="411"/>
      <c r="P195" s="246"/>
      <c r="Q195" s="411"/>
      <c r="R195" s="246"/>
      <c r="S195" s="411"/>
      <c r="T195" s="246"/>
    </row>
    <row r="196" spans="1:20" ht="27.4" customHeight="1" x14ac:dyDescent="0.45">
      <c r="B196" s="1374"/>
      <c r="C196" s="1064"/>
      <c r="D196" s="1021"/>
      <c r="E196" s="1022"/>
      <c r="F196" s="97" t="s">
        <v>595</v>
      </c>
      <c r="G196" s="56" t="s">
        <v>115</v>
      </c>
      <c r="H196" s="56" t="s">
        <v>73</v>
      </c>
      <c r="I196" s="56" t="s">
        <v>21</v>
      </c>
      <c r="J196" s="98" t="s">
        <v>21</v>
      </c>
      <c r="K196" s="678">
        <v>853</v>
      </c>
      <c r="L196" s="678">
        <v>753</v>
      </c>
      <c r="M196" s="412"/>
      <c r="N196" s="261"/>
      <c r="O196" s="412"/>
      <c r="P196" s="261"/>
      <c r="Q196" s="412"/>
      <c r="R196" s="261"/>
      <c r="S196" s="412"/>
      <c r="T196" s="261"/>
    </row>
    <row r="197" spans="1:20" ht="27.4" customHeight="1" x14ac:dyDescent="0.45">
      <c r="B197" s="1374"/>
      <c r="C197" s="1064"/>
      <c r="D197" s="1023" t="s">
        <v>616</v>
      </c>
      <c r="E197" s="1024"/>
      <c r="F197" s="343" t="s">
        <v>523</v>
      </c>
      <c r="G197" s="344" t="s">
        <v>21</v>
      </c>
      <c r="H197" s="344" t="s">
        <v>21</v>
      </c>
      <c r="I197" s="344"/>
      <c r="J197" s="345" t="s">
        <v>451</v>
      </c>
      <c r="K197" s="681">
        <v>1</v>
      </c>
      <c r="L197" s="681">
        <v>1</v>
      </c>
      <c r="M197" s="410"/>
      <c r="N197" s="347"/>
      <c r="O197" s="410"/>
      <c r="P197" s="347"/>
      <c r="Q197" s="410"/>
      <c r="R197" s="347"/>
      <c r="S197" s="410"/>
      <c r="T197" s="347"/>
    </row>
    <row r="198" spans="1:20" ht="27.4" customHeight="1" x14ac:dyDescent="0.45">
      <c r="B198" s="1374"/>
      <c r="C198" s="1064"/>
      <c r="D198" s="1019"/>
      <c r="E198" s="1020"/>
      <c r="F198" s="97" t="s">
        <v>617</v>
      </c>
      <c r="G198" s="56" t="s">
        <v>137</v>
      </c>
      <c r="H198" s="56" t="s">
        <v>345</v>
      </c>
      <c r="I198" s="56"/>
      <c r="J198" s="98"/>
      <c r="K198" s="674" t="s">
        <v>21</v>
      </c>
      <c r="L198" s="674" t="s">
        <v>21</v>
      </c>
      <c r="M198" s="411"/>
      <c r="N198" s="246"/>
      <c r="O198" s="411"/>
      <c r="P198" s="246"/>
      <c r="Q198" s="411"/>
      <c r="R198" s="246"/>
      <c r="S198" s="411"/>
      <c r="T198" s="246"/>
    </row>
    <row r="199" spans="1:20" ht="27.4" customHeight="1" x14ac:dyDescent="0.45">
      <c r="B199" s="1374"/>
      <c r="C199" s="1064"/>
      <c r="D199" s="1021"/>
      <c r="E199" s="1022"/>
      <c r="F199" s="359" t="s">
        <v>595</v>
      </c>
      <c r="G199" s="360" t="s">
        <v>115</v>
      </c>
      <c r="H199" s="360" t="s">
        <v>73</v>
      </c>
      <c r="I199" s="360" t="s">
        <v>21</v>
      </c>
      <c r="J199" s="361" t="s">
        <v>21</v>
      </c>
      <c r="K199" s="679">
        <v>753</v>
      </c>
      <c r="L199" s="679">
        <v>753</v>
      </c>
      <c r="M199" s="413"/>
      <c r="N199" s="352"/>
      <c r="O199" s="413"/>
      <c r="P199" s="352"/>
      <c r="Q199" s="413"/>
      <c r="R199" s="352"/>
      <c r="S199" s="413"/>
      <c r="T199" s="352"/>
    </row>
    <row r="200" spans="1:20" ht="27.4" customHeight="1" x14ac:dyDescent="0.45">
      <c r="B200" s="1374"/>
      <c r="C200" s="1064"/>
      <c r="D200" s="1023" t="s">
        <v>618</v>
      </c>
      <c r="E200" s="1024"/>
      <c r="F200" s="343" t="s">
        <v>619</v>
      </c>
      <c r="G200" s="344" t="s">
        <v>72</v>
      </c>
      <c r="H200" s="344"/>
      <c r="I200" s="344"/>
      <c r="J200" s="345"/>
      <c r="K200" s="681">
        <v>0</v>
      </c>
      <c r="L200" s="681">
        <v>0</v>
      </c>
      <c r="M200" s="410"/>
      <c r="N200" s="347"/>
      <c r="O200" s="410"/>
      <c r="P200" s="347"/>
      <c r="Q200" s="410"/>
      <c r="R200" s="347"/>
      <c r="S200" s="410"/>
      <c r="T200" s="347"/>
    </row>
    <row r="201" spans="1:20" ht="27.4" customHeight="1" x14ac:dyDescent="0.45">
      <c r="B201" s="1374"/>
      <c r="C201" s="1064"/>
      <c r="D201" s="1021"/>
      <c r="E201" s="1022"/>
      <c r="F201" s="348" t="s">
        <v>401</v>
      </c>
      <c r="G201" s="349" t="s">
        <v>77</v>
      </c>
      <c r="H201" s="349"/>
      <c r="I201" s="349" t="s">
        <v>620</v>
      </c>
      <c r="J201" s="350" t="s">
        <v>621</v>
      </c>
      <c r="K201" s="682" t="s">
        <v>622</v>
      </c>
      <c r="L201" s="682" t="s">
        <v>622</v>
      </c>
      <c r="M201" s="418"/>
      <c r="N201" s="352"/>
      <c r="O201" s="418"/>
      <c r="P201" s="352"/>
      <c r="Q201" s="418"/>
      <c r="R201" s="352"/>
      <c r="S201" s="418"/>
      <c r="T201" s="352"/>
    </row>
    <row r="202" spans="1:20" ht="27.4" customHeight="1" x14ac:dyDescent="0.45">
      <c r="B202" s="1374"/>
      <c r="C202" s="1064"/>
      <c r="D202" s="1033" t="s">
        <v>624</v>
      </c>
      <c r="E202" s="1034"/>
      <c r="F202" s="103" t="s">
        <v>625</v>
      </c>
      <c r="G202" s="61" t="s">
        <v>137</v>
      </c>
      <c r="H202" s="61" t="s">
        <v>345</v>
      </c>
      <c r="I202" s="61"/>
      <c r="J202" s="104"/>
      <c r="K202" s="686">
        <v>6.2</v>
      </c>
      <c r="L202" s="686">
        <v>6.2</v>
      </c>
      <c r="M202" s="411"/>
      <c r="N202" s="260"/>
      <c r="O202" s="411"/>
      <c r="P202" s="260"/>
      <c r="Q202" s="411"/>
      <c r="R202" s="260"/>
      <c r="S202" s="411"/>
      <c r="T202" s="260"/>
    </row>
    <row r="203" spans="1:20" ht="17.649999999999999" customHeight="1" x14ac:dyDescent="0.45">
      <c r="B203" s="1374"/>
      <c r="C203" s="1064"/>
      <c r="D203" s="1035"/>
      <c r="E203" s="1036"/>
      <c r="F203" s="97" t="s">
        <v>626</v>
      </c>
      <c r="G203" s="56" t="s">
        <v>137</v>
      </c>
      <c r="H203" s="56" t="s">
        <v>345</v>
      </c>
      <c r="I203" s="56"/>
      <c r="J203" s="98"/>
      <c r="K203" s="674">
        <v>0</v>
      </c>
      <c r="L203" s="674">
        <v>0</v>
      </c>
      <c r="M203" s="411"/>
      <c r="N203" s="246"/>
      <c r="O203" s="411"/>
      <c r="P203" s="246"/>
      <c r="Q203" s="411"/>
      <c r="R203" s="246"/>
      <c r="S203" s="411"/>
      <c r="T203" s="246"/>
    </row>
    <row r="204" spans="1:20" ht="27.4" customHeight="1" x14ac:dyDescent="0.45">
      <c r="B204" s="1374"/>
      <c r="C204" s="1064"/>
      <c r="D204" s="1035"/>
      <c r="E204" s="1036"/>
      <c r="F204" s="87" t="s">
        <v>627</v>
      </c>
      <c r="G204" s="83" t="s">
        <v>137</v>
      </c>
      <c r="H204" s="83" t="s">
        <v>345</v>
      </c>
      <c r="I204" s="83"/>
      <c r="J204" s="88"/>
      <c r="K204" s="675">
        <v>0</v>
      </c>
      <c r="L204" s="675">
        <v>0</v>
      </c>
      <c r="M204" s="411"/>
      <c r="N204" s="246"/>
      <c r="O204" s="411"/>
      <c r="P204" s="246"/>
      <c r="Q204" s="411"/>
      <c r="R204" s="246"/>
      <c r="S204" s="411"/>
      <c r="T204" s="246"/>
    </row>
    <row r="205" spans="1:20" ht="27.4" customHeight="1" x14ac:dyDescent="0.45">
      <c r="B205" s="1374"/>
      <c r="C205" s="1064"/>
      <c r="D205" s="1035"/>
      <c r="E205" s="1036"/>
      <c r="F205" s="97" t="s">
        <v>628</v>
      </c>
      <c r="G205" s="56" t="s">
        <v>137</v>
      </c>
      <c r="H205" s="56" t="s">
        <v>345</v>
      </c>
      <c r="I205" s="56"/>
      <c r="J205" s="98"/>
      <c r="K205" s="674">
        <v>0</v>
      </c>
      <c r="L205" s="674">
        <v>0</v>
      </c>
      <c r="M205" s="411"/>
      <c r="N205" s="246"/>
      <c r="O205" s="411"/>
      <c r="P205" s="246"/>
      <c r="Q205" s="411"/>
      <c r="R205" s="246"/>
      <c r="S205" s="411"/>
      <c r="T205" s="246"/>
    </row>
    <row r="206" spans="1:20" ht="27.4" customHeight="1" x14ac:dyDescent="0.45">
      <c r="B206" s="1374"/>
      <c r="C206" s="1064"/>
      <c r="D206" s="1035"/>
      <c r="E206" s="1036"/>
      <c r="F206" s="87" t="s">
        <v>629</v>
      </c>
      <c r="G206" s="83" t="s">
        <v>137</v>
      </c>
      <c r="H206" s="83" t="s">
        <v>345</v>
      </c>
      <c r="I206" s="83"/>
      <c r="J206" s="88"/>
      <c r="K206" s="675">
        <v>0</v>
      </c>
      <c r="L206" s="675">
        <v>0</v>
      </c>
      <c r="M206" s="411"/>
      <c r="N206" s="246"/>
      <c r="O206" s="411"/>
      <c r="P206" s="246"/>
      <c r="Q206" s="411"/>
      <c r="R206" s="246"/>
      <c r="S206" s="411"/>
      <c r="T206" s="246"/>
    </row>
    <row r="207" spans="1:20" s="239" customFormat="1" ht="27.4" customHeight="1" x14ac:dyDescent="0.5">
      <c r="A207" s="238"/>
      <c r="B207" s="1444"/>
      <c r="C207" s="1445"/>
      <c r="D207" s="1446"/>
      <c r="E207" s="1447"/>
      <c r="F207" s="373" t="s">
        <v>630</v>
      </c>
      <c r="G207" s="374" t="s">
        <v>137</v>
      </c>
      <c r="H207" s="374" t="s">
        <v>345</v>
      </c>
      <c r="I207" s="374"/>
      <c r="J207" s="375"/>
      <c r="K207" s="687">
        <v>0</v>
      </c>
      <c r="L207" s="687">
        <v>0</v>
      </c>
      <c r="M207" s="376"/>
      <c r="N207" s="377"/>
      <c r="O207" s="376"/>
      <c r="P207" s="377"/>
      <c r="Q207" s="376"/>
      <c r="R207" s="377"/>
      <c r="S207" s="376"/>
      <c r="T207" s="377"/>
    </row>
    <row r="209" spans="13:20" ht="16.149999999999999" customHeight="1" x14ac:dyDescent="0.45">
      <c r="M209" s="1124"/>
      <c r="N209" s="1124"/>
      <c r="O209" s="1124"/>
      <c r="P209" s="1124"/>
      <c r="Q209" s="1124"/>
      <c r="R209" s="1124"/>
      <c r="S209" s="1124"/>
      <c r="T209" s="1124"/>
    </row>
    <row r="210" spans="13:20" ht="16.149999999999999" customHeight="1" thickBot="1" x14ac:dyDescent="0.5">
      <c r="M210" s="1125"/>
      <c r="N210" s="1125"/>
      <c r="O210" s="1125"/>
      <c r="P210" s="1125"/>
      <c r="Q210" s="1125"/>
      <c r="R210" s="1125"/>
      <c r="S210" s="1125"/>
      <c r="T210" s="1125"/>
    </row>
    <row r="211" spans="13:20" ht="16.149999999999999" customHeight="1" thickBot="1" x14ac:dyDescent="0.5">
      <c r="M211" s="408"/>
      <c r="N211" s="409"/>
      <c r="O211" s="408"/>
      <c r="P211" s="409"/>
      <c r="Q211" s="408"/>
      <c r="R211" s="409"/>
      <c r="S211" s="408"/>
      <c r="T211" s="409"/>
    </row>
  </sheetData>
  <mergeCells count="56">
    <mergeCell ref="B1:J1"/>
    <mergeCell ref="B2:J2"/>
    <mergeCell ref="B3:E3"/>
    <mergeCell ref="F3:I3"/>
    <mergeCell ref="B5:C7"/>
    <mergeCell ref="D5:E7"/>
    <mergeCell ref="F5:F7"/>
    <mergeCell ref="G5:G7"/>
    <mergeCell ref="H5:H7"/>
    <mergeCell ref="I5:I7"/>
    <mergeCell ref="B8:C64"/>
    <mergeCell ref="D8:E12"/>
    <mergeCell ref="D13:E17"/>
    <mergeCell ref="D18:E20"/>
    <mergeCell ref="D21:E24"/>
    <mergeCell ref="D25:E44"/>
    <mergeCell ref="D45:E46"/>
    <mergeCell ref="D47:E54"/>
    <mergeCell ref="D55:E64"/>
    <mergeCell ref="B65:C111"/>
    <mergeCell ref="D65:E68"/>
    <mergeCell ref="D69:E72"/>
    <mergeCell ref="D73:E77"/>
    <mergeCell ref="D78:E81"/>
    <mergeCell ref="D82:E88"/>
    <mergeCell ref="D99:E104"/>
    <mergeCell ref="D105:E108"/>
    <mergeCell ref="D109:E111"/>
    <mergeCell ref="B112:C172"/>
    <mergeCell ref="D112:E125"/>
    <mergeCell ref="D126:E129"/>
    <mergeCell ref="D130:E141"/>
    <mergeCell ref="D142:E152"/>
    <mergeCell ref="D153:E154"/>
    <mergeCell ref="D155:E156"/>
    <mergeCell ref="D157:E172"/>
    <mergeCell ref="B173:C207"/>
    <mergeCell ref="D173:E184"/>
    <mergeCell ref="D185:E196"/>
    <mergeCell ref="D197:E199"/>
    <mergeCell ref="D200:E201"/>
    <mergeCell ref="D202:E207"/>
    <mergeCell ref="K5:K7"/>
    <mergeCell ref="L5:L7"/>
    <mergeCell ref="D89:E91"/>
    <mergeCell ref="D92:E95"/>
    <mergeCell ref="D96:E98"/>
    <mergeCell ref="J5:J7"/>
    <mergeCell ref="M209:N210"/>
    <mergeCell ref="O209:P210"/>
    <mergeCell ref="Q209:R210"/>
    <mergeCell ref="S209:T210"/>
    <mergeCell ref="M5:N5"/>
    <mergeCell ref="O5:P5"/>
    <mergeCell ref="Q5:R5"/>
    <mergeCell ref="S5:T5"/>
  </mergeCells>
  <phoneticPr fontId="23" type="noConversion"/>
  <dataValidations disablePrompts="1" count="2">
    <dataValidation type="list" allowBlank="1" showInputMessage="1" showErrorMessage="1" sqref="M57:T57" xr:uid="{B9CF361C-067D-4690-8C6C-83448D519EBE}">
      <formula1>"1–2, 2–3, 1–3"</formula1>
    </dataValidation>
    <dataValidation type="list" allowBlank="1" showInputMessage="1" showErrorMessage="1" sqref="M207:T207" xr:uid="{BBD394A3-0B96-4B53-9A07-920AAF7B0070}">
      <formula1>"C.C, F.M, G.P, I.A, K.T, L.M, L.CH, M.P, M.M"</formula1>
    </dataValidation>
  </dataValidations>
  <pageMargins left="0" right="0" top="0" bottom="0" header="0" footer="0"/>
  <pageSetup paperSize="9" scale="41" fitToHeight="0" orientation="portrait" horizontalDpi="4294967293" r:id="rId1"/>
  <rowBreaks count="3" manualBreakCount="3">
    <brk id="64" min="1" max="19" man="1"/>
    <brk id="111" min="1" max="19" man="1"/>
    <brk id="172" min="1" max="19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97E0-A263-4D87-9361-CABD82D85610}">
  <sheetPr codeName="Hoja8">
    <pageSetUpPr fitToPage="1"/>
  </sheetPr>
  <dimension ref="A1:S112"/>
  <sheetViews>
    <sheetView showGridLines="0" view="pageBreakPreview" topLeftCell="A5" zoomScale="40" zoomScaleNormal="70" zoomScaleSheetLayoutView="40" workbookViewId="0">
      <pane xSplit="9" ySplit="3" topLeftCell="K8" activePane="bottomRight" state="frozen"/>
      <selection pane="topRight" activeCell="F61" sqref="F61"/>
      <selection pane="bottomLeft" activeCell="F61" sqref="F61"/>
      <selection pane="bottomRight" activeCell="F61" sqref="F61"/>
    </sheetView>
  </sheetViews>
  <sheetFormatPr baseColWidth="10" defaultColWidth="10.625" defaultRowHeight="16.149999999999999" customHeight="1" x14ac:dyDescent="0.45"/>
  <cols>
    <col min="1" max="1" width="0.125" style="237" customWidth="1"/>
    <col min="2" max="2" width="2.625" style="3" customWidth="1"/>
    <col min="3" max="3" width="6" style="3" customWidth="1"/>
    <col min="4" max="4" width="15" style="58" customWidth="1"/>
    <col min="5" max="5" width="12.625" style="58" customWidth="1"/>
    <col min="6" max="6" width="49.125" style="1" customWidth="1"/>
    <col min="7" max="7" width="9.625" style="1" customWidth="1"/>
    <col min="8" max="9" width="10" style="1" customWidth="1"/>
    <col min="10" max="10" width="11.625" style="240" bestFit="1" customWidth="1"/>
    <col min="11" max="11" width="10.625" style="240"/>
    <col min="12" max="12" width="11.625" style="240" bestFit="1" customWidth="1"/>
    <col min="13" max="16384" width="10.625" style="240"/>
  </cols>
  <sheetData>
    <row r="1" spans="2:19" s="237" customFormat="1" ht="52.5" customHeight="1" x14ac:dyDescent="0.4">
      <c r="B1" s="1388" t="s">
        <v>0</v>
      </c>
      <c r="C1" s="1388"/>
      <c r="D1" s="1388"/>
      <c r="E1" s="1388"/>
      <c r="F1" s="1388"/>
      <c r="G1" s="1388"/>
      <c r="H1" s="1388"/>
      <c r="I1" s="1388"/>
    </row>
    <row r="2" spans="2:19" s="237" customFormat="1" ht="33.75" customHeight="1" x14ac:dyDescent="0.4">
      <c r="B2" s="1040" t="s">
        <v>1</v>
      </c>
      <c r="C2" s="1041"/>
      <c r="D2" s="1041"/>
      <c r="E2" s="1041"/>
      <c r="F2" s="1041" t="s">
        <v>211</v>
      </c>
      <c r="G2" s="1041"/>
      <c r="H2" s="1041" t="s">
        <v>212</v>
      </c>
      <c r="I2" s="1041"/>
    </row>
    <row r="3" spans="2:19" s="237" customFormat="1" ht="39.75" customHeight="1" x14ac:dyDescent="0.4">
      <c r="B3" s="1390" t="s">
        <v>124</v>
      </c>
      <c r="C3" s="1390"/>
      <c r="D3" s="1390"/>
      <c r="E3" s="1389" t="s">
        <v>755</v>
      </c>
      <c r="F3" s="1389"/>
      <c r="G3" s="1389"/>
      <c r="H3" s="1389"/>
      <c r="I3" s="1389"/>
    </row>
    <row r="4" spans="2:19" ht="6" customHeight="1" x14ac:dyDescent="0.45">
      <c r="B4" s="191"/>
      <c r="C4" s="191"/>
      <c r="D4" s="191"/>
      <c r="E4" s="191"/>
      <c r="F4" s="195"/>
      <c r="G4" s="195"/>
      <c r="H4" s="193"/>
      <c r="I4" s="193"/>
    </row>
    <row r="5" spans="2:19" ht="27.4" customHeight="1" x14ac:dyDescent="0.45">
      <c r="B5" s="1045" t="s">
        <v>126</v>
      </c>
      <c r="C5" s="1046"/>
      <c r="D5" s="1046" t="s">
        <v>5</v>
      </c>
      <c r="E5" s="1046"/>
      <c r="F5" s="1051" t="s">
        <v>6</v>
      </c>
      <c r="G5" s="1054" t="s">
        <v>7</v>
      </c>
      <c r="H5" s="1393" t="s">
        <v>339</v>
      </c>
      <c r="I5" s="1393" t="s">
        <v>339</v>
      </c>
      <c r="J5" s="1386">
        <v>46112</v>
      </c>
      <c r="K5" s="1387"/>
      <c r="L5" s="1385">
        <v>46140</v>
      </c>
      <c r="M5" s="1387"/>
      <c r="N5" s="1385">
        <v>46141</v>
      </c>
      <c r="O5" s="1387"/>
      <c r="P5" s="1385">
        <v>46142</v>
      </c>
      <c r="Q5" s="1387"/>
      <c r="R5" s="1385">
        <v>46143</v>
      </c>
      <c r="S5" s="1387"/>
    </row>
    <row r="6" spans="2:19" ht="27.4" customHeight="1" x14ac:dyDescent="0.45">
      <c r="B6" s="1047"/>
      <c r="C6" s="1048"/>
      <c r="D6" s="1048"/>
      <c r="E6" s="1048"/>
      <c r="F6" s="1052"/>
      <c r="G6" s="1055"/>
      <c r="H6" s="1394"/>
      <c r="I6" s="1394"/>
      <c r="J6" s="566" t="s">
        <v>315</v>
      </c>
      <c r="K6" s="110" t="s">
        <v>300</v>
      </c>
      <c r="L6" s="55">
        <v>6.25E-2</v>
      </c>
      <c r="M6" s="110"/>
      <c r="N6" s="55"/>
      <c r="O6" s="110"/>
      <c r="P6" s="55"/>
      <c r="Q6" s="110"/>
      <c r="R6" s="55"/>
      <c r="S6" s="110"/>
    </row>
    <row r="7" spans="2:19" s="304" customFormat="1" ht="27.4" customHeight="1" x14ac:dyDescent="0.45">
      <c r="B7" s="1049"/>
      <c r="C7" s="1050"/>
      <c r="D7" s="1344"/>
      <c r="E7" s="1344"/>
      <c r="F7" s="1391"/>
      <c r="G7" s="1392"/>
      <c r="H7" s="1395"/>
      <c r="I7" s="1395"/>
      <c r="J7" s="567"/>
      <c r="K7" s="301"/>
      <c r="L7" s="300">
        <v>150</v>
      </c>
      <c r="M7" s="301"/>
      <c r="N7" s="300"/>
      <c r="O7" s="301"/>
      <c r="P7" s="300"/>
      <c r="Q7" s="301"/>
      <c r="R7" s="300"/>
      <c r="S7" s="301"/>
    </row>
    <row r="8" spans="2:19" ht="27.4" customHeight="1" x14ac:dyDescent="0.45">
      <c r="B8" s="1400" t="s">
        <v>758</v>
      </c>
      <c r="C8" s="1400"/>
      <c r="D8" s="1401" t="s">
        <v>759</v>
      </c>
      <c r="E8" s="1402"/>
      <c r="F8" s="734" t="s">
        <v>237</v>
      </c>
      <c r="G8" s="56" t="s">
        <v>21</v>
      </c>
      <c r="H8" s="56"/>
      <c r="I8" s="56" t="s">
        <v>225</v>
      </c>
      <c r="J8" s="243"/>
      <c r="K8" s="244"/>
      <c r="L8" s="730"/>
      <c r="M8" s="731"/>
      <c r="N8" s="730"/>
      <c r="O8" s="731"/>
      <c r="P8" s="730"/>
      <c r="Q8" s="731"/>
      <c r="R8" s="730"/>
      <c r="S8" s="731"/>
    </row>
    <row r="9" spans="2:19" ht="27.4" customHeight="1" x14ac:dyDescent="0.45">
      <c r="B9" s="1400"/>
      <c r="C9" s="1400"/>
      <c r="D9" s="1401"/>
      <c r="E9" s="1402"/>
      <c r="F9" s="732" t="s">
        <v>760</v>
      </c>
      <c r="G9" s="83" t="s">
        <v>27</v>
      </c>
      <c r="H9" s="83" t="s">
        <v>217</v>
      </c>
      <c r="I9" s="83">
        <v>232.6</v>
      </c>
      <c r="J9" s="245"/>
      <c r="K9" s="246"/>
      <c r="L9" s="730"/>
      <c r="M9" s="731"/>
      <c r="N9" s="730"/>
      <c r="O9" s="731"/>
      <c r="P9" s="730"/>
      <c r="Q9" s="731"/>
      <c r="R9" s="730"/>
      <c r="S9" s="731"/>
    </row>
    <row r="10" spans="2:19" ht="27.4" customHeight="1" x14ac:dyDescent="0.45">
      <c r="B10" s="1400"/>
      <c r="C10" s="1400"/>
      <c r="D10" s="1401"/>
      <c r="E10" s="1402"/>
      <c r="F10" s="734" t="s">
        <v>761</v>
      </c>
      <c r="G10" s="56" t="s">
        <v>48</v>
      </c>
      <c r="H10" s="56" t="s">
        <v>217</v>
      </c>
      <c r="I10" s="56">
        <v>7</v>
      </c>
      <c r="J10" s="245"/>
      <c r="K10" s="246"/>
      <c r="L10" s="730"/>
      <c r="M10" s="731"/>
      <c r="N10" s="730"/>
      <c r="O10" s="731"/>
      <c r="P10" s="730"/>
      <c r="Q10" s="731"/>
      <c r="R10" s="730"/>
      <c r="S10" s="731"/>
    </row>
    <row r="11" spans="2:19" ht="27.4" customHeight="1" x14ac:dyDescent="0.45">
      <c r="B11" s="1400"/>
      <c r="C11" s="1400"/>
      <c r="D11" s="1401"/>
      <c r="E11" s="1402"/>
      <c r="F11" s="732" t="s">
        <v>241</v>
      </c>
      <c r="G11" s="83" t="s">
        <v>27</v>
      </c>
      <c r="H11" s="83" t="s">
        <v>217</v>
      </c>
      <c r="I11" s="83">
        <v>233.62</v>
      </c>
      <c r="J11" s="245"/>
      <c r="K11" s="246"/>
      <c r="L11" s="730"/>
      <c r="M11" s="731"/>
      <c r="N11" s="730"/>
      <c r="O11" s="731"/>
      <c r="P11" s="730"/>
      <c r="Q11" s="731"/>
      <c r="R11" s="730"/>
      <c r="S11" s="731"/>
    </row>
    <row r="12" spans="2:19" ht="27.4" customHeight="1" x14ac:dyDescent="0.45">
      <c r="B12" s="1400"/>
      <c r="C12" s="1400"/>
      <c r="D12" s="1401"/>
      <c r="E12" s="1402"/>
      <c r="F12" s="734" t="s">
        <v>242</v>
      </c>
      <c r="G12" s="56" t="s">
        <v>48</v>
      </c>
      <c r="H12" s="56" t="s">
        <v>217</v>
      </c>
      <c r="I12" s="56">
        <v>0</v>
      </c>
      <c r="J12" s="245"/>
      <c r="K12" s="246"/>
      <c r="L12" s="730"/>
      <c r="M12" s="731"/>
      <c r="N12" s="730"/>
      <c r="O12" s="731"/>
      <c r="P12" s="730"/>
      <c r="Q12" s="731"/>
      <c r="R12" s="730"/>
      <c r="S12" s="731"/>
    </row>
    <row r="13" spans="2:19" ht="27.4" customHeight="1" x14ac:dyDescent="0.45">
      <c r="B13" s="1400"/>
      <c r="C13" s="1400"/>
      <c r="D13" s="1401"/>
      <c r="E13" s="1402"/>
      <c r="F13" s="732" t="s">
        <v>243</v>
      </c>
      <c r="G13" s="83" t="s">
        <v>21</v>
      </c>
      <c r="H13" s="83"/>
      <c r="I13" s="83" t="s">
        <v>200</v>
      </c>
      <c r="J13" s="245"/>
      <c r="K13" s="246"/>
      <c r="L13" s="730"/>
      <c r="M13" s="731"/>
      <c r="N13" s="730"/>
      <c r="O13" s="731"/>
      <c r="P13" s="730"/>
      <c r="Q13" s="731"/>
      <c r="R13" s="730"/>
      <c r="S13" s="731"/>
    </row>
    <row r="14" spans="2:19" ht="27.4" customHeight="1" x14ac:dyDescent="0.45">
      <c r="B14" s="1400"/>
      <c r="C14" s="1400"/>
      <c r="D14" s="1401"/>
      <c r="E14" s="1402"/>
      <c r="F14" s="734" t="s">
        <v>765</v>
      </c>
      <c r="G14" s="56" t="s">
        <v>27</v>
      </c>
      <c r="H14" s="56" t="s">
        <v>217</v>
      </c>
      <c r="I14" s="56">
        <v>232.8</v>
      </c>
      <c r="J14" s="245"/>
      <c r="K14" s="246"/>
      <c r="L14" s="730"/>
      <c r="M14" s="731"/>
      <c r="N14" s="730"/>
      <c r="O14" s="731"/>
      <c r="P14" s="730"/>
      <c r="Q14" s="731"/>
      <c r="R14" s="730"/>
      <c r="S14" s="731"/>
    </row>
    <row r="15" spans="2:19" ht="27.4" customHeight="1" x14ac:dyDescent="0.45">
      <c r="B15" s="1400"/>
      <c r="C15" s="1400"/>
      <c r="D15" s="1401"/>
      <c r="E15" s="1402"/>
      <c r="F15" s="732" t="s">
        <v>766</v>
      </c>
      <c r="G15" s="83" t="s">
        <v>48</v>
      </c>
      <c r="H15" s="83" t="s">
        <v>217</v>
      </c>
      <c r="I15" s="83">
        <v>5.9</v>
      </c>
      <c r="J15" s="245"/>
      <c r="K15" s="246"/>
      <c r="L15" s="730"/>
      <c r="M15" s="731"/>
      <c r="N15" s="730"/>
      <c r="O15" s="731"/>
      <c r="P15" s="730"/>
      <c r="Q15" s="731"/>
      <c r="R15" s="730"/>
      <c r="S15" s="731"/>
    </row>
    <row r="16" spans="2:19" ht="27.4" customHeight="1" x14ac:dyDescent="0.45">
      <c r="B16" s="1400"/>
      <c r="C16" s="1400"/>
      <c r="D16" s="1401"/>
      <c r="E16" s="1402"/>
      <c r="F16" s="734" t="s">
        <v>244</v>
      </c>
      <c r="G16" s="56" t="s">
        <v>27</v>
      </c>
      <c r="H16" s="56" t="s">
        <v>217</v>
      </c>
      <c r="I16" s="56">
        <v>233.4</v>
      </c>
      <c r="J16" s="245"/>
      <c r="K16" s="246"/>
      <c r="L16" s="730"/>
      <c r="M16" s="731"/>
      <c r="N16" s="730"/>
      <c r="O16" s="731"/>
      <c r="P16" s="730"/>
      <c r="Q16" s="731"/>
      <c r="R16" s="730"/>
      <c r="S16" s="731"/>
    </row>
    <row r="17" spans="2:19" ht="27.4" customHeight="1" x14ac:dyDescent="0.45">
      <c r="B17" s="1400"/>
      <c r="C17" s="1400"/>
      <c r="D17" s="1401"/>
      <c r="E17" s="1402"/>
      <c r="F17" s="732" t="s">
        <v>245</v>
      </c>
      <c r="G17" s="83" t="s">
        <v>48</v>
      </c>
      <c r="H17" s="83" t="s">
        <v>217</v>
      </c>
      <c r="I17" s="83">
        <v>3.92</v>
      </c>
      <c r="J17" s="245"/>
      <c r="K17" s="246"/>
      <c r="L17" s="730"/>
      <c r="M17" s="731"/>
      <c r="N17" s="730"/>
      <c r="O17" s="731"/>
      <c r="P17" s="730"/>
      <c r="Q17" s="731"/>
      <c r="R17" s="730"/>
      <c r="S17" s="731"/>
    </row>
    <row r="18" spans="2:19" ht="27.4" customHeight="1" x14ac:dyDescent="0.45">
      <c r="B18" s="1400"/>
      <c r="C18" s="1400"/>
      <c r="D18" s="1401"/>
      <c r="E18" s="1402"/>
      <c r="F18" s="734" t="s">
        <v>246</v>
      </c>
      <c r="G18" s="56" t="s">
        <v>21</v>
      </c>
      <c r="H18" s="56"/>
      <c r="I18" s="56" t="s">
        <v>200</v>
      </c>
      <c r="J18" s="499"/>
      <c r="K18" s="502"/>
      <c r="L18" s="730"/>
      <c r="M18" s="731"/>
      <c r="N18" s="730"/>
      <c r="O18" s="731"/>
      <c r="P18" s="730"/>
      <c r="Q18" s="731"/>
      <c r="R18" s="730"/>
      <c r="S18" s="731"/>
    </row>
    <row r="19" spans="2:19" ht="27.4" customHeight="1" x14ac:dyDescent="0.45">
      <c r="B19" s="1400"/>
      <c r="C19" s="1400"/>
      <c r="D19" s="1401"/>
      <c r="E19" s="1402"/>
      <c r="F19" s="732" t="s">
        <v>767</v>
      </c>
      <c r="G19" s="83" t="s">
        <v>27</v>
      </c>
      <c r="H19" s="83" t="s">
        <v>217</v>
      </c>
      <c r="I19" s="83">
        <v>232.4</v>
      </c>
      <c r="J19" s="259"/>
      <c r="K19" s="260"/>
      <c r="L19" s="730"/>
      <c r="M19" s="731"/>
      <c r="N19" s="730"/>
      <c r="O19" s="731"/>
      <c r="P19" s="730"/>
      <c r="Q19" s="731"/>
      <c r="R19" s="730"/>
      <c r="S19" s="731"/>
    </row>
    <row r="20" spans="2:19" ht="27.4" customHeight="1" x14ac:dyDescent="0.45">
      <c r="B20" s="1400"/>
      <c r="C20" s="1400"/>
      <c r="D20" s="1401"/>
      <c r="E20" s="1402"/>
      <c r="F20" s="734" t="s">
        <v>768</v>
      </c>
      <c r="G20" s="56" t="s">
        <v>48</v>
      </c>
      <c r="H20" s="56" t="s">
        <v>217</v>
      </c>
      <c r="I20" s="56">
        <v>0</v>
      </c>
      <c r="J20" s="245"/>
      <c r="K20" s="246"/>
      <c r="L20" s="730"/>
      <c r="M20" s="731"/>
      <c r="N20" s="730"/>
      <c r="O20" s="731"/>
      <c r="P20" s="730"/>
      <c r="Q20" s="731"/>
      <c r="R20" s="730"/>
      <c r="S20" s="731"/>
    </row>
    <row r="21" spans="2:19" ht="27.4" customHeight="1" x14ac:dyDescent="0.45">
      <c r="B21" s="1400"/>
      <c r="C21" s="1400"/>
      <c r="D21" s="1401"/>
      <c r="E21" s="1402"/>
      <c r="F21" s="732" t="s">
        <v>247</v>
      </c>
      <c r="G21" s="83" t="s">
        <v>27</v>
      </c>
      <c r="H21" s="83" t="s">
        <v>217</v>
      </c>
      <c r="I21" s="83">
        <v>232.3</v>
      </c>
      <c r="J21" s="245"/>
      <c r="K21" s="246"/>
      <c r="L21" s="730"/>
      <c r="M21" s="731"/>
      <c r="N21" s="730"/>
      <c r="O21" s="731"/>
      <c r="P21" s="730"/>
      <c r="Q21" s="731"/>
      <c r="R21" s="730"/>
      <c r="S21" s="731"/>
    </row>
    <row r="22" spans="2:19" ht="27.4" customHeight="1" x14ac:dyDescent="0.45">
      <c r="B22" s="1400"/>
      <c r="C22" s="1400"/>
      <c r="D22" s="1401"/>
      <c r="E22" s="1402"/>
      <c r="F22" s="734" t="s">
        <v>248</v>
      </c>
      <c r="G22" s="56" t="s">
        <v>48</v>
      </c>
      <c r="H22" s="56" t="s">
        <v>217</v>
      </c>
      <c r="I22" s="56">
        <v>3.32</v>
      </c>
      <c r="J22" s="245"/>
      <c r="K22" s="246"/>
      <c r="L22" s="730"/>
      <c r="M22" s="731"/>
      <c r="N22" s="730"/>
      <c r="O22" s="731"/>
      <c r="P22" s="730"/>
      <c r="Q22" s="731"/>
      <c r="R22" s="730"/>
      <c r="S22" s="731"/>
    </row>
    <row r="23" spans="2:19" ht="27.4" customHeight="1" x14ac:dyDescent="0.45">
      <c r="B23" s="1331" t="s">
        <v>638</v>
      </c>
      <c r="C23" s="1429"/>
      <c r="D23" s="1430" t="s">
        <v>769</v>
      </c>
      <c r="E23" s="1411" t="s">
        <v>770</v>
      </c>
      <c r="F23" s="733" t="s">
        <v>38</v>
      </c>
      <c r="G23" s="95" t="s">
        <v>39</v>
      </c>
      <c r="H23" s="95" t="s">
        <v>350</v>
      </c>
      <c r="I23" s="95">
        <v>58.5</v>
      </c>
      <c r="J23" s="245"/>
      <c r="K23" s="246"/>
      <c r="L23" s="243"/>
      <c r="M23" s="244"/>
      <c r="N23" s="243"/>
      <c r="O23" s="244"/>
      <c r="P23" s="243"/>
      <c r="Q23" s="244"/>
      <c r="R23" s="243"/>
      <c r="S23" s="244"/>
    </row>
    <row r="24" spans="2:19" ht="27.4" customHeight="1" x14ac:dyDescent="0.45">
      <c r="B24" s="1332"/>
      <c r="C24" s="1068"/>
      <c r="D24" s="1109"/>
      <c r="E24" s="1412"/>
      <c r="F24" s="734" t="s">
        <v>40</v>
      </c>
      <c r="G24" s="56" t="s">
        <v>39</v>
      </c>
      <c r="H24" s="56" t="s">
        <v>350</v>
      </c>
      <c r="I24" s="56">
        <v>61.1</v>
      </c>
      <c r="J24" s="245"/>
      <c r="K24" s="246"/>
      <c r="L24" s="245"/>
      <c r="M24" s="246"/>
      <c r="N24" s="245"/>
      <c r="O24" s="246"/>
      <c r="P24" s="245"/>
      <c r="Q24" s="246"/>
      <c r="R24" s="245"/>
      <c r="S24" s="246"/>
    </row>
    <row r="25" spans="2:19" ht="27.4" customHeight="1" x14ac:dyDescent="0.45">
      <c r="B25" s="1332"/>
      <c r="C25" s="1068"/>
      <c r="D25" s="1109"/>
      <c r="E25" s="1412"/>
      <c r="F25" s="732" t="s">
        <v>41</v>
      </c>
      <c r="G25" s="83" t="s">
        <v>39</v>
      </c>
      <c r="H25" s="83" t="s">
        <v>350</v>
      </c>
      <c r="I25" s="83">
        <v>55.9</v>
      </c>
      <c r="J25" s="245"/>
      <c r="K25" s="246"/>
      <c r="L25" s="245"/>
      <c r="M25" s="246"/>
      <c r="N25" s="245"/>
      <c r="O25" s="246"/>
      <c r="P25" s="245"/>
      <c r="Q25" s="246"/>
      <c r="R25" s="245"/>
      <c r="S25" s="246"/>
    </row>
    <row r="26" spans="2:19" ht="27.4" customHeight="1" x14ac:dyDescent="0.45">
      <c r="B26" s="1332"/>
      <c r="C26" s="1068"/>
      <c r="D26" s="1109"/>
      <c r="E26" s="1412"/>
      <c r="F26" s="734" t="s">
        <v>43</v>
      </c>
      <c r="G26" s="56" t="s">
        <v>189</v>
      </c>
      <c r="H26" s="56" t="s">
        <v>217</v>
      </c>
      <c r="I26" s="56">
        <v>204.1</v>
      </c>
      <c r="J26" s="245"/>
      <c r="K26" s="246"/>
      <c r="L26" s="245"/>
      <c r="M26" s="246"/>
      <c r="N26" s="245"/>
      <c r="O26" s="246"/>
      <c r="P26" s="245"/>
      <c r="Q26" s="246"/>
      <c r="R26" s="245"/>
      <c r="S26" s="246"/>
    </row>
    <row r="27" spans="2:19" ht="27.4" customHeight="1" x14ac:dyDescent="0.45">
      <c r="B27" s="1332"/>
      <c r="C27" s="1068"/>
      <c r="D27" s="1109"/>
      <c r="E27" s="1412"/>
      <c r="F27" s="732" t="s">
        <v>45</v>
      </c>
      <c r="G27" s="83" t="s">
        <v>190</v>
      </c>
      <c r="H27" s="83" t="s">
        <v>217</v>
      </c>
      <c r="I27" s="83">
        <v>108.4</v>
      </c>
      <c r="J27" s="245"/>
      <c r="K27" s="246"/>
      <c r="L27" s="245"/>
      <c r="M27" s="246"/>
      <c r="N27" s="245"/>
      <c r="O27" s="246"/>
      <c r="P27" s="245"/>
      <c r="Q27" s="246"/>
      <c r="R27" s="245"/>
      <c r="S27" s="246"/>
    </row>
    <row r="28" spans="2:19" ht="27.4" customHeight="1" x14ac:dyDescent="0.45">
      <c r="B28" s="1332"/>
      <c r="C28" s="1068"/>
      <c r="D28" s="1109"/>
      <c r="E28" s="1412"/>
      <c r="F28" s="734" t="s">
        <v>47</v>
      </c>
      <c r="G28" s="56" t="s">
        <v>48</v>
      </c>
      <c r="H28" s="56" t="s">
        <v>350</v>
      </c>
      <c r="I28" s="56">
        <v>347.4</v>
      </c>
      <c r="J28" s="245"/>
      <c r="K28" s="246"/>
      <c r="L28" s="245"/>
      <c r="M28" s="246"/>
      <c r="N28" s="245"/>
      <c r="O28" s="246"/>
      <c r="P28" s="245"/>
      <c r="Q28" s="246"/>
      <c r="R28" s="245"/>
      <c r="S28" s="246"/>
    </row>
    <row r="29" spans="2:19" ht="27.4" customHeight="1" x14ac:dyDescent="0.45">
      <c r="B29" s="1332"/>
      <c r="C29" s="1068"/>
      <c r="D29" s="1109"/>
      <c r="E29" s="1412"/>
      <c r="F29" s="732" t="s">
        <v>49</v>
      </c>
      <c r="G29" s="83" t="s">
        <v>48</v>
      </c>
      <c r="H29" s="83" t="s">
        <v>350</v>
      </c>
      <c r="I29" s="83">
        <v>351.6</v>
      </c>
      <c r="J29" s="245"/>
      <c r="K29" s="246"/>
      <c r="L29" s="245"/>
      <c r="M29" s="246"/>
      <c r="N29" s="245"/>
      <c r="O29" s="246"/>
      <c r="P29" s="245"/>
      <c r="Q29" s="246"/>
      <c r="R29" s="245"/>
      <c r="S29" s="246"/>
    </row>
    <row r="30" spans="2:19" ht="27.4" customHeight="1" x14ac:dyDescent="0.45">
      <c r="B30" s="1332"/>
      <c r="C30" s="1068"/>
      <c r="D30" s="1109"/>
      <c r="E30" s="1412"/>
      <c r="F30" s="734" t="s">
        <v>50</v>
      </c>
      <c r="G30" s="56" t="s">
        <v>48</v>
      </c>
      <c r="H30" s="56" t="s">
        <v>350</v>
      </c>
      <c r="I30" s="56">
        <v>344</v>
      </c>
      <c r="J30" s="496"/>
      <c r="K30" s="261"/>
      <c r="L30" s="245"/>
      <c r="M30" s="246"/>
      <c r="N30" s="245"/>
      <c r="O30" s="246"/>
      <c r="P30" s="245"/>
      <c r="Q30" s="246"/>
      <c r="R30" s="245"/>
      <c r="S30" s="246"/>
    </row>
    <row r="31" spans="2:19" ht="27.4" customHeight="1" x14ac:dyDescent="0.45">
      <c r="B31" s="1332"/>
      <c r="C31" s="1068"/>
      <c r="D31" s="1109"/>
      <c r="E31" s="1412"/>
      <c r="F31" s="732" t="s">
        <v>26</v>
      </c>
      <c r="G31" s="83" t="s">
        <v>27</v>
      </c>
      <c r="H31" s="83" t="s">
        <v>350</v>
      </c>
      <c r="I31" s="83">
        <v>382.43681831120813</v>
      </c>
      <c r="J31" s="397"/>
      <c r="K31" s="398"/>
      <c r="L31" s="245"/>
      <c r="M31" s="246"/>
      <c r="N31" s="245"/>
      <c r="O31" s="246"/>
      <c r="P31" s="245"/>
      <c r="Q31" s="246"/>
      <c r="R31" s="245"/>
      <c r="S31" s="246"/>
    </row>
    <row r="32" spans="2:19" ht="27.4" customHeight="1" x14ac:dyDescent="0.45">
      <c r="B32" s="1332"/>
      <c r="C32" s="1068"/>
      <c r="D32" s="1109"/>
      <c r="E32" s="1412"/>
      <c r="F32" s="734" t="s">
        <v>28</v>
      </c>
      <c r="G32" s="56" t="s">
        <v>27</v>
      </c>
      <c r="H32" s="56" t="s">
        <v>350</v>
      </c>
      <c r="I32" s="56">
        <v>381.57079290742365</v>
      </c>
      <c r="J32" s="245"/>
      <c r="K32" s="246"/>
      <c r="L32" s="245"/>
      <c r="M32" s="246"/>
      <c r="N32" s="245"/>
      <c r="O32" s="246"/>
      <c r="P32" s="245"/>
      <c r="Q32" s="246"/>
      <c r="R32" s="245"/>
      <c r="S32" s="246"/>
    </row>
    <row r="33" spans="2:19" ht="27.4" customHeight="1" x14ac:dyDescent="0.45">
      <c r="B33" s="1332"/>
      <c r="C33" s="1068"/>
      <c r="D33" s="1109"/>
      <c r="E33" s="1413"/>
      <c r="F33" s="735" t="s">
        <v>29</v>
      </c>
      <c r="G33" s="92" t="s">
        <v>27</v>
      </c>
      <c r="H33" s="92" t="s">
        <v>350</v>
      </c>
      <c r="I33" s="92">
        <v>383.47604879574942</v>
      </c>
      <c r="J33" s="245"/>
      <c r="K33" s="246"/>
      <c r="L33" s="499"/>
      <c r="M33" s="502"/>
      <c r="N33" s="499"/>
      <c r="O33" s="502"/>
      <c r="P33" s="499"/>
      <c r="Q33" s="502"/>
      <c r="R33" s="499"/>
      <c r="S33" s="502"/>
    </row>
    <row r="34" spans="2:19" ht="27.4" customHeight="1" x14ac:dyDescent="0.45">
      <c r="B34" s="1332"/>
      <c r="C34" s="1068"/>
      <c r="D34" s="1109"/>
      <c r="E34" s="1103" t="s">
        <v>773</v>
      </c>
      <c r="F34" s="736" t="s">
        <v>38</v>
      </c>
      <c r="G34" s="85" t="s">
        <v>39</v>
      </c>
      <c r="H34" s="85" t="s">
        <v>350</v>
      </c>
      <c r="I34" s="85">
        <v>60.1</v>
      </c>
      <c r="J34" s="245"/>
      <c r="K34" s="246"/>
      <c r="L34" s="259"/>
      <c r="M34" s="260"/>
      <c r="N34" s="259"/>
      <c r="O34" s="260"/>
      <c r="P34" s="259"/>
      <c r="Q34" s="260"/>
      <c r="R34" s="259"/>
      <c r="S34" s="260"/>
    </row>
    <row r="35" spans="2:19" ht="27.4" customHeight="1" x14ac:dyDescent="0.45">
      <c r="B35" s="1332"/>
      <c r="C35" s="1068"/>
      <c r="D35" s="1109"/>
      <c r="E35" s="1105"/>
      <c r="F35" s="732" t="s">
        <v>40</v>
      </c>
      <c r="G35" s="83" t="s">
        <v>39</v>
      </c>
      <c r="H35" s="83" t="s">
        <v>350</v>
      </c>
      <c r="I35" s="83">
        <v>62.5</v>
      </c>
      <c r="J35" s="245"/>
      <c r="K35" s="246"/>
      <c r="L35" s="245"/>
      <c r="M35" s="246"/>
      <c r="N35" s="245"/>
      <c r="O35" s="246"/>
      <c r="P35" s="245"/>
      <c r="Q35" s="246"/>
      <c r="R35" s="245"/>
      <c r="S35" s="246"/>
    </row>
    <row r="36" spans="2:19" ht="27.4" customHeight="1" x14ac:dyDescent="0.45">
      <c r="B36" s="1332"/>
      <c r="C36" s="1068"/>
      <c r="D36" s="1109"/>
      <c r="E36" s="1105"/>
      <c r="F36" s="734" t="s">
        <v>41</v>
      </c>
      <c r="G36" s="56" t="s">
        <v>39</v>
      </c>
      <c r="H36" s="56" t="s">
        <v>350</v>
      </c>
      <c r="I36" s="56">
        <v>56.8</v>
      </c>
      <c r="J36" s="245"/>
      <c r="K36" s="246"/>
      <c r="L36" s="245"/>
      <c r="M36" s="246"/>
      <c r="N36" s="245"/>
      <c r="O36" s="246"/>
      <c r="P36" s="245"/>
      <c r="Q36" s="246"/>
      <c r="R36" s="245"/>
      <c r="S36" s="246"/>
    </row>
    <row r="37" spans="2:19" ht="27.4" customHeight="1" x14ac:dyDescent="0.45">
      <c r="B37" s="1332"/>
      <c r="C37" s="1068"/>
      <c r="D37" s="1109"/>
      <c r="E37" s="1105"/>
      <c r="F37" s="732" t="s">
        <v>43</v>
      </c>
      <c r="G37" s="83" t="s">
        <v>189</v>
      </c>
      <c r="H37" s="83" t="s">
        <v>217</v>
      </c>
      <c r="I37" s="83">
        <v>263.5</v>
      </c>
      <c r="J37" s="245"/>
      <c r="K37" s="246"/>
      <c r="L37" s="245"/>
      <c r="M37" s="246"/>
      <c r="N37" s="245"/>
      <c r="O37" s="246"/>
      <c r="P37" s="245"/>
      <c r="Q37" s="246"/>
      <c r="R37" s="245"/>
      <c r="S37" s="246"/>
    </row>
    <row r="38" spans="2:19" ht="27.4" customHeight="1" x14ac:dyDescent="0.45">
      <c r="B38" s="1332"/>
      <c r="C38" s="1068"/>
      <c r="D38" s="1109"/>
      <c r="E38" s="1105"/>
      <c r="F38" s="734" t="s">
        <v>45</v>
      </c>
      <c r="G38" s="56" t="s">
        <v>190</v>
      </c>
      <c r="H38" s="56" t="s">
        <v>217</v>
      </c>
      <c r="I38" s="56">
        <v>136.80000000000001</v>
      </c>
      <c r="J38" s="245"/>
      <c r="K38" s="246"/>
      <c r="L38" s="245"/>
      <c r="M38" s="246"/>
      <c r="N38" s="245"/>
      <c r="O38" s="246"/>
      <c r="P38" s="245"/>
      <c r="Q38" s="246"/>
      <c r="R38" s="245"/>
      <c r="S38" s="246"/>
    </row>
    <row r="39" spans="2:19" ht="27.4" customHeight="1" x14ac:dyDescent="0.45">
      <c r="B39" s="1332"/>
      <c r="C39" s="1068"/>
      <c r="D39" s="1109"/>
      <c r="E39" s="1105"/>
      <c r="F39" s="732" t="s">
        <v>47</v>
      </c>
      <c r="G39" s="83" t="s">
        <v>48</v>
      </c>
      <c r="H39" s="83" t="s">
        <v>350</v>
      </c>
      <c r="I39" s="83">
        <v>448.2</v>
      </c>
      <c r="J39" s="245"/>
      <c r="K39" s="246"/>
      <c r="L39" s="245"/>
      <c r="M39" s="246"/>
      <c r="N39" s="245"/>
      <c r="O39" s="246"/>
      <c r="P39" s="245"/>
      <c r="Q39" s="246"/>
      <c r="R39" s="245"/>
      <c r="S39" s="246"/>
    </row>
    <row r="40" spans="2:19" ht="27.4" customHeight="1" x14ac:dyDescent="0.45">
      <c r="B40" s="1332"/>
      <c r="C40" s="1068"/>
      <c r="D40" s="1109"/>
      <c r="E40" s="1105"/>
      <c r="F40" s="734" t="s">
        <v>49</v>
      </c>
      <c r="G40" s="56" t="s">
        <v>48</v>
      </c>
      <c r="H40" s="56" t="s">
        <v>350</v>
      </c>
      <c r="I40" s="56">
        <v>442.2</v>
      </c>
      <c r="J40" s="245"/>
      <c r="K40" s="246"/>
      <c r="L40" s="245"/>
      <c r="M40" s="246"/>
      <c r="N40" s="245"/>
      <c r="O40" s="246"/>
      <c r="P40" s="245"/>
      <c r="Q40" s="246"/>
      <c r="R40" s="245"/>
      <c r="S40" s="246"/>
    </row>
    <row r="41" spans="2:19" ht="27.4" customHeight="1" x14ac:dyDescent="0.45">
      <c r="B41" s="1332"/>
      <c r="C41" s="1068"/>
      <c r="D41" s="1109"/>
      <c r="E41" s="1105"/>
      <c r="F41" s="732" t="s">
        <v>50</v>
      </c>
      <c r="G41" s="83" t="s">
        <v>48</v>
      </c>
      <c r="H41" s="83" t="s">
        <v>350</v>
      </c>
      <c r="I41" s="83">
        <v>453</v>
      </c>
      <c r="J41" s="245"/>
      <c r="K41" s="246"/>
      <c r="L41" s="245"/>
      <c r="M41" s="246"/>
      <c r="N41" s="245"/>
      <c r="O41" s="246"/>
      <c r="P41" s="245"/>
      <c r="Q41" s="246"/>
      <c r="R41" s="245"/>
      <c r="S41" s="246"/>
    </row>
    <row r="42" spans="2:19" ht="27.4" customHeight="1" x14ac:dyDescent="0.45">
      <c r="B42" s="1332"/>
      <c r="C42" s="1068"/>
      <c r="D42" s="1109"/>
      <c r="E42" s="1105"/>
      <c r="F42" s="734" t="s">
        <v>26</v>
      </c>
      <c r="G42" s="56" t="s">
        <v>27</v>
      </c>
      <c r="H42" s="56" t="s">
        <v>350</v>
      </c>
      <c r="I42" s="56">
        <v>383.64925387650629</v>
      </c>
      <c r="J42" s="245"/>
      <c r="K42" s="246"/>
      <c r="L42" s="245"/>
      <c r="M42" s="246"/>
      <c r="N42" s="245"/>
      <c r="O42" s="246"/>
      <c r="P42" s="245"/>
      <c r="Q42" s="246"/>
      <c r="R42" s="245"/>
      <c r="S42" s="246"/>
    </row>
    <row r="43" spans="2:19" ht="27.4" customHeight="1" x14ac:dyDescent="0.45">
      <c r="B43" s="1332"/>
      <c r="C43" s="1068"/>
      <c r="D43" s="1109"/>
      <c r="E43" s="1105"/>
      <c r="F43" s="732" t="s">
        <v>28</v>
      </c>
      <c r="G43" s="83" t="s">
        <v>27</v>
      </c>
      <c r="H43" s="83" t="s">
        <v>350</v>
      </c>
      <c r="I43" s="83">
        <v>382.2636132304512</v>
      </c>
      <c r="J43" s="245"/>
      <c r="K43" s="246"/>
      <c r="L43" s="245"/>
      <c r="M43" s="246"/>
      <c r="N43" s="245"/>
      <c r="O43" s="246"/>
      <c r="P43" s="245"/>
      <c r="Q43" s="246"/>
      <c r="R43" s="245"/>
      <c r="S43" s="246"/>
    </row>
    <row r="44" spans="2:19" ht="27.4" customHeight="1" x14ac:dyDescent="0.45">
      <c r="B44" s="1332"/>
      <c r="C44" s="1068"/>
      <c r="D44" s="1109"/>
      <c r="E44" s="1105"/>
      <c r="F44" s="734" t="s">
        <v>29</v>
      </c>
      <c r="G44" s="56" t="s">
        <v>27</v>
      </c>
      <c r="H44" s="56" t="s">
        <v>350</v>
      </c>
      <c r="I44" s="56">
        <v>381.74399798818052</v>
      </c>
      <c r="J44" s="245"/>
      <c r="K44" s="246"/>
      <c r="L44" s="245"/>
      <c r="M44" s="246"/>
      <c r="N44" s="245"/>
      <c r="O44" s="246"/>
      <c r="P44" s="245"/>
      <c r="Q44" s="246"/>
      <c r="R44" s="245"/>
      <c r="S44" s="246"/>
    </row>
    <row r="45" spans="2:19" ht="27.4" customHeight="1" x14ac:dyDescent="0.45">
      <c r="B45" s="1333"/>
      <c r="C45" s="1070"/>
      <c r="D45" s="1431"/>
      <c r="E45" s="405"/>
      <c r="F45" s="737" t="s">
        <v>774</v>
      </c>
      <c r="G45" s="386"/>
      <c r="H45" s="386" t="s">
        <v>167</v>
      </c>
      <c r="I45" s="386" t="s">
        <v>151</v>
      </c>
      <c r="J45" s="401"/>
      <c r="K45" s="402"/>
      <c r="L45" s="496"/>
      <c r="M45" s="261"/>
      <c r="N45" s="496"/>
      <c r="O45" s="261"/>
      <c r="P45" s="496"/>
      <c r="Q45" s="261"/>
      <c r="R45" s="496"/>
      <c r="S45" s="261"/>
    </row>
    <row r="46" spans="2:19" ht="27.4" customHeight="1" x14ac:dyDescent="0.45">
      <c r="B46" s="1432" t="s">
        <v>776</v>
      </c>
      <c r="C46" s="1433"/>
      <c r="D46" s="1085" t="s">
        <v>777</v>
      </c>
      <c r="E46" s="1084"/>
      <c r="F46" s="738" t="s">
        <v>778</v>
      </c>
      <c r="G46" s="57" t="s">
        <v>21</v>
      </c>
      <c r="H46" s="57"/>
      <c r="I46" s="57" t="s">
        <v>200</v>
      </c>
      <c r="J46" s="259"/>
      <c r="K46" s="260"/>
      <c r="L46" s="503"/>
      <c r="M46" s="398"/>
      <c r="N46" s="503"/>
      <c r="O46" s="398"/>
      <c r="P46" s="503"/>
      <c r="Q46" s="398"/>
      <c r="R46" s="503"/>
      <c r="S46" s="398"/>
    </row>
    <row r="47" spans="2:19" ht="27.4" customHeight="1" x14ac:dyDescent="0.45">
      <c r="B47" s="1432"/>
      <c r="C47" s="1433"/>
      <c r="D47" s="1434"/>
      <c r="E47" s="1435"/>
      <c r="F47" s="732" t="s">
        <v>779</v>
      </c>
      <c r="G47" s="83" t="s">
        <v>48</v>
      </c>
      <c r="H47" s="83"/>
      <c r="I47" s="83">
        <v>0</v>
      </c>
      <c r="J47" s="245"/>
      <c r="K47" s="246"/>
      <c r="L47" s="498"/>
      <c r="M47" s="246"/>
      <c r="N47" s="498"/>
      <c r="O47" s="246"/>
      <c r="P47" s="498"/>
      <c r="Q47" s="246"/>
      <c r="R47" s="498"/>
      <c r="S47" s="246"/>
    </row>
    <row r="48" spans="2:19" ht="27.4" customHeight="1" x14ac:dyDescent="0.45">
      <c r="B48" s="1432"/>
      <c r="C48" s="1433"/>
      <c r="D48" s="1434"/>
      <c r="E48" s="1435"/>
      <c r="F48" s="734" t="s">
        <v>781</v>
      </c>
      <c r="G48" s="56" t="s">
        <v>48</v>
      </c>
      <c r="H48" s="56"/>
      <c r="I48" s="56">
        <v>0</v>
      </c>
      <c r="J48" s="245"/>
      <c r="K48" s="246"/>
      <c r="L48" s="498"/>
      <c r="M48" s="246"/>
      <c r="N48" s="498"/>
      <c r="O48" s="246"/>
      <c r="P48" s="498"/>
      <c r="Q48" s="246"/>
      <c r="R48" s="498"/>
      <c r="S48" s="246"/>
    </row>
    <row r="49" spans="2:19" ht="27.4" customHeight="1" x14ac:dyDescent="0.45">
      <c r="B49" s="1432"/>
      <c r="C49" s="1433"/>
      <c r="D49" s="1434"/>
      <c r="E49" s="1435"/>
      <c r="F49" s="732" t="s">
        <v>782</v>
      </c>
      <c r="G49" s="83" t="s">
        <v>48</v>
      </c>
      <c r="H49" s="83"/>
      <c r="I49" s="83">
        <v>0</v>
      </c>
      <c r="J49" s="245"/>
      <c r="K49" s="246"/>
      <c r="L49" s="498"/>
      <c r="M49" s="246"/>
      <c r="N49" s="498"/>
      <c r="O49" s="246"/>
      <c r="P49" s="498"/>
      <c r="Q49" s="246"/>
      <c r="R49" s="498"/>
      <c r="S49" s="246"/>
    </row>
    <row r="50" spans="2:19" ht="27.4" customHeight="1" x14ac:dyDescent="0.45">
      <c r="B50" s="1432"/>
      <c r="C50" s="1433"/>
      <c r="D50" s="1434"/>
      <c r="E50" s="1435"/>
      <c r="F50" s="734" t="s">
        <v>783</v>
      </c>
      <c r="G50" s="56" t="s">
        <v>48</v>
      </c>
      <c r="H50" s="56"/>
      <c r="I50" s="56">
        <v>6.6</v>
      </c>
      <c r="J50" s="245"/>
      <c r="K50" s="246"/>
      <c r="L50" s="498"/>
      <c r="M50" s="246"/>
      <c r="N50" s="498"/>
      <c r="O50" s="246"/>
      <c r="P50" s="498"/>
      <c r="Q50" s="246"/>
      <c r="R50" s="498"/>
      <c r="S50" s="246"/>
    </row>
    <row r="51" spans="2:19" ht="27.4" customHeight="1" x14ac:dyDescent="0.45">
      <c r="B51" s="1432"/>
      <c r="C51" s="1433"/>
      <c r="D51" s="1434"/>
      <c r="E51" s="1435"/>
      <c r="F51" s="732" t="s">
        <v>785</v>
      </c>
      <c r="G51" s="83" t="s">
        <v>27</v>
      </c>
      <c r="H51" s="83"/>
      <c r="I51" s="83">
        <v>12.84</v>
      </c>
      <c r="J51" s="245"/>
      <c r="K51" s="246"/>
      <c r="L51" s="498"/>
      <c r="M51" s="246"/>
      <c r="N51" s="498"/>
      <c r="O51" s="246"/>
      <c r="P51" s="498"/>
      <c r="Q51" s="246"/>
      <c r="R51" s="498"/>
      <c r="S51" s="246"/>
    </row>
    <row r="52" spans="2:19" ht="39.75" customHeight="1" x14ac:dyDescent="0.45">
      <c r="B52" s="1432"/>
      <c r="C52" s="1433"/>
      <c r="D52" s="1434"/>
      <c r="E52" s="1435"/>
      <c r="F52" s="734" t="s">
        <v>787</v>
      </c>
      <c r="G52" s="56" t="s">
        <v>48</v>
      </c>
      <c r="H52" s="56"/>
      <c r="I52" s="56">
        <v>6.39</v>
      </c>
      <c r="J52" s="243"/>
      <c r="K52" s="244"/>
      <c r="L52" s="498"/>
      <c r="M52" s="246"/>
      <c r="N52" s="498"/>
      <c r="O52" s="246"/>
      <c r="P52" s="498"/>
      <c r="Q52" s="246"/>
      <c r="R52" s="498"/>
      <c r="S52" s="246"/>
    </row>
    <row r="53" spans="2:19" ht="27.4" customHeight="1" x14ac:dyDescent="0.45">
      <c r="B53" s="1432"/>
      <c r="C53" s="1433"/>
      <c r="D53" s="1434"/>
      <c r="E53" s="1435"/>
      <c r="F53" s="732" t="s">
        <v>789</v>
      </c>
      <c r="G53" s="83" t="s">
        <v>48</v>
      </c>
      <c r="H53" s="83"/>
      <c r="I53" s="83">
        <v>0</v>
      </c>
      <c r="J53" s="245"/>
      <c r="K53" s="246"/>
      <c r="L53" s="498"/>
      <c r="M53" s="246"/>
      <c r="N53" s="498"/>
      <c r="O53" s="246"/>
      <c r="P53" s="498"/>
      <c r="Q53" s="246"/>
      <c r="R53" s="498"/>
      <c r="S53" s="246"/>
    </row>
    <row r="54" spans="2:19" ht="27.4" customHeight="1" x14ac:dyDescent="0.45">
      <c r="B54" s="1432"/>
      <c r="C54" s="1433"/>
      <c r="D54" s="1434"/>
      <c r="E54" s="1435"/>
      <c r="F54" s="734" t="s">
        <v>790</v>
      </c>
      <c r="G54" s="56" t="s">
        <v>48</v>
      </c>
      <c r="H54" s="56"/>
      <c r="I54" s="56">
        <v>7.88</v>
      </c>
      <c r="J54" s="245"/>
      <c r="K54" s="246"/>
      <c r="L54" s="498"/>
      <c r="M54" s="246"/>
      <c r="N54" s="498"/>
      <c r="O54" s="246"/>
      <c r="P54" s="498"/>
      <c r="Q54" s="246"/>
      <c r="R54" s="498"/>
      <c r="S54" s="246"/>
    </row>
    <row r="55" spans="2:19" ht="27.4" customHeight="1" x14ac:dyDescent="0.45">
      <c r="B55" s="1432"/>
      <c r="C55" s="1433"/>
      <c r="D55" s="1434"/>
      <c r="E55" s="1435"/>
      <c r="F55" s="734" t="s">
        <v>792</v>
      </c>
      <c r="G55" s="56" t="s">
        <v>27</v>
      </c>
      <c r="H55" s="56"/>
      <c r="I55" s="56">
        <v>12.88</v>
      </c>
      <c r="J55" s="245"/>
      <c r="K55" s="246"/>
      <c r="L55" s="498"/>
      <c r="M55" s="246"/>
      <c r="N55" s="498"/>
      <c r="O55" s="246"/>
      <c r="P55" s="498"/>
      <c r="Q55" s="246"/>
      <c r="R55" s="498"/>
      <c r="S55" s="246"/>
    </row>
    <row r="56" spans="2:19" ht="27.4" customHeight="1" x14ac:dyDescent="0.45">
      <c r="B56" s="1432"/>
      <c r="C56" s="1433"/>
      <c r="D56" s="1434"/>
      <c r="E56" s="1435"/>
      <c r="F56" s="732" t="s">
        <v>794</v>
      </c>
      <c r="G56" s="83" t="s">
        <v>48</v>
      </c>
      <c r="H56" s="83"/>
      <c r="I56" s="83">
        <v>9.3000000000000007</v>
      </c>
      <c r="J56" s="245"/>
      <c r="K56" s="246"/>
      <c r="L56" s="498"/>
      <c r="M56" s="246"/>
      <c r="N56" s="498"/>
      <c r="O56" s="246"/>
      <c r="P56" s="498"/>
      <c r="Q56" s="246"/>
      <c r="R56" s="498"/>
      <c r="S56" s="246"/>
    </row>
    <row r="57" spans="2:19" ht="27.4" customHeight="1" x14ac:dyDescent="0.45">
      <c r="B57" s="1432"/>
      <c r="C57" s="1433"/>
      <c r="D57" s="1434"/>
      <c r="E57" s="1435"/>
      <c r="F57" s="732" t="s">
        <v>796</v>
      </c>
      <c r="G57" s="83" t="s">
        <v>48</v>
      </c>
      <c r="H57" s="83"/>
      <c r="I57" s="83">
        <v>0</v>
      </c>
      <c r="J57" s="245"/>
      <c r="K57" s="246"/>
      <c r="L57" s="498"/>
      <c r="M57" s="246"/>
      <c r="N57" s="498"/>
      <c r="O57" s="246"/>
      <c r="P57" s="498"/>
      <c r="Q57" s="246"/>
      <c r="R57" s="498"/>
      <c r="S57" s="246"/>
    </row>
    <row r="58" spans="2:19" ht="27.4" customHeight="1" x14ac:dyDescent="0.45">
      <c r="B58" s="1432"/>
      <c r="C58" s="1433"/>
      <c r="D58" s="1434"/>
      <c r="E58" s="1435"/>
      <c r="F58" s="734" t="s">
        <v>798</v>
      </c>
      <c r="G58" s="56" t="s">
        <v>48</v>
      </c>
      <c r="H58" s="56"/>
      <c r="I58" s="56">
        <v>1.78</v>
      </c>
      <c r="J58" s="245"/>
      <c r="K58" s="246"/>
      <c r="L58" s="498"/>
      <c r="M58" s="246"/>
      <c r="N58" s="498"/>
      <c r="O58" s="246"/>
      <c r="P58" s="498"/>
      <c r="Q58" s="246"/>
      <c r="R58" s="498"/>
      <c r="S58" s="246"/>
    </row>
    <row r="59" spans="2:19" ht="27.4" customHeight="1" x14ac:dyDescent="0.45">
      <c r="B59" s="1432"/>
      <c r="C59" s="1433"/>
      <c r="D59" s="1434"/>
      <c r="E59" s="1435"/>
      <c r="F59" s="732" t="s">
        <v>800</v>
      </c>
      <c r="G59" s="83" t="s">
        <v>48</v>
      </c>
      <c r="H59" s="83"/>
      <c r="I59" s="83">
        <v>0</v>
      </c>
      <c r="J59" s="499"/>
      <c r="K59" s="502"/>
      <c r="L59" s="498"/>
      <c r="M59" s="246"/>
      <c r="N59" s="498"/>
      <c r="O59" s="246"/>
      <c r="P59" s="498"/>
      <c r="Q59" s="246"/>
      <c r="R59" s="498"/>
      <c r="S59" s="246"/>
    </row>
    <row r="60" spans="2:19" ht="39.75" customHeight="1" x14ac:dyDescent="0.45">
      <c r="B60" s="1432"/>
      <c r="C60" s="1433"/>
      <c r="D60" s="1086"/>
      <c r="E60" s="1087"/>
      <c r="F60" s="739" t="s">
        <v>802</v>
      </c>
      <c r="G60" s="62" t="s">
        <v>21</v>
      </c>
      <c r="H60" s="62" t="s">
        <v>167</v>
      </c>
      <c r="I60" s="62" t="s">
        <v>168</v>
      </c>
      <c r="J60" s="245"/>
      <c r="K60" s="246"/>
      <c r="L60" s="504"/>
      <c r="M60" s="402"/>
      <c r="N60" s="504"/>
      <c r="O60" s="402"/>
      <c r="P60" s="504"/>
      <c r="Q60" s="402"/>
      <c r="R60" s="504"/>
      <c r="S60" s="402"/>
    </row>
    <row r="61" spans="2:19" ht="27.4" customHeight="1" x14ac:dyDescent="0.45">
      <c r="B61" s="1456" t="s">
        <v>178</v>
      </c>
      <c r="C61" s="1457"/>
      <c r="D61" s="1458" t="s">
        <v>804</v>
      </c>
      <c r="E61" s="1436" t="s">
        <v>805</v>
      </c>
      <c r="F61" s="740" t="s">
        <v>418</v>
      </c>
      <c r="G61" s="395"/>
      <c r="H61" s="395"/>
      <c r="I61" s="395" t="s">
        <v>48</v>
      </c>
      <c r="J61" s="245"/>
      <c r="K61" s="246"/>
      <c r="L61" s="259"/>
      <c r="M61" s="260"/>
      <c r="N61" s="259"/>
      <c r="O61" s="260"/>
      <c r="P61" s="259"/>
      <c r="Q61" s="260"/>
      <c r="R61" s="259"/>
      <c r="S61" s="260"/>
    </row>
    <row r="62" spans="2:19" ht="27.4" customHeight="1" x14ac:dyDescent="0.45">
      <c r="B62" s="1067"/>
      <c r="C62" s="1116"/>
      <c r="D62" s="1459"/>
      <c r="E62" s="1101"/>
      <c r="F62" s="734" t="s">
        <v>807</v>
      </c>
      <c r="G62" s="56" t="s">
        <v>137</v>
      </c>
      <c r="H62" s="56" t="s">
        <v>217</v>
      </c>
      <c r="I62" s="56">
        <v>6.67</v>
      </c>
      <c r="J62" s="245"/>
      <c r="K62" s="246"/>
      <c r="L62" s="245"/>
      <c r="M62" s="246"/>
      <c r="N62" s="245"/>
      <c r="O62" s="246"/>
      <c r="P62" s="245"/>
      <c r="Q62" s="246"/>
      <c r="R62" s="245"/>
      <c r="S62" s="246"/>
    </row>
    <row r="63" spans="2:19" ht="27.4" customHeight="1" x14ac:dyDescent="0.45">
      <c r="B63" s="1067"/>
      <c r="C63" s="1116"/>
      <c r="D63" s="1459"/>
      <c r="E63" s="1101"/>
      <c r="F63" s="732" t="s">
        <v>807</v>
      </c>
      <c r="G63" s="83" t="s">
        <v>137</v>
      </c>
      <c r="H63" s="83" t="s">
        <v>345</v>
      </c>
      <c r="I63" s="83">
        <v>7</v>
      </c>
      <c r="J63" s="245"/>
      <c r="K63" s="246"/>
      <c r="L63" s="245"/>
      <c r="M63" s="246"/>
      <c r="N63" s="245"/>
      <c r="O63" s="246"/>
      <c r="P63" s="245"/>
      <c r="Q63" s="246"/>
      <c r="R63" s="245"/>
      <c r="S63" s="246"/>
    </row>
    <row r="64" spans="2:19" ht="27.4" customHeight="1" x14ac:dyDescent="0.45">
      <c r="B64" s="1067"/>
      <c r="C64" s="1116"/>
      <c r="D64" s="1459"/>
      <c r="E64" s="1101"/>
      <c r="F64" s="734" t="s">
        <v>808</v>
      </c>
      <c r="G64" s="56" t="s">
        <v>137</v>
      </c>
      <c r="H64" s="56" t="s">
        <v>217</v>
      </c>
      <c r="I64" s="56">
        <v>6.7</v>
      </c>
      <c r="J64" s="245"/>
      <c r="K64" s="246"/>
      <c r="L64" s="245"/>
      <c r="M64" s="246"/>
      <c r="N64" s="245"/>
      <c r="O64" s="246"/>
      <c r="P64" s="245"/>
      <c r="Q64" s="246"/>
      <c r="R64" s="245"/>
      <c r="S64" s="246"/>
    </row>
    <row r="65" spans="2:19" ht="27.4" customHeight="1" x14ac:dyDescent="0.45">
      <c r="B65" s="1067"/>
      <c r="C65" s="1116"/>
      <c r="D65" s="1459"/>
      <c r="E65" s="1101"/>
      <c r="F65" s="732" t="s">
        <v>808</v>
      </c>
      <c r="G65" s="83" t="s">
        <v>137</v>
      </c>
      <c r="H65" s="83" t="s">
        <v>345</v>
      </c>
      <c r="I65" s="83">
        <v>7</v>
      </c>
      <c r="J65" s="245"/>
      <c r="K65" s="246"/>
      <c r="L65" s="245"/>
      <c r="M65" s="246"/>
      <c r="N65" s="245"/>
      <c r="O65" s="246"/>
      <c r="P65" s="245"/>
      <c r="Q65" s="246"/>
      <c r="R65" s="245"/>
      <c r="S65" s="246"/>
    </row>
    <row r="66" spans="2:19" ht="27.4" customHeight="1" x14ac:dyDescent="0.45">
      <c r="B66" s="1067"/>
      <c r="C66" s="1116"/>
      <c r="D66" s="1459"/>
      <c r="E66" s="1101"/>
      <c r="F66" s="739" t="s">
        <v>809</v>
      </c>
      <c r="G66" s="62" t="s">
        <v>137</v>
      </c>
      <c r="H66" s="62" t="s">
        <v>73</v>
      </c>
      <c r="I66" s="62">
        <v>6.7</v>
      </c>
      <c r="J66" s="245"/>
      <c r="K66" s="246"/>
      <c r="L66" s="245"/>
      <c r="M66" s="246"/>
      <c r="N66" s="245"/>
      <c r="O66" s="246"/>
      <c r="P66" s="245"/>
      <c r="Q66" s="246"/>
      <c r="R66" s="245"/>
      <c r="S66" s="246"/>
    </row>
    <row r="67" spans="2:19" ht="27.4" customHeight="1" x14ac:dyDescent="0.45">
      <c r="B67" s="1067"/>
      <c r="C67" s="1116"/>
      <c r="D67" s="1019"/>
      <c r="E67" s="1420" t="s">
        <v>810</v>
      </c>
      <c r="F67" s="741" t="s">
        <v>130</v>
      </c>
      <c r="G67" s="95"/>
      <c r="H67" s="95"/>
      <c r="I67" s="95" t="s">
        <v>356</v>
      </c>
      <c r="J67" s="353"/>
      <c r="K67" s="352"/>
      <c r="L67" s="243"/>
      <c r="M67" s="244"/>
      <c r="N67" s="243"/>
      <c r="O67" s="244"/>
      <c r="P67" s="243"/>
      <c r="Q67" s="244"/>
      <c r="R67" s="243"/>
      <c r="S67" s="244"/>
    </row>
    <row r="68" spans="2:19" ht="27.4" customHeight="1" x14ac:dyDescent="0.45">
      <c r="B68" s="1067"/>
      <c r="C68" s="1116"/>
      <c r="D68" s="1019"/>
      <c r="E68" s="1019"/>
      <c r="F68" s="742" t="s">
        <v>134</v>
      </c>
      <c r="G68" s="56" t="s">
        <v>39</v>
      </c>
      <c r="H68" s="56"/>
      <c r="I68" s="56">
        <v>31.2</v>
      </c>
      <c r="J68" s="259"/>
      <c r="K68" s="260"/>
      <c r="L68" s="245"/>
      <c r="M68" s="246"/>
      <c r="N68" s="245"/>
      <c r="O68" s="246"/>
      <c r="P68" s="245"/>
      <c r="Q68" s="246"/>
      <c r="R68" s="245"/>
      <c r="S68" s="246"/>
    </row>
    <row r="69" spans="2:19" ht="27.4" customHeight="1" x14ac:dyDescent="0.45">
      <c r="B69" s="1067"/>
      <c r="C69" s="1116"/>
      <c r="D69" s="1019"/>
      <c r="E69" s="1019"/>
      <c r="F69" s="743" t="s">
        <v>136</v>
      </c>
      <c r="G69" s="83" t="s">
        <v>137</v>
      </c>
      <c r="H69" s="83"/>
      <c r="I69" s="83">
        <v>6.65</v>
      </c>
      <c r="J69" s="245"/>
      <c r="K69" s="246"/>
      <c r="L69" s="245"/>
      <c r="M69" s="246"/>
      <c r="N69" s="245"/>
      <c r="O69" s="246"/>
      <c r="P69" s="245"/>
      <c r="Q69" s="246"/>
      <c r="R69" s="245"/>
      <c r="S69" s="246"/>
    </row>
    <row r="70" spans="2:19" ht="27.4" customHeight="1" x14ac:dyDescent="0.45">
      <c r="B70" s="1067"/>
      <c r="C70" s="1116"/>
      <c r="D70" s="1019"/>
      <c r="E70" s="1019"/>
      <c r="F70" s="742" t="s">
        <v>139</v>
      </c>
      <c r="G70" s="56" t="s">
        <v>140</v>
      </c>
      <c r="H70" s="56"/>
      <c r="I70" s="56">
        <v>0</v>
      </c>
      <c r="J70" s="245"/>
      <c r="K70" s="246"/>
      <c r="L70" s="245"/>
      <c r="M70" s="246"/>
      <c r="N70" s="245"/>
      <c r="O70" s="246"/>
      <c r="P70" s="245"/>
      <c r="Q70" s="246"/>
      <c r="R70" s="245"/>
      <c r="S70" s="246"/>
    </row>
    <row r="71" spans="2:19" ht="27.4" customHeight="1" x14ac:dyDescent="0.45">
      <c r="B71" s="1067"/>
      <c r="C71" s="1116"/>
      <c r="D71" s="1019"/>
      <c r="E71" s="1019"/>
      <c r="F71" s="743" t="s">
        <v>811</v>
      </c>
      <c r="G71" s="83" t="s">
        <v>143</v>
      </c>
      <c r="H71" s="83"/>
      <c r="I71" s="83">
        <v>58.17</v>
      </c>
      <c r="J71" s="245"/>
      <c r="K71" s="246"/>
      <c r="L71" s="245"/>
      <c r="M71" s="246"/>
      <c r="N71" s="245"/>
      <c r="O71" s="246"/>
      <c r="P71" s="245"/>
      <c r="Q71" s="246"/>
      <c r="R71" s="245"/>
      <c r="S71" s="246"/>
    </row>
    <row r="72" spans="2:19" ht="27.4" customHeight="1" x14ac:dyDescent="0.45">
      <c r="B72" s="1067"/>
      <c r="C72" s="1116"/>
      <c r="D72" s="1019"/>
      <c r="E72" s="1019"/>
      <c r="F72" s="742" t="s">
        <v>68</v>
      </c>
      <c r="G72" s="56" t="s">
        <v>77</v>
      </c>
      <c r="H72" s="56"/>
      <c r="I72" s="56" t="s">
        <v>812</v>
      </c>
      <c r="J72" s="245"/>
      <c r="K72" s="246"/>
      <c r="L72" s="245"/>
      <c r="M72" s="246"/>
      <c r="N72" s="245"/>
      <c r="O72" s="246"/>
      <c r="P72" s="245"/>
      <c r="Q72" s="246"/>
      <c r="R72" s="245"/>
      <c r="S72" s="246"/>
    </row>
    <row r="73" spans="2:19" ht="27.4" customHeight="1" x14ac:dyDescent="0.45">
      <c r="B73" s="1067"/>
      <c r="C73" s="1116"/>
      <c r="D73" s="1019"/>
      <c r="E73" s="1019"/>
      <c r="F73" s="743" t="s">
        <v>813</v>
      </c>
      <c r="G73" s="83"/>
      <c r="H73" s="83" t="s">
        <v>270</v>
      </c>
      <c r="I73" s="83" t="s">
        <v>48</v>
      </c>
      <c r="J73" s="475"/>
      <c r="K73" s="246"/>
      <c r="L73" s="245"/>
      <c r="M73" s="246"/>
      <c r="N73" s="245"/>
      <c r="O73" s="246"/>
      <c r="P73" s="245"/>
      <c r="Q73" s="246"/>
      <c r="R73" s="245"/>
      <c r="S73" s="246"/>
    </row>
    <row r="74" spans="2:19" ht="27.4" customHeight="1" x14ac:dyDescent="0.45">
      <c r="B74" s="1067"/>
      <c r="C74" s="1116"/>
      <c r="D74" s="1019"/>
      <c r="E74" s="1437"/>
      <c r="F74" s="744" t="s">
        <v>152</v>
      </c>
      <c r="G74" s="90"/>
      <c r="H74" s="90"/>
      <c r="I74" s="90" t="s">
        <v>154</v>
      </c>
      <c r="J74" s="476"/>
      <c r="K74" s="402"/>
      <c r="L74" s="499"/>
      <c r="M74" s="502"/>
      <c r="N74" s="499"/>
      <c r="O74" s="502"/>
      <c r="P74" s="499"/>
      <c r="Q74" s="502"/>
      <c r="R74" s="499"/>
      <c r="S74" s="502"/>
    </row>
    <row r="75" spans="2:19" ht="27.4" customHeight="1" x14ac:dyDescent="0.45">
      <c r="B75" s="1067"/>
      <c r="C75" s="1116"/>
      <c r="D75" s="1019"/>
      <c r="E75" s="1420" t="s">
        <v>815</v>
      </c>
      <c r="F75" s="741" t="s">
        <v>130</v>
      </c>
      <c r="G75" s="95"/>
      <c r="H75" s="95"/>
      <c r="I75" s="95" t="s">
        <v>356</v>
      </c>
      <c r="J75" s="397"/>
      <c r="K75" s="398"/>
      <c r="L75" s="245"/>
      <c r="M75" s="246"/>
      <c r="N75" s="245"/>
      <c r="O75" s="246"/>
      <c r="P75" s="245"/>
      <c r="Q75" s="246"/>
      <c r="R75" s="245"/>
      <c r="S75" s="246"/>
    </row>
    <row r="76" spans="2:19" ht="27.4" customHeight="1" x14ac:dyDescent="0.45">
      <c r="B76" s="1067"/>
      <c r="C76" s="1116"/>
      <c r="D76" s="1019"/>
      <c r="E76" s="1019"/>
      <c r="F76" s="742" t="s">
        <v>134</v>
      </c>
      <c r="G76" s="56" t="s">
        <v>39</v>
      </c>
      <c r="H76" s="56"/>
      <c r="I76" s="56">
        <v>31.2</v>
      </c>
      <c r="J76" s="245"/>
      <c r="K76" s="246"/>
      <c r="L76" s="245"/>
      <c r="M76" s="246"/>
      <c r="N76" s="245"/>
      <c r="O76" s="246"/>
      <c r="P76" s="245"/>
      <c r="Q76" s="246"/>
      <c r="R76" s="245"/>
      <c r="S76" s="246"/>
    </row>
    <row r="77" spans="2:19" ht="27.4" customHeight="1" x14ac:dyDescent="0.45">
      <c r="B77" s="1067"/>
      <c r="C77" s="1116"/>
      <c r="D77" s="1019"/>
      <c r="E77" s="1019"/>
      <c r="F77" s="743" t="s">
        <v>136</v>
      </c>
      <c r="G77" s="83" t="s">
        <v>137</v>
      </c>
      <c r="H77" s="83"/>
      <c r="I77" s="83">
        <v>6.65</v>
      </c>
      <c r="J77" s="401"/>
      <c r="K77" s="402"/>
      <c r="L77" s="245"/>
      <c r="M77" s="246"/>
      <c r="N77" s="245"/>
      <c r="O77" s="246"/>
      <c r="P77" s="245"/>
      <c r="Q77" s="246"/>
      <c r="R77" s="245"/>
      <c r="S77" s="246"/>
    </row>
    <row r="78" spans="2:19" ht="27.4" customHeight="1" x14ac:dyDescent="0.45">
      <c r="B78" s="1067"/>
      <c r="C78" s="1116"/>
      <c r="D78" s="1019"/>
      <c r="E78" s="1019"/>
      <c r="F78" s="742" t="s">
        <v>139</v>
      </c>
      <c r="G78" s="56" t="s">
        <v>140</v>
      </c>
      <c r="H78" s="56"/>
      <c r="I78" s="56">
        <v>0</v>
      </c>
      <c r="L78" s="245"/>
      <c r="M78" s="246"/>
      <c r="N78" s="245"/>
      <c r="O78" s="246"/>
      <c r="P78" s="245"/>
      <c r="Q78" s="246"/>
      <c r="R78" s="245"/>
      <c r="S78" s="246"/>
    </row>
    <row r="79" spans="2:19" ht="27.4" customHeight="1" x14ac:dyDescent="0.45">
      <c r="B79" s="1067"/>
      <c r="C79" s="1116"/>
      <c r="D79" s="1019"/>
      <c r="E79" s="1019"/>
      <c r="F79" s="743" t="s">
        <v>811</v>
      </c>
      <c r="G79" s="83" t="s">
        <v>143</v>
      </c>
      <c r="H79" s="83"/>
      <c r="I79" s="83">
        <v>56.79</v>
      </c>
      <c r="J79" s="1455"/>
      <c r="K79" s="1384"/>
      <c r="L79" s="245"/>
      <c r="M79" s="246"/>
      <c r="N79" s="245"/>
      <c r="O79" s="246"/>
      <c r="P79" s="245"/>
      <c r="Q79" s="246"/>
      <c r="R79" s="245"/>
      <c r="S79" s="246"/>
    </row>
    <row r="80" spans="2:19" ht="27.4" customHeight="1" x14ac:dyDescent="0.45">
      <c r="B80" s="1067"/>
      <c r="C80" s="1116"/>
      <c r="D80" s="1019"/>
      <c r="E80" s="1019"/>
      <c r="F80" s="742" t="s">
        <v>68</v>
      </c>
      <c r="G80" s="56" t="s">
        <v>77</v>
      </c>
      <c r="H80" s="56"/>
      <c r="I80" s="56" t="s">
        <v>812</v>
      </c>
      <c r="J80" s="1455"/>
      <c r="K80" s="1384"/>
      <c r="L80" s="245"/>
      <c r="M80" s="246"/>
      <c r="N80" s="245"/>
      <c r="O80" s="246"/>
      <c r="P80" s="245"/>
      <c r="Q80" s="246"/>
      <c r="R80" s="245"/>
      <c r="S80" s="246"/>
    </row>
    <row r="81" spans="2:19" ht="27.4" customHeight="1" x14ac:dyDescent="0.45">
      <c r="B81" s="1067"/>
      <c r="C81" s="1116"/>
      <c r="D81" s="1019"/>
      <c r="E81" s="1019"/>
      <c r="F81" s="743" t="s">
        <v>813</v>
      </c>
      <c r="G81" s="83"/>
      <c r="H81" s="83" t="s">
        <v>270</v>
      </c>
      <c r="I81" s="83" t="s">
        <v>48</v>
      </c>
      <c r="J81" s="658"/>
      <c r="K81" s="505"/>
      <c r="L81" s="245"/>
      <c r="M81" s="246"/>
      <c r="N81" s="245"/>
      <c r="O81" s="246"/>
      <c r="P81" s="245"/>
      <c r="Q81" s="246"/>
      <c r="R81" s="245"/>
      <c r="S81" s="246"/>
    </row>
    <row r="82" spans="2:19" ht="16.149999999999999" customHeight="1" x14ac:dyDescent="0.45">
      <c r="B82" s="1067"/>
      <c r="C82" s="1116"/>
      <c r="D82" s="1019"/>
      <c r="E82" s="1019"/>
      <c r="F82" s="745" t="s">
        <v>152</v>
      </c>
      <c r="G82" s="349"/>
      <c r="H82" s="349"/>
      <c r="I82" s="349" t="s">
        <v>154</v>
      </c>
      <c r="L82" s="353"/>
      <c r="M82" s="352"/>
      <c r="N82" s="353"/>
      <c r="O82" s="352"/>
      <c r="P82" s="353"/>
      <c r="Q82" s="352"/>
      <c r="R82" s="353"/>
      <c r="S82" s="352"/>
    </row>
    <row r="83" spans="2:19" ht="16.149999999999999" customHeight="1" x14ac:dyDescent="0.45">
      <c r="B83" s="1067"/>
      <c r="C83" s="1382"/>
      <c r="D83" s="1460" t="s">
        <v>816</v>
      </c>
      <c r="E83" s="1463"/>
      <c r="F83" s="746" t="s">
        <v>418</v>
      </c>
      <c r="G83" s="61"/>
      <c r="H83" s="61"/>
      <c r="I83" s="61" t="s">
        <v>48</v>
      </c>
      <c r="L83" s="259"/>
      <c r="M83" s="260"/>
      <c r="N83" s="259"/>
      <c r="O83" s="260"/>
      <c r="P83" s="259"/>
      <c r="Q83" s="260"/>
      <c r="R83" s="259"/>
      <c r="S83" s="260"/>
    </row>
    <row r="84" spans="2:19" ht="16.149999999999999" customHeight="1" x14ac:dyDescent="0.45">
      <c r="B84" s="1067"/>
      <c r="C84" s="1382"/>
      <c r="D84" s="1461"/>
      <c r="E84" s="1464"/>
      <c r="F84" s="747" t="s">
        <v>817</v>
      </c>
      <c r="G84" s="712" t="s">
        <v>137</v>
      </c>
      <c r="H84" s="712" t="s">
        <v>73</v>
      </c>
      <c r="I84" s="712">
        <v>0.75</v>
      </c>
      <c r="L84" s="259"/>
      <c r="M84" s="260"/>
      <c r="N84" s="259"/>
      <c r="O84" s="260"/>
      <c r="P84" s="259"/>
      <c r="Q84" s="260"/>
      <c r="R84" s="259"/>
      <c r="S84" s="260"/>
    </row>
    <row r="85" spans="2:19" ht="16.149999999999999" customHeight="1" x14ac:dyDescent="0.45">
      <c r="B85" s="1067"/>
      <c r="C85" s="1382"/>
      <c r="D85" s="1461"/>
      <c r="E85" s="1464"/>
      <c r="F85" s="748" t="s">
        <v>818</v>
      </c>
      <c r="G85" s="111" t="s">
        <v>137</v>
      </c>
      <c r="H85" s="111" t="s">
        <v>73</v>
      </c>
      <c r="I85" s="111">
        <v>0.75</v>
      </c>
      <c r="L85" s="723"/>
      <c r="M85" s="672"/>
      <c r="N85" s="723"/>
      <c r="O85" s="672"/>
      <c r="P85" s="723"/>
      <c r="Q85" s="672"/>
      <c r="R85" s="723"/>
      <c r="S85" s="672"/>
    </row>
    <row r="86" spans="2:19" ht="16.149999999999999" customHeight="1" x14ac:dyDescent="0.45">
      <c r="B86" s="1067"/>
      <c r="C86" s="1382"/>
      <c r="D86" s="1461"/>
      <c r="E86" s="1463" t="s">
        <v>810</v>
      </c>
      <c r="F86" s="749" t="s">
        <v>819</v>
      </c>
      <c r="G86" s="715" t="s">
        <v>39</v>
      </c>
      <c r="H86" s="382" t="s">
        <v>217</v>
      </c>
      <c r="I86" s="382">
        <v>34</v>
      </c>
      <c r="L86" s="716"/>
      <c r="M86" s="717"/>
      <c r="N86" s="716"/>
      <c r="O86" s="717"/>
      <c r="P86" s="716"/>
      <c r="Q86" s="717"/>
      <c r="R86" s="716"/>
      <c r="S86" s="717"/>
    </row>
    <row r="87" spans="2:19" ht="16.149999999999999" customHeight="1" x14ac:dyDescent="0.45">
      <c r="B87" s="1067"/>
      <c r="C87" s="1382"/>
      <c r="D87" s="1461"/>
      <c r="E87" s="1464"/>
      <c r="F87" s="747" t="s">
        <v>820</v>
      </c>
      <c r="G87" s="712" t="s">
        <v>137</v>
      </c>
      <c r="H87" s="712" t="s">
        <v>217</v>
      </c>
      <c r="I87" s="712">
        <v>0.76</v>
      </c>
      <c r="L87" s="259"/>
      <c r="M87" s="333"/>
      <c r="N87" s="259"/>
      <c r="O87" s="333"/>
      <c r="P87" s="259"/>
      <c r="Q87" s="333"/>
      <c r="R87" s="259"/>
      <c r="S87" s="333"/>
    </row>
    <row r="88" spans="2:19" ht="16.149999999999999" customHeight="1" x14ac:dyDescent="0.45">
      <c r="B88" s="1067"/>
      <c r="C88" s="1382"/>
      <c r="D88" s="1461"/>
      <c r="E88" s="1464"/>
      <c r="F88" s="746" t="s">
        <v>353</v>
      </c>
      <c r="G88" s="83" t="s">
        <v>27</v>
      </c>
      <c r="H88" s="83" t="s">
        <v>217</v>
      </c>
      <c r="I88" s="83">
        <v>381</v>
      </c>
      <c r="L88" s="259"/>
      <c r="M88" s="333"/>
      <c r="N88" s="259"/>
      <c r="O88" s="333"/>
      <c r="P88" s="259"/>
      <c r="Q88" s="333"/>
      <c r="R88" s="259"/>
      <c r="S88" s="333"/>
    </row>
    <row r="89" spans="2:19" ht="16.149999999999999" customHeight="1" x14ac:dyDescent="0.45">
      <c r="B89" s="1067"/>
      <c r="C89" s="1382"/>
      <c r="D89" s="1461"/>
      <c r="E89" s="1464"/>
      <c r="F89" s="750" t="s">
        <v>811</v>
      </c>
      <c r="G89" s="712" t="s">
        <v>143</v>
      </c>
      <c r="H89" s="712" t="s">
        <v>217</v>
      </c>
      <c r="I89" s="712" t="s">
        <v>852</v>
      </c>
      <c r="L89" s="259"/>
      <c r="M89" s="333"/>
      <c r="N89" s="259"/>
      <c r="O89" s="333"/>
      <c r="P89" s="259"/>
      <c r="Q89" s="333"/>
      <c r="R89" s="259"/>
      <c r="S89" s="333"/>
    </row>
    <row r="90" spans="2:19" ht="16.149999999999999" customHeight="1" x14ac:dyDescent="0.45">
      <c r="B90" s="1067"/>
      <c r="C90" s="1382"/>
      <c r="D90" s="1461"/>
      <c r="E90" s="1464"/>
      <c r="F90" s="751" t="s">
        <v>825</v>
      </c>
      <c r="G90" s="83" t="s">
        <v>137</v>
      </c>
      <c r="H90" s="83" t="s">
        <v>217</v>
      </c>
      <c r="I90" s="83">
        <v>0.75</v>
      </c>
      <c r="L90" s="245"/>
      <c r="M90" s="247"/>
      <c r="N90" s="245"/>
      <c r="O90" s="247"/>
      <c r="P90" s="245"/>
      <c r="Q90" s="247"/>
      <c r="R90" s="245"/>
      <c r="S90" s="247"/>
    </row>
    <row r="91" spans="2:19" ht="16.149999999999999" customHeight="1" x14ac:dyDescent="0.45">
      <c r="B91" s="1067"/>
      <c r="C91" s="1382"/>
      <c r="D91" s="1461"/>
      <c r="E91" s="1464"/>
      <c r="F91" s="752" t="s">
        <v>825</v>
      </c>
      <c r="G91" s="62" t="s">
        <v>137</v>
      </c>
      <c r="H91" s="62" t="s">
        <v>345</v>
      </c>
      <c r="I91" s="62">
        <v>0.74</v>
      </c>
      <c r="L91" s="496"/>
      <c r="M91" s="334"/>
      <c r="N91" s="496"/>
      <c r="O91" s="334"/>
      <c r="P91" s="496"/>
      <c r="Q91" s="334"/>
      <c r="R91" s="496"/>
      <c r="S91" s="334"/>
    </row>
    <row r="92" spans="2:19" ht="16.149999999999999" customHeight="1" x14ac:dyDescent="0.45">
      <c r="B92" s="1067"/>
      <c r="C92" s="1382"/>
      <c r="D92" s="1461"/>
      <c r="E92" s="1463" t="s">
        <v>815</v>
      </c>
      <c r="F92" s="749" t="s">
        <v>819</v>
      </c>
      <c r="G92" s="715" t="s">
        <v>39</v>
      </c>
      <c r="H92" s="382" t="s">
        <v>217</v>
      </c>
      <c r="I92" s="382">
        <v>39</v>
      </c>
      <c r="L92" s="716"/>
      <c r="M92" s="717"/>
      <c r="N92" s="716"/>
      <c r="O92" s="717"/>
      <c r="P92" s="716"/>
      <c r="Q92" s="717"/>
      <c r="R92" s="716"/>
      <c r="S92" s="717"/>
    </row>
    <row r="93" spans="2:19" ht="16.149999999999999" customHeight="1" x14ac:dyDescent="0.45">
      <c r="B93" s="1067"/>
      <c r="C93" s="1382"/>
      <c r="D93" s="1461"/>
      <c r="E93" s="1464"/>
      <c r="F93" s="747" t="s">
        <v>820</v>
      </c>
      <c r="G93" s="712" t="s">
        <v>137</v>
      </c>
      <c r="H93" s="712" t="s">
        <v>217</v>
      </c>
      <c r="I93" s="712">
        <v>0.76</v>
      </c>
      <c r="L93" s="259"/>
      <c r="M93" s="333"/>
      <c r="N93" s="259"/>
      <c r="O93" s="333"/>
      <c r="P93" s="259"/>
      <c r="Q93" s="333"/>
      <c r="R93" s="259"/>
      <c r="S93" s="333"/>
    </row>
    <row r="94" spans="2:19" ht="16.149999999999999" customHeight="1" x14ac:dyDescent="0.45">
      <c r="B94" s="1067"/>
      <c r="C94" s="1382"/>
      <c r="D94" s="1461"/>
      <c r="E94" s="1464"/>
      <c r="F94" s="746" t="s">
        <v>353</v>
      </c>
      <c r="G94" s="83" t="s">
        <v>27</v>
      </c>
      <c r="H94" s="83" t="s">
        <v>217</v>
      </c>
      <c r="I94" s="83">
        <v>382</v>
      </c>
      <c r="L94" s="259"/>
      <c r="M94" s="333"/>
      <c r="N94" s="259"/>
      <c r="O94" s="333"/>
      <c r="P94" s="259"/>
      <c r="Q94" s="333"/>
      <c r="R94" s="259"/>
      <c r="S94" s="333"/>
    </row>
    <row r="95" spans="2:19" ht="16.149999999999999" customHeight="1" x14ac:dyDescent="0.45">
      <c r="B95" s="1067"/>
      <c r="C95" s="1382"/>
      <c r="D95" s="1461"/>
      <c r="E95" s="1464"/>
      <c r="F95" s="750" t="s">
        <v>811</v>
      </c>
      <c r="G95" s="712" t="s">
        <v>143</v>
      </c>
      <c r="H95" s="712" t="s">
        <v>217</v>
      </c>
      <c r="I95" s="712" t="s">
        <v>830</v>
      </c>
      <c r="L95" s="259"/>
      <c r="M95" s="333"/>
      <c r="N95" s="259"/>
      <c r="O95" s="333"/>
      <c r="P95" s="259"/>
      <c r="Q95" s="333"/>
      <c r="R95" s="259"/>
      <c r="S95" s="333"/>
    </row>
    <row r="96" spans="2:19" ht="16.149999999999999" customHeight="1" x14ac:dyDescent="0.45">
      <c r="B96" s="1067"/>
      <c r="C96" s="1382"/>
      <c r="D96" s="1461"/>
      <c r="E96" s="1464"/>
      <c r="F96" s="751" t="s">
        <v>831</v>
      </c>
      <c r="G96" s="83" t="s">
        <v>137</v>
      </c>
      <c r="H96" s="83" t="s">
        <v>217</v>
      </c>
      <c r="I96" s="83">
        <v>0.75</v>
      </c>
      <c r="L96" s="245"/>
      <c r="M96" s="247"/>
      <c r="N96" s="245"/>
      <c r="O96" s="247"/>
      <c r="P96" s="245"/>
      <c r="Q96" s="247"/>
      <c r="R96" s="245"/>
      <c r="S96" s="247"/>
    </row>
    <row r="97" spans="2:19" ht="16.149999999999999" customHeight="1" x14ac:dyDescent="0.45">
      <c r="B97" s="1067"/>
      <c r="C97" s="1382"/>
      <c r="D97" s="1461"/>
      <c r="E97" s="1465"/>
      <c r="F97" s="753" t="s">
        <v>831</v>
      </c>
      <c r="G97" s="389" t="s">
        <v>137</v>
      </c>
      <c r="H97" s="389" t="s">
        <v>345</v>
      </c>
      <c r="I97" s="389">
        <v>0.75</v>
      </c>
      <c r="L97" s="718"/>
      <c r="M97" s="720"/>
      <c r="N97" s="718"/>
      <c r="O97" s="720"/>
      <c r="P97" s="718"/>
      <c r="Q97" s="720"/>
      <c r="R97" s="718"/>
      <c r="S97" s="720"/>
    </row>
    <row r="98" spans="2:19" ht="16.149999999999999" customHeight="1" x14ac:dyDescent="0.45">
      <c r="B98" s="1067"/>
      <c r="C98" s="1382"/>
      <c r="D98" s="1461"/>
      <c r="E98" s="1464" t="s">
        <v>832</v>
      </c>
      <c r="F98" s="746" t="s">
        <v>819</v>
      </c>
      <c r="G98" s="57" t="s">
        <v>39</v>
      </c>
      <c r="H98" s="61" t="s">
        <v>217</v>
      </c>
      <c r="I98" s="61">
        <v>37</v>
      </c>
      <c r="L98" s="259"/>
      <c r="M98" s="260"/>
      <c r="N98" s="259"/>
      <c r="O98" s="260"/>
      <c r="P98" s="259"/>
      <c r="Q98" s="260"/>
      <c r="R98" s="259"/>
      <c r="S98" s="260"/>
    </row>
    <row r="99" spans="2:19" ht="16.149999999999999" customHeight="1" x14ac:dyDescent="0.45">
      <c r="B99" s="1067"/>
      <c r="C99" s="1382"/>
      <c r="D99" s="1461"/>
      <c r="E99" s="1464"/>
      <c r="F99" s="747" t="s">
        <v>820</v>
      </c>
      <c r="G99" s="712" t="s">
        <v>137</v>
      </c>
      <c r="H99" s="712" t="s">
        <v>217</v>
      </c>
      <c r="I99" s="712">
        <v>0.77</v>
      </c>
      <c r="L99" s="259"/>
      <c r="M99" s="260"/>
      <c r="N99" s="259"/>
      <c r="O99" s="260"/>
      <c r="P99" s="259"/>
      <c r="Q99" s="260"/>
      <c r="R99" s="259"/>
      <c r="S99" s="260"/>
    </row>
    <row r="100" spans="2:19" ht="16.149999999999999" customHeight="1" x14ac:dyDescent="0.45">
      <c r="B100" s="1067"/>
      <c r="C100" s="1382"/>
      <c r="D100" s="1461"/>
      <c r="E100" s="1464"/>
      <c r="F100" s="746" t="s">
        <v>353</v>
      </c>
      <c r="G100" s="83" t="s">
        <v>27</v>
      </c>
      <c r="H100" s="83" t="s">
        <v>217</v>
      </c>
      <c r="I100" s="83">
        <v>383</v>
      </c>
      <c r="L100" s="259"/>
      <c r="M100" s="260"/>
      <c r="N100" s="259"/>
      <c r="O100" s="260"/>
      <c r="P100" s="259"/>
      <c r="Q100" s="260"/>
      <c r="R100" s="259"/>
      <c r="S100" s="260"/>
    </row>
    <row r="101" spans="2:19" ht="16.149999999999999" customHeight="1" x14ac:dyDescent="0.45">
      <c r="B101" s="1067"/>
      <c r="C101" s="1382"/>
      <c r="D101" s="1461"/>
      <c r="E101" s="1464"/>
      <c r="F101" s="750" t="s">
        <v>811</v>
      </c>
      <c r="G101" s="712" t="s">
        <v>143</v>
      </c>
      <c r="H101" s="712" t="s">
        <v>217</v>
      </c>
      <c r="I101" s="712" t="s">
        <v>836</v>
      </c>
      <c r="L101" s="259"/>
      <c r="M101" s="260"/>
      <c r="N101" s="259"/>
      <c r="O101" s="260"/>
      <c r="P101" s="259"/>
      <c r="Q101" s="260"/>
      <c r="R101" s="259"/>
      <c r="S101" s="260"/>
    </row>
    <row r="102" spans="2:19" ht="16.149999999999999" customHeight="1" x14ac:dyDescent="0.45">
      <c r="B102" s="1067"/>
      <c r="C102" s="1382"/>
      <c r="D102" s="1461"/>
      <c r="E102" s="1464"/>
      <c r="F102" s="751" t="s">
        <v>837</v>
      </c>
      <c r="G102" s="83" t="s">
        <v>137</v>
      </c>
      <c r="H102" s="83" t="s">
        <v>217</v>
      </c>
      <c r="I102" s="83">
        <v>0.75</v>
      </c>
      <c r="L102" s="660"/>
      <c r="M102" s="246"/>
      <c r="N102" s="660"/>
      <c r="O102" s="246"/>
      <c r="P102" s="660"/>
      <c r="Q102" s="246"/>
      <c r="R102" s="660"/>
      <c r="S102" s="246"/>
    </row>
    <row r="103" spans="2:19" ht="16.149999999999999" customHeight="1" x14ac:dyDescent="0.45">
      <c r="B103" s="1067"/>
      <c r="C103" s="1382"/>
      <c r="D103" s="1462"/>
      <c r="E103" s="1465"/>
      <c r="F103" s="754" t="s">
        <v>837</v>
      </c>
      <c r="G103" s="399" t="s">
        <v>137</v>
      </c>
      <c r="H103" s="399" t="s">
        <v>345</v>
      </c>
      <c r="I103" s="399">
        <v>0.75</v>
      </c>
      <c r="L103" s="661"/>
      <c r="M103" s="402"/>
      <c r="N103" s="661"/>
      <c r="O103" s="402"/>
      <c r="P103" s="661"/>
      <c r="Q103" s="402"/>
      <c r="R103" s="661"/>
      <c r="S103" s="402"/>
    </row>
    <row r="104" spans="2:19" ht="16.149999999999999" customHeight="1" x14ac:dyDescent="0.45">
      <c r="B104" s="1453" t="s">
        <v>127</v>
      </c>
      <c r="C104" s="1454"/>
      <c r="D104" s="1421" t="s">
        <v>838</v>
      </c>
      <c r="E104" s="1422"/>
      <c r="F104" s="755" t="s">
        <v>523</v>
      </c>
      <c r="G104" s="403" t="s">
        <v>21</v>
      </c>
      <c r="H104" s="403" t="s">
        <v>21</v>
      </c>
      <c r="I104" s="403" t="s">
        <v>59</v>
      </c>
      <c r="L104" s="397"/>
      <c r="M104" s="398"/>
      <c r="N104" s="397"/>
      <c r="O104" s="398"/>
      <c r="P104" s="397"/>
      <c r="Q104" s="398"/>
      <c r="R104" s="397"/>
      <c r="S104" s="398"/>
    </row>
    <row r="105" spans="2:19" ht="16.149999999999999" customHeight="1" x14ac:dyDescent="0.45">
      <c r="B105" s="1414"/>
      <c r="C105" s="1415"/>
      <c r="D105" s="1423"/>
      <c r="E105" s="1424"/>
      <c r="F105" s="751" t="s">
        <v>617</v>
      </c>
      <c r="G105" s="83" t="s">
        <v>137</v>
      </c>
      <c r="H105" s="83" t="s">
        <v>345</v>
      </c>
      <c r="I105" s="83">
        <v>0</v>
      </c>
      <c r="L105" s="245"/>
      <c r="M105" s="246"/>
      <c r="N105" s="245"/>
      <c r="O105" s="246"/>
      <c r="P105" s="245"/>
      <c r="Q105" s="246"/>
      <c r="R105" s="245"/>
      <c r="S105" s="246"/>
    </row>
    <row r="106" spans="2:19" ht="16.149999999999999" customHeight="1" x14ac:dyDescent="0.45">
      <c r="B106" s="1414"/>
      <c r="C106" s="1415"/>
      <c r="D106" s="1425"/>
      <c r="E106" s="1426"/>
      <c r="F106" s="756" t="s">
        <v>577</v>
      </c>
      <c r="G106" s="56" t="s">
        <v>578</v>
      </c>
      <c r="H106" s="56" t="s">
        <v>73</v>
      </c>
      <c r="I106" s="56">
        <v>159</v>
      </c>
      <c r="L106" s="496"/>
      <c r="M106" s="261"/>
      <c r="N106" s="496"/>
      <c r="O106" s="261"/>
      <c r="P106" s="496"/>
      <c r="Q106" s="261"/>
      <c r="R106" s="496"/>
      <c r="S106" s="261"/>
    </row>
    <row r="107" spans="2:19" ht="16.149999999999999" customHeight="1" x14ac:dyDescent="0.45">
      <c r="B107" s="1414"/>
      <c r="C107" s="1415"/>
      <c r="D107" s="1425"/>
      <c r="E107" s="1426"/>
      <c r="F107" s="756" t="s">
        <v>588</v>
      </c>
      <c r="G107" s="56" t="s">
        <v>578</v>
      </c>
      <c r="H107" s="56" t="s">
        <v>73</v>
      </c>
      <c r="I107" s="56">
        <v>160</v>
      </c>
      <c r="L107" s="496"/>
      <c r="M107" s="261"/>
      <c r="N107" s="496"/>
      <c r="O107" s="261"/>
      <c r="P107" s="496"/>
      <c r="Q107" s="261"/>
      <c r="R107" s="496"/>
      <c r="S107" s="261"/>
    </row>
    <row r="108" spans="2:19" ht="16.149999999999999" customHeight="1" x14ac:dyDescent="0.45">
      <c r="B108" s="1416"/>
      <c r="C108" s="1417"/>
      <c r="D108" s="1427"/>
      <c r="E108" s="1428"/>
      <c r="F108" s="754" t="s">
        <v>595</v>
      </c>
      <c r="G108" s="399" t="s">
        <v>115</v>
      </c>
      <c r="H108" s="399" t="s">
        <v>73</v>
      </c>
      <c r="I108" s="399">
        <v>751.5</v>
      </c>
      <c r="L108" s="401"/>
      <c r="M108" s="402"/>
      <c r="N108" s="401"/>
      <c r="O108" s="402"/>
      <c r="P108" s="401"/>
      <c r="Q108" s="402"/>
      <c r="R108" s="401"/>
      <c r="S108" s="402"/>
    </row>
    <row r="110" spans="2:19" ht="16.149999999999999" customHeight="1" x14ac:dyDescent="0.45">
      <c r="L110" s="1449"/>
      <c r="M110" s="1450"/>
      <c r="N110" s="1449"/>
      <c r="O110" s="1450"/>
      <c r="P110" s="1449"/>
      <c r="Q110" s="1450"/>
      <c r="R110" s="1449"/>
      <c r="S110" s="1450"/>
    </row>
    <row r="111" spans="2:19" ht="16.149999999999999" customHeight="1" x14ac:dyDescent="0.45">
      <c r="L111" s="1451"/>
      <c r="M111" s="1452"/>
      <c r="N111" s="1451"/>
      <c r="O111" s="1452"/>
      <c r="P111" s="1451"/>
      <c r="Q111" s="1452"/>
      <c r="R111" s="1451"/>
      <c r="S111" s="1452"/>
    </row>
    <row r="112" spans="2:19" ht="16.149999999999999" customHeight="1" x14ac:dyDescent="0.45">
      <c r="L112" s="505"/>
      <c r="M112" s="505"/>
      <c r="N112" s="505"/>
      <c r="O112" s="505"/>
      <c r="P112" s="505"/>
      <c r="Q112" s="505"/>
      <c r="R112" s="505"/>
      <c r="S112" s="505"/>
    </row>
  </sheetData>
  <mergeCells count="40">
    <mergeCell ref="B23:C45"/>
    <mergeCell ref="B46:C60"/>
    <mergeCell ref="B1:I1"/>
    <mergeCell ref="B2:I2"/>
    <mergeCell ref="B3:D3"/>
    <mergeCell ref="E3:I3"/>
    <mergeCell ref="B5:C7"/>
    <mergeCell ref="D5:E7"/>
    <mergeCell ref="F5:F7"/>
    <mergeCell ref="G5:G7"/>
    <mergeCell ref="H5:H7"/>
    <mergeCell ref="I5:I7"/>
    <mergeCell ref="B8:C22"/>
    <mergeCell ref="D8:E22"/>
    <mergeCell ref="D23:D45"/>
    <mergeCell ref="E23:E33"/>
    <mergeCell ref="J79:K80"/>
    <mergeCell ref="B61:C103"/>
    <mergeCell ref="D61:D82"/>
    <mergeCell ref="E61:E66"/>
    <mergeCell ref="E67:E74"/>
    <mergeCell ref="E75:E82"/>
    <mergeCell ref="D83:D103"/>
    <mergeCell ref="E83:E85"/>
    <mergeCell ref="E86:E91"/>
    <mergeCell ref="E92:E97"/>
    <mergeCell ref="E98:E103"/>
    <mergeCell ref="E34:E44"/>
    <mergeCell ref="D46:E60"/>
    <mergeCell ref="P5:Q5"/>
    <mergeCell ref="R5:S5"/>
    <mergeCell ref="J5:K5"/>
    <mergeCell ref="L5:M5"/>
    <mergeCell ref="N5:O5"/>
    <mergeCell ref="R110:S111"/>
    <mergeCell ref="B104:C108"/>
    <mergeCell ref="D104:E108"/>
    <mergeCell ref="L110:M111"/>
    <mergeCell ref="N110:O111"/>
    <mergeCell ref="P110:Q111"/>
  </mergeCells>
  <phoneticPr fontId="23" type="noConversion"/>
  <conditionalFormatting sqref="L8:S108">
    <cfRule type="containsText" dxfId="3" priority="1" operator="containsText" text="NOK">
      <formula>NOT(ISERROR(SEARCH("NOK",L8)))</formula>
    </cfRule>
  </conditionalFormatting>
  <dataValidations count="2">
    <dataValidation type="list" allowBlank="1" showInputMessage="1" showErrorMessage="1" sqref="J81:K81 L112:S112" xr:uid="{325252AB-331B-4334-B86B-AE6365FA31BA}">
      <formula1>"C.C, F.M, G.P, I.A, K.T, L.M, L.CH, M.P, M.M"</formula1>
    </dataValidation>
    <dataValidation type="list" allowBlank="1" showInputMessage="1" showErrorMessage="1" sqref="L18:S18 L13:S13 L8:S8" xr:uid="{DB94E6B3-F252-45DF-BE94-EC6553D1CC9B}">
      <formula1>"OK, NOK"</formula1>
    </dataValidation>
  </dataValidations>
  <pageMargins left="0.25" right="0.25" top="0.75" bottom="0.75" header="0.3" footer="0.3"/>
  <pageSetup paperSize="9" scale="40" fitToHeight="0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23D8-6568-40D9-9E86-8B280780CD11}">
  <sheetPr codeName="Hoja9">
    <pageSetUpPr fitToPage="1"/>
  </sheetPr>
  <dimension ref="B2:Z83"/>
  <sheetViews>
    <sheetView showGridLines="0" view="pageBreakPreview" topLeftCell="A2" zoomScale="60" zoomScaleNormal="55" workbookViewId="0">
      <pane xSplit="9" ySplit="7" topLeftCell="J73" activePane="bottomRight" state="frozen"/>
      <selection pane="topRight" activeCell="F61" sqref="F61"/>
      <selection pane="bottomLeft" activeCell="F61" sqref="F61"/>
      <selection pane="bottomRight" activeCell="F61" sqref="F61"/>
    </sheetView>
  </sheetViews>
  <sheetFormatPr baseColWidth="10" defaultColWidth="10.625" defaultRowHeight="16.149999999999999" customHeight="1" x14ac:dyDescent="0.5"/>
  <cols>
    <col min="1" max="1" width="1" customWidth="1"/>
    <col min="2" max="2" width="2.625" style="3" customWidth="1"/>
    <col min="3" max="3" width="3.625" style="3" customWidth="1"/>
    <col min="4" max="4" width="11.5" style="4" customWidth="1"/>
    <col min="5" max="5" width="13.125" style="4" customWidth="1"/>
    <col min="6" max="6" width="34" style="1" customWidth="1"/>
    <col min="7" max="7" width="7" style="1" bestFit="1" customWidth="1"/>
    <col min="8" max="8" width="8.875" style="2" customWidth="1"/>
    <col min="9" max="9" width="11.5" style="2" bestFit="1" customWidth="1"/>
    <col min="10" max="10" width="11.5" style="2" customWidth="1"/>
    <col min="11" max="12" width="10.625" style="10"/>
    <col min="13" max="18" width="10.625" style="119"/>
  </cols>
  <sheetData>
    <row r="2" spans="2:26" ht="52.5" customHeight="1" x14ac:dyDescent="0.5">
      <c r="B2" s="1039" t="s">
        <v>0</v>
      </c>
      <c r="C2" s="1288"/>
      <c r="D2" s="1288"/>
      <c r="E2" s="1288"/>
      <c r="F2" s="1288"/>
      <c r="G2" s="1288"/>
      <c r="H2" s="1288"/>
      <c r="I2" s="1288"/>
      <c r="J2" s="527"/>
    </row>
    <row r="3" spans="2:26" ht="33.75" customHeight="1" x14ac:dyDescent="0.5">
      <c r="B3" s="1040" t="s">
        <v>1</v>
      </c>
      <c r="C3" s="1041"/>
      <c r="D3" s="1041"/>
      <c r="E3" s="1041"/>
      <c r="F3" s="1041"/>
      <c r="G3" s="1041"/>
      <c r="H3" s="1041"/>
      <c r="I3" s="1041"/>
      <c r="J3" s="528"/>
    </row>
    <row r="4" spans="2:26" ht="39.75" customHeight="1" x14ac:dyDescent="0.5">
      <c r="B4" s="1290" t="s">
        <v>124</v>
      </c>
      <c r="C4" s="1291"/>
      <c r="D4" s="1292"/>
      <c r="E4" s="1248" t="s">
        <v>254</v>
      </c>
      <c r="F4" s="1248"/>
      <c r="G4" s="1248"/>
      <c r="H4" s="1289" t="s">
        <v>4</v>
      </c>
      <c r="I4" s="1289"/>
      <c r="J4" s="529"/>
    </row>
    <row r="5" spans="2:26" ht="3" customHeight="1" x14ac:dyDescent="0.5">
      <c r="B5" s="1239"/>
      <c r="C5" s="1239"/>
      <c r="D5" s="1239"/>
      <c r="E5" s="1239"/>
      <c r="F5" s="1293"/>
      <c r="G5" s="1239"/>
      <c r="H5" s="1239"/>
      <c r="I5" s="1239"/>
      <c r="J5" s="31"/>
    </row>
    <row r="6" spans="2:26" ht="14.25" customHeight="1" x14ac:dyDescent="0.5">
      <c r="B6" s="1168" t="s">
        <v>126</v>
      </c>
      <c r="C6" s="1169"/>
      <c r="D6" s="1168" t="s">
        <v>5</v>
      </c>
      <c r="E6" s="1298"/>
      <c r="F6" s="1301" t="s">
        <v>6</v>
      </c>
      <c r="G6" s="1301" t="s">
        <v>7</v>
      </c>
      <c r="H6" s="1301" t="s">
        <v>8</v>
      </c>
      <c r="I6" s="1304" t="s">
        <v>9</v>
      </c>
      <c r="J6" s="561"/>
      <c r="K6" s="662">
        <v>46138</v>
      </c>
      <c r="L6" s="663">
        <f>K6+1</f>
        <v>46139</v>
      </c>
      <c r="M6" s="663">
        <f>L6+1</f>
        <v>46140</v>
      </c>
      <c r="N6" s="663">
        <f>M6+1</f>
        <v>46141</v>
      </c>
      <c r="O6"/>
      <c r="P6"/>
      <c r="Q6"/>
      <c r="R6"/>
    </row>
    <row r="7" spans="2:26" ht="14.25" customHeight="1" x14ac:dyDescent="0.5">
      <c r="B7" s="1294"/>
      <c r="C7" s="1295"/>
      <c r="D7" s="1294"/>
      <c r="E7" s="1299"/>
      <c r="F7" s="1302"/>
      <c r="G7" s="1302"/>
      <c r="H7" s="1302"/>
      <c r="I7" s="1305"/>
      <c r="J7" s="562"/>
      <c r="K7" s="1471"/>
      <c r="L7" s="1473"/>
      <c r="M7" s="1475"/>
      <c r="N7" s="1477"/>
      <c r="O7"/>
      <c r="P7"/>
      <c r="Q7"/>
      <c r="R7"/>
    </row>
    <row r="8" spans="2:26" s="120" customFormat="1" ht="14.25" customHeight="1" x14ac:dyDescent="0.5">
      <c r="B8" s="1296"/>
      <c r="C8" s="1297"/>
      <c r="D8" s="1296"/>
      <c r="E8" s="1300"/>
      <c r="F8" s="1303"/>
      <c r="G8" s="1303"/>
      <c r="H8" s="1303"/>
      <c r="I8" s="1306"/>
      <c r="J8" s="563"/>
      <c r="K8" s="1472"/>
      <c r="L8" s="1474"/>
      <c r="M8" s="1476"/>
      <c r="N8" s="1478"/>
      <c r="O8"/>
      <c r="P8"/>
      <c r="Q8"/>
      <c r="R8"/>
      <c r="S8"/>
      <c r="T8"/>
      <c r="U8"/>
      <c r="V8"/>
      <c r="W8"/>
      <c r="X8"/>
      <c r="Y8"/>
      <c r="Z8"/>
    </row>
    <row r="9" spans="2:26" ht="15.75" customHeight="1" x14ac:dyDescent="0.5">
      <c r="B9" s="1307" t="s">
        <v>255</v>
      </c>
      <c r="C9" s="1308"/>
      <c r="D9" s="1468" t="s">
        <v>256</v>
      </c>
      <c r="E9" s="1318" t="s">
        <v>257</v>
      </c>
      <c r="F9" s="183" t="s">
        <v>258</v>
      </c>
      <c r="G9" s="133"/>
      <c r="H9" s="133"/>
      <c r="I9" s="236"/>
      <c r="J9" s="555">
        <v>10</v>
      </c>
      <c r="K9" s="556"/>
      <c r="L9" s="782"/>
      <c r="M9" s="554"/>
      <c r="N9" s="783"/>
      <c r="O9"/>
      <c r="P9"/>
      <c r="Q9"/>
      <c r="R9"/>
    </row>
    <row r="10" spans="2:26" s="471" customFormat="1" ht="15" customHeight="1" x14ac:dyDescent="0.5">
      <c r="B10" s="1309"/>
      <c r="C10" s="1310"/>
      <c r="D10" s="1469"/>
      <c r="E10" s="1316"/>
      <c r="F10" s="142" t="s">
        <v>259</v>
      </c>
      <c r="G10" s="137" t="s">
        <v>260</v>
      </c>
      <c r="H10" s="137"/>
      <c r="I10" s="536"/>
      <c r="J10" s="556">
        <v>0.3</v>
      </c>
      <c r="K10" s="580"/>
      <c r="L10" s="784"/>
      <c r="M10" s="577"/>
      <c r="N10" s="785"/>
      <c r="O10"/>
      <c r="P10"/>
      <c r="Q10"/>
      <c r="R10"/>
      <c r="S10"/>
      <c r="T10"/>
      <c r="U10"/>
      <c r="V10"/>
      <c r="W10"/>
      <c r="X10"/>
      <c r="Y10"/>
      <c r="Z10"/>
    </row>
    <row r="11" spans="2:26" ht="15" customHeight="1" x14ac:dyDescent="0.5">
      <c r="B11" s="1309"/>
      <c r="C11" s="1310"/>
      <c r="D11" s="1469"/>
      <c r="E11" s="1316"/>
      <c r="F11" s="143" t="s">
        <v>261</v>
      </c>
      <c r="G11" s="136"/>
      <c r="H11" s="136"/>
      <c r="I11" s="537"/>
      <c r="J11" s="556">
        <v>10</v>
      </c>
      <c r="K11" s="580"/>
      <c r="L11" s="784"/>
      <c r="M11" s="577"/>
      <c r="N11" s="785"/>
      <c r="O11"/>
      <c r="P11"/>
      <c r="Q11"/>
      <c r="R11"/>
    </row>
    <row r="12" spans="2:26" ht="15" customHeight="1" x14ac:dyDescent="0.5">
      <c r="B12" s="1309"/>
      <c r="C12" s="1310"/>
      <c r="D12" s="1469"/>
      <c r="E12" s="1316"/>
      <c r="F12" s="142" t="s">
        <v>259</v>
      </c>
      <c r="G12" s="137" t="s">
        <v>260</v>
      </c>
      <c r="H12" s="137"/>
      <c r="I12" s="536"/>
      <c r="J12" s="556">
        <v>0.3</v>
      </c>
      <c r="K12" s="580"/>
      <c r="L12" s="784"/>
      <c r="M12" s="577"/>
      <c r="N12" s="785"/>
      <c r="O12"/>
      <c r="P12"/>
      <c r="Q12"/>
      <c r="R12"/>
    </row>
    <row r="13" spans="2:26" ht="15" customHeight="1" x14ac:dyDescent="0.5">
      <c r="B13" s="1309"/>
      <c r="C13" s="1310"/>
      <c r="D13" s="1469"/>
      <c r="E13" s="1316"/>
      <c r="F13" s="143" t="s">
        <v>262</v>
      </c>
      <c r="G13" s="136"/>
      <c r="H13" s="136"/>
      <c r="I13" s="537"/>
      <c r="J13" s="556">
        <v>10</v>
      </c>
      <c r="K13" s="580"/>
      <c r="L13" s="784"/>
      <c r="M13" s="577"/>
      <c r="N13" s="785"/>
      <c r="O13"/>
      <c r="P13"/>
      <c r="Q13"/>
      <c r="R13"/>
    </row>
    <row r="14" spans="2:26" ht="15" customHeight="1" thickBot="1" x14ac:dyDescent="0.55000000000000004">
      <c r="B14" s="1309"/>
      <c r="C14" s="1310"/>
      <c r="D14" s="1469"/>
      <c r="E14" s="1317"/>
      <c r="F14" s="474" t="s">
        <v>259</v>
      </c>
      <c r="G14" s="159" t="s">
        <v>260</v>
      </c>
      <c r="H14" s="159"/>
      <c r="I14" s="538"/>
      <c r="J14" s="557">
        <v>0.3</v>
      </c>
      <c r="K14" s="581"/>
      <c r="L14" s="786"/>
      <c r="M14" s="578"/>
      <c r="N14" s="787"/>
      <c r="O14"/>
      <c r="P14"/>
      <c r="Q14"/>
      <c r="R14"/>
    </row>
    <row r="15" spans="2:26" ht="15" customHeight="1" x14ac:dyDescent="0.5">
      <c r="B15" s="1309"/>
      <c r="C15" s="1310"/>
      <c r="D15" s="1469"/>
      <c r="E15" s="1316" t="s">
        <v>263</v>
      </c>
      <c r="F15" s="183" t="s">
        <v>258</v>
      </c>
      <c r="G15" s="133"/>
      <c r="H15" s="133"/>
      <c r="I15" s="236"/>
      <c r="J15" s="555">
        <v>10</v>
      </c>
      <c r="K15" s="555"/>
      <c r="L15" s="788"/>
      <c r="M15" s="553"/>
      <c r="N15" s="789"/>
      <c r="O15"/>
      <c r="P15"/>
      <c r="Q15"/>
      <c r="R15"/>
    </row>
    <row r="16" spans="2:26" ht="15" customHeight="1" thickBot="1" x14ac:dyDescent="0.55000000000000004">
      <c r="B16" s="1309"/>
      <c r="C16" s="1310"/>
      <c r="D16" s="1469"/>
      <c r="E16" s="1316"/>
      <c r="F16" s="470" t="s">
        <v>259</v>
      </c>
      <c r="G16" s="472" t="s">
        <v>260</v>
      </c>
      <c r="H16" s="472"/>
      <c r="I16" s="539"/>
      <c r="J16" s="556">
        <v>0.3</v>
      </c>
      <c r="K16" s="580"/>
      <c r="L16" s="784"/>
      <c r="M16" s="577"/>
      <c r="N16" s="785"/>
      <c r="O16"/>
      <c r="P16"/>
      <c r="Q16"/>
      <c r="R16"/>
    </row>
    <row r="17" spans="2:18" ht="15" customHeight="1" x14ac:dyDescent="0.5">
      <c r="B17" s="1309"/>
      <c r="C17" s="1310"/>
      <c r="D17" s="1469"/>
      <c r="E17" s="1316"/>
      <c r="F17" s="183" t="s">
        <v>261</v>
      </c>
      <c r="G17" s="133"/>
      <c r="H17" s="136"/>
      <c r="I17" s="537"/>
      <c r="J17" s="556">
        <v>10</v>
      </c>
      <c r="K17" s="580"/>
      <c r="L17" s="784"/>
      <c r="M17" s="577"/>
      <c r="N17" s="785"/>
      <c r="O17"/>
      <c r="P17"/>
      <c r="Q17"/>
      <c r="R17"/>
    </row>
    <row r="18" spans="2:18" ht="15" customHeight="1" x14ac:dyDescent="0.5">
      <c r="B18" s="1309"/>
      <c r="C18" s="1310"/>
      <c r="D18" s="1469"/>
      <c r="E18" s="1316"/>
      <c r="F18" s="470" t="s">
        <v>259</v>
      </c>
      <c r="G18" s="472" t="s">
        <v>260</v>
      </c>
      <c r="H18" s="137"/>
      <c r="I18" s="536"/>
      <c r="J18" s="556">
        <v>0.3</v>
      </c>
      <c r="K18" s="580"/>
      <c r="L18" s="784"/>
      <c r="M18" s="577"/>
      <c r="N18" s="785"/>
      <c r="O18"/>
      <c r="P18"/>
      <c r="Q18"/>
      <c r="R18"/>
    </row>
    <row r="19" spans="2:18" ht="15" customHeight="1" x14ac:dyDescent="0.5">
      <c r="B19" s="1309"/>
      <c r="C19" s="1310"/>
      <c r="D19" s="1469"/>
      <c r="E19" s="1316"/>
      <c r="F19" s="143" t="s">
        <v>262</v>
      </c>
      <c r="G19" s="136"/>
      <c r="H19" s="136"/>
      <c r="I19" s="537"/>
      <c r="J19" s="556">
        <v>10</v>
      </c>
      <c r="K19" s="580"/>
      <c r="L19" s="784"/>
      <c r="M19" s="577"/>
      <c r="N19" s="785"/>
      <c r="O19"/>
      <c r="P19"/>
      <c r="Q19"/>
      <c r="R19"/>
    </row>
    <row r="20" spans="2:18" ht="15" customHeight="1" x14ac:dyDescent="0.5">
      <c r="B20" s="1309"/>
      <c r="C20" s="1310"/>
      <c r="D20" s="1469"/>
      <c r="E20" s="1316"/>
      <c r="F20" s="142" t="s">
        <v>259</v>
      </c>
      <c r="G20" s="137" t="s">
        <v>260</v>
      </c>
      <c r="H20" s="137"/>
      <c r="I20" s="536"/>
      <c r="J20" s="556">
        <v>0.3</v>
      </c>
      <c r="K20" s="580"/>
      <c r="L20" s="784"/>
      <c r="M20" s="577"/>
      <c r="N20" s="785"/>
      <c r="O20"/>
      <c r="P20"/>
      <c r="Q20"/>
      <c r="R20"/>
    </row>
    <row r="21" spans="2:18" ht="14.25" customHeight="1" x14ac:dyDescent="0.5">
      <c r="B21" s="1309"/>
      <c r="C21" s="1310"/>
      <c r="D21" s="1469"/>
      <c r="E21" s="1316"/>
      <c r="F21" s="143" t="s">
        <v>264</v>
      </c>
      <c r="G21" s="136"/>
      <c r="H21" s="136"/>
      <c r="I21" s="537" t="s">
        <v>265</v>
      </c>
      <c r="J21" s="556" t="s">
        <v>853</v>
      </c>
      <c r="K21" s="580"/>
      <c r="L21" s="784"/>
      <c r="M21" s="577"/>
      <c r="N21" s="785"/>
      <c r="O21"/>
      <c r="P21"/>
      <c r="Q21"/>
      <c r="R21"/>
    </row>
    <row r="22" spans="2:18" ht="14.25" customHeight="1" x14ac:dyDescent="0.5">
      <c r="B22" s="1309"/>
      <c r="C22" s="1310"/>
      <c r="D22" s="1469"/>
      <c r="E22" s="1316"/>
      <c r="F22" s="142" t="s">
        <v>267</v>
      </c>
      <c r="G22" s="137"/>
      <c r="H22" s="137"/>
      <c r="I22" s="536" t="s">
        <v>265</v>
      </c>
      <c r="J22" s="556" t="s">
        <v>853</v>
      </c>
      <c r="K22" s="580"/>
      <c r="L22" s="784"/>
      <c r="M22" s="577"/>
      <c r="N22" s="785"/>
      <c r="O22"/>
      <c r="P22"/>
      <c r="Q22"/>
      <c r="R22"/>
    </row>
    <row r="23" spans="2:18" ht="14.25" customHeight="1" x14ac:dyDescent="0.5">
      <c r="B23" s="1309"/>
      <c r="C23" s="1310"/>
      <c r="D23" s="1469"/>
      <c r="E23" s="1316"/>
      <c r="F23" s="143" t="s">
        <v>268</v>
      </c>
      <c r="G23" s="136"/>
      <c r="H23" s="136"/>
      <c r="I23" s="537" t="s">
        <v>265</v>
      </c>
      <c r="J23" s="556" t="s">
        <v>853</v>
      </c>
      <c r="K23" s="580"/>
      <c r="L23" s="784"/>
      <c r="M23" s="577"/>
      <c r="N23" s="785"/>
      <c r="O23"/>
      <c r="P23"/>
      <c r="Q23"/>
      <c r="R23"/>
    </row>
    <row r="24" spans="2:18" ht="21.75" customHeight="1" x14ac:dyDescent="0.5">
      <c r="B24" s="1309"/>
      <c r="C24" s="1310"/>
      <c r="D24" s="1469"/>
      <c r="E24" s="1316"/>
      <c r="F24" s="142" t="s">
        <v>269</v>
      </c>
      <c r="G24" s="137" t="s">
        <v>21</v>
      </c>
      <c r="H24" s="137"/>
      <c r="I24" s="536" t="s">
        <v>270</v>
      </c>
      <c r="J24" s="556" t="s">
        <v>151</v>
      </c>
      <c r="K24" s="580"/>
      <c r="L24" s="784"/>
      <c r="M24" s="577"/>
      <c r="N24" s="785"/>
      <c r="O24"/>
      <c r="P24"/>
      <c r="Q24"/>
      <c r="R24"/>
    </row>
    <row r="25" spans="2:18" ht="15" customHeight="1" x14ac:dyDescent="0.5">
      <c r="B25" s="1309"/>
      <c r="C25" s="1310"/>
      <c r="D25" s="1469"/>
      <c r="E25" s="1316"/>
      <c r="F25" s="143" t="s">
        <v>854</v>
      </c>
      <c r="G25" s="136" t="s">
        <v>137</v>
      </c>
      <c r="H25" s="136"/>
      <c r="I25" s="537"/>
      <c r="J25" s="556">
        <v>0.61</v>
      </c>
      <c r="K25" s="580"/>
      <c r="L25" s="784"/>
      <c r="M25" s="577"/>
      <c r="N25" s="785"/>
      <c r="O25"/>
      <c r="P25"/>
      <c r="Q25"/>
      <c r="R25"/>
    </row>
    <row r="26" spans="2:18" ht="15" customHeight="1" x14ac:dyDescent="0.5">
      <c r="B26" s="1309"/>
      <c r="C26" s="1310"/>
      <c r="D26" s="1469"/>
      <c r="E26" s="1316"/>
      <c r="F26" s="142" t="s">
        <v>273</v>
      </c>
      <c r="G26" s="137" t="s">
        <v>137</v>
      </c>
      <c r="H26" s="137"/>
      <c r="I26" s="536"/>
      <c r="J26" s="556">
        <v>0.61499999999999999</v>
      </c>
      <c r="K26" s="580"/>
      <c r="L26" s="784"/>
      <c r="M26" s="577"/>
      <c r="N26" s="785"/>
      <c r="O26"/>
      <c r="P26"/>
      <c r="Q26"/>
      <c r="R26"/>
    </row>
    <row r="27" spans="2:18" ht="15" customHeight="1" x14ac:dyDescent="0.5">
      <c r="B27" s="1309"/>
      <c r="C27" s="1310"/>
      <c r="D27" s="1469"/>
      <c r="E27" s="1316"/>
      <c r="F27" s="143" t="s">
        <v>274</v>
      </c>
      <c r="G27" s="136" t="s">
        <v>137</v>
      </c>
      <c r="H27" s="136"/>
      <c r="I27" s="537"/>
      <c r="J27" s="556">
        <v>0.6</v>
      </c>
      <c r="K27" s="580"/>
      <c r="L27" s="784"/>
      <c r="M27" s="577"/>
      <c r="N27" s="785"/>
      <c r="O27"/>
      <c r="P27"/>
      <c r="Q27"/>
      <c r="R27"/>
    </row>
    <row r="28" spans="2:18" ht="15" customHeight="1" x14ac:dyDescent="0.5">
      <c r="B28" s="1309"/>
      <c r="C28" s="1310"/>
      <c r="D28" s="1469"/>
      <c r="E28" s="1316"/>
      <c r="F28" s="142" t="s">
        <v>275</v>
      </c>
      <c r="G28" s="137" t="s">
        <v>21</v>
      </c>
      <c r="H28" s="137"/>
      <c r="I28" s="536" t="s">
        <v>276</v>
      </c>
      <c r="J28" s="556" t="s">
        <v>200</v>
      </c>
      <c r="K28" s="580"/>
      <c r="L28" s="784"/>
      <c r="M28" s="577"/>
      <c r="N28" s="785"/>
      <c r="O28"/>
      <c r="P28"/>
      <c r="Q28"/>
      <c r="R28"/>
    </row>
    <row r="29" spans="2:18" ht="15" customHeight="1" x14ac:dyDescent="0.5">
      <c r="B29" s="1309"/>
      <c r="C29" s="1310"/>
      <c r="D29" s="1469"/>
      <c r="E29" s="1316"/>
      <c r="F29" s="143" t="s">
        <v>277</v>
      </c>
      <c r="G29" s="136"/>
      <c r="H29" s="136"/>
      <c r="I29" s="537" t="s">
        <v>855</v>
      </c>
      <c r="J29" s="556">
        <v>536</v>
      </c>
      <c r="K29" s="580"/>
      <c r="L29" s="784"/>
      <c r="M29" s="577"/>
      <c r="N29" s="785"/>
      <c r="O29"/>
      <c r="P29"/>
      <c r="Q29"/>
      <c r="R29"/>
    </row>
    <row r="30" spans="2:18" ht="15" customHeight="1" x14ac:dyDescent="0.5">
      <c r="B30" s="1309"/>
      <c r="C30" s="1310"/>
      <c r="D30" s="1469"/>
      <c r="E30" s="1316"/>
      <c r="F30" s="143" t="s">
        <v>277</v>
      </c>
      <c r="G30" s="136"/>
      <c r="H30" s="136"/>
      <c r="I30" s="537" t="s">
        <v>279</v>
      </c>
      <c r="J30" s="556"/>
      <c r="K30" s="580"/>
      <c r="L30" s="784"/>
      <c r="M30" s="577"/>
      <c r="N30" s="785"/>
      <c r="O30"/>
      <c r="P30"/>
      <c r="Q30"/>
      <c r="R30"/>
    </row>
    <row r="31" spans="2:18" ht="14.25" customHeight="1" x14ac:dyDescent="0.5">
      <c r="B31" s="1309"/>
      <c r="C31" s="1310"/>
      <c r="D31" s="1469"/>
      <c r="E31" s="1316"/>
      <c r="F31" s="142" t="s">
        <v>280</v>
      </c>
      <c r="G31" s="137"/>
      <c r="H31" s="137"/>
      <c r="I31" s="536" t="s">
        <v>265</v>
      </c>
      <c r="J31" s="556" t="s">
        <v>853</v>
      </c>
      <c r="K31" s="580"/>
      <c r="L31" s="784"/>
      <c r="M31" s="577"/>
      <c r="N31" s="785"/>
      <c r="O31"/>
      <c r="P31"/>
      <c r="Q31"/>
      <c r="R31"/>
    </row>
    <row r="32" spans="2:18" ht="15" customHeight="1" x14ac:dyDescent="0.5">
      <c r="B32" s="1309"/>
      <c r="C32" s="1310"/>
      <c r="D32" s="1469"/>
      <c r="E32" s="1316"/>
      <c r="F32" s="143" t="s">
        <v>281</v>
      </c>
      <c r="G32" s="136"/>
      <c r="H32" s="136"/>
      <c r="I32" s="537" t="s">
        <v>265</v>
      </c>
      <c r="J32" s="556" t="s">
        <v>853</v>
      </c>
      <c r="K32" s="580"/>
      <c r="L32" s="784"/>
      <c r="M32" s="577"/>
      <c r="N32" s="785"/>
      <c r="O32"/>
      <c r="P32"/>
      <c r="Q32"/>
      <c r="R32"/>
    </row>
    <row r="33" spans="2:18" ht="15" customHeight="1" x14ac:dyDescent="0.5">
      <c r="B33" s="1309"/>
      <c r="C33" s="1310"/>
      <c r="D33" s="1469"/>
      <c r="E33" s="1316"/>
      <c r="F33" s="142" t="s">
        <v>282</v>
      </c>
      <c r="G33" s="137"/>
      <c r="H33" s="137"/>
      <c r="I33" s="536" t="s">
        <v>265</v>
      </c>
      <c r="J33" s="556" t="s">
        <v>853</v>
      </c>
      <c r="K33" s="580"/>
      <c r="L33" s="784"/>
      <c r="M33" s="577"/>
      <c r="N33" s="785"/>
      <c r="O33"/>
      <c r="P33"/>
      <c r="Q33"/>
      <c r="R33"/>
    </row>
    <row r="34" spans="2:18" ht="14.25" customHeight="1" x14ac:dyDescent="0.5">
      <c r="B34" s="1309"/>
      <c r="C34" s="1310"/>
      <c r="D34" s="1469"/>
      <c r="E34" s="1316"/>
      <c r="F34" s="143" t="s">
        <v>283</v>
      </c>
      <c r="G34" s="136" t="s">
        <v>39</v>
      </c>
      <c r="H34" s="136"/>
      <c r="I34" s="537"/>
      <c r="J34" s="556">
        <v>62</v>
      </c>
      <c r="K34" s="580"/>
      <c r="L34" s="784"/>
      <c r="M34" s="577"/>
      <c r="N34" s="785"/>
      <c r="O34"/>
      <c r="P34"/>
      <c r="Q34"/>
      <c r="R34"/>
    </row>
    <row r="35" spans="2:18" ht="15" customHeight="1" x14ac:dyDescent="0.5">
      <c r="B35" s="1309"/>
      <c r="C35" s="1310"/>
      <c r="D35" s="1469"/>
      <c r="E35" s="1316"/>
      <c r="F35" s="142" t="s">
        <v>284</v>
      </c>
      <c r="G35" s="137" t="s">
        <v>39</v>
      </c>
      <c r="H35" s="137"/>
      <c r="I35" s="536"/>
      <c r="J35" s="556">
        <v>76</v>
      </c>
      <c r="K35" s="580"/>
      <c r="L35" s="784"/>
      <c r="M35" s="577"/>
      <c r="N35" s="785"/>
      <c r="O35"/>
      <c r="P35"/>
      <c r="Q35"/>
      <c r="R35"/>
    </row>
    <row r="36" spans="2:18" ht="15" customHeight="1" x14ac:dyDescent="0.5">
      <c r="B36" s="1309"/>
      <c r="C36" s="1310"/>
      <c r="D36" s="1469"/>
      <c r="E36" s="1316"/>
      <c r="F36" s="143" t="s">
        <v>285</v>
      </c>
      <c r="G36" s="136" t="s">
        <v>21</v>
      </c>
      <c r="H36" s="136" t="s">
        <v>286</v>
      </c>
      <c r="I36" s="537" t="s">
        <v>276</v>
      </c>
      <c r="J36" s="556" t="s">
        <v>225</v>
      </c>
      <c r="K36" s="580"/>
      <c r="L36" s="784"/>
      <c r="M36" s="577"/>
      <c r="N36" s="785"/>
      <c r="O36"/>
      <c r="P36"/>
      <c r="Q36"/>
      <c r="R36"/>
    </row>
    <row r="37" spans="2:18" ht="15" customHeight="1" x14ac:dyDescent="0.5">
      <c r="B37" s="1309"/>
      <c r="C37" s="1310"/>
      <c r="D37" s="1469"/>
      <c r="E37" s="1316"/>
      <c r="F37" s="142" t="s">
        <v>287</v>
      </c>
      <c r="G37" s="137" t="s">
        <v>288</v>
      </c>
      <c r="H37" s="137"/>
      <c r="I37" s="536"/>
      <c r="J37" s="556">
        <v>6.4</v>
      </c>
      <c r="K37" s="580"/>
      <c r="L37" s="784"/>
      <c r="M37" s="577"/>
      <c r="N37" s="785"/>
      <c r="O37"/>
      <c r="P37"/>
      <c r="Q37"/>
      <c r="R37"/>
    </row>
    <row r="38" spans="2:18" ht="15" customHeight="1" thickBot="1" x14ac:dyDescent="0.55000000000000004">
      <c r="B38" s="1309"/>
      <c r="C38" s="1310"/>
      <c r="D38" s="1469"/>
      <c r="E38" s="1317"/>
      <c r="F38" s="143" t="s">
        <v>289</v>
      </c>
      <c r="G38" s="136"/>
      <c r="H38" s="136"/>
      <c r="I38" s="537" t="s">
        <v>174</v>
      </c>
      <c r="J38" s="558" t="s">
        <v>154</v>
      </c>
      <c r="K38" s="581"/>
      <c r="L38" s="786"/>
      <c r="M38" s="578"/>
      <c r="N38" s="787"/>
      <c r="O38"/>
      <c r="P38"/>
      <c r="Q38"/>
      <c r="R38"/>
    </row>
    <row r="39" spans="2:18" ht="15" customHeight="1" x14ac:dyDescent="0.5">
      <c r="B39" s="1309"/>
      <c r="C39" s="1310"/>
      <c r="D39" s="1469"/>
      <c r="E39" s="1318" t="s">
        <v>290</v>
      </c>
      <c r="F39" s="185" t="s">
        <v>291</v>
      </c>
      <c r="G39" s="132" t="s">
        <v>39</v>
      </c>
      <c r="H39" s="132"/>
      <c r="I39" s="540"/>
      <c r="J39" s="555">
        <v>32</v>
      </c>
      <c r="K39" s="555"/>
      <c r="L39" s="788"/>
      <c r="M39" s="553"/>
      <c r="N39" s="789"/>
      <c r="O39"/>
      <c r="P39"/>
      <c r="Q39"/>
      <c r="R39"/>
    </row>
    <row r="40" spans="2:18" ht="15" customHeight="1" x14ac:dyDescent="0.5">
      <c r="B40" s="1309"/>
      <c r="C40" s="1310"/>
      <c r="D40" s="1469"/>
      <c r="E40" s="1316"/>
      <c r="F40" s="143" t="s">
        <v>292</v>
      </c>
      <c r="G40" s="136" t="s">
        <v>21</v>
      </c>
      <c r="H40" s="136" t="s">
        <v>286</v>
      </c>
      <c r="I40" s="537" t="s">
        <v>276</v>
      </c>
      <c r="J40" s="556" t="s">
        <v>200</v>
      </c>
      <c r="K40" s="580"/>
      <c r="L40" s="784"/>
      <c r="M40" s="577"/>
      <c r="N40" s="785"/>
      <c r="O40"/>
      <c r="P40"/>
      <c r="Q40"/>
      <c r="R40"/>
    </row>
    <row r="41" spans="2:18" ht="15" customHeight="1" x14ac:dyDescent="0.5">
      <c r="B41" s="1309"/>
      <c r="C41" s="1310"/>
      <c r="D41" s="1469"/>
      <c r="E41" s="1316"/>
      <c r="F41" s="142" t="s">
        <v>293</v>
      </c>
      <c r="G41" s="137" t="s">
        <v>288</v>
      </c>
      <c r="H41" s="137"/>
      <c r="I41" s="536"/>
      <c r="J41" s="556">
        <v>3.6</v>
      </c>
      <c r="K41" s="580"/>
      <c r="L41" s="784"/>
      <c r="M41" s="577"/>
      <c r="N41" s="785"/>
      <c r="O41"/>
      <c r="P41"/>
      <c r="Q41"/>
      <c r="R41"/>
    </row>
    <row r="42" spans="2:18" ht="15" customHeight="1" x14ac:dyDescent="0.5">
      <c r="B42" s="1309"/>
      <c r="C42" s="1310"/>
      <c r="D42" s="1469"/>
      <c r="E42" s="1316"/>
      <c r="F42" s="143" t="s">
        <v>289</v>
      </c>
      <c r="G42" s="136"/>
      <c r="H42" s="136"/>
      <c r="I42" s="537" t="s">
        <v>174</v>
      </c>
      <c r="J42" s="556" t="s">
        <v>154</v>
      </c>
      <c r="K42" s="580"/>
      <c r="L42" s="784"/>
      <c r="M42" s="577"/>
      <c r="N42" s="785"/>
      <c r="O42"/>
      <c r="P42"/>
      <c r="Q42"/>
      <c r="R42"/>
    </row>
    <row r="43" spans="2:18" ht="15" customHeight="1" x14ac:dyDescent="0.5">
      <c r="B43" s="1309"/>
      <c r="C43" s="1310"/>
      <c r="D43" s="1469"/>
      <c r="E43" s="1316"/>
      <c r="F43" s="142" t="s">
        <v>294</v>
      </c>
      <c r="G43" s="137"/>
      <c r="H43" s="137"/>
      <c r="I43" s="536"/>
      <c r="J43" s="559">
        <v>26</v>
      </c>
      <c r="K43" s="582"/>
      <c r="L43" s="784"/>
      <c r="M43" s="579"/>
      <c r="N43" s="785"/>
      <c r="O43"/>
      <c r="P43"/>
      <c r="Q43"/>
      <c r="R43"/>
    </row>
    <row r="44" spans="2:18" ht="15" customHeight="1" thickBot="1" x14ac:dyDescent="0.55000000000000004">
      <c r="B44" s="1311"/>
      <c r="C44" s="1312"/>
      <c r="D44" s="1470"/>
      <c r="E44" s="1317"/>
      <c r="F44" s="184" t="s">
        <v>259</v>
      </c>
      <c r="G44" s="148" t="s">
        <v>260</v>
      </c>
      <c r="H44" s="148"/>
      <c r="I44" s="541"/>
      <c r="J44" s="557">
        <v>0.1</v>
      </c>
      <c r="K44" s="581"/>
      <c r="L44" s="786"/>
      <c r="M44" s="578"/>
      <c r="N44" s="787"/>
      <c r="O44"/>
      <c r="P44"/>
      <c r="Q44"/>
      <c r="R44"/>
    </row>
    <row r="45" spans="2:18" ht="17.25" customHeight="1" x14ac:dyDescent="0.5">
      <c r="B45" s="1307" t="s">
        <v>295</v>
      </c>
      <c r="C45" s="1308"/>
      <c r="D45" s="1282" t="s">
        <v>296</v>
      </c>
      <c r="E45" s="1319" t="s">
        <v>297</v>
      </c>
      <c r="F45" s="30" t="s">
        <v>298</v>
      </c>
      <c r="G45" s="27" t="s">
        <v>77</v>
      </c>
      <c r="H45" s="27"/>
      <c r="I45" s="542"/>
      <c r="J45" s="556">
        <v>0</v>
      </c>
      <c r="K45" s="555"/>
      <c r="L45" s="788"/>
      <c r="M45" s="553"/>
      <c r="N45" s="789"/>
      <c r="O45"/>
      <c r="P45"/>
      <c r="Q45"/>
      <c r="R45"/>
    </row>
    <row r="46" spans="2:18" ht="16.5" customHeight="1" thickBot="1" x14ac:dyDescent="0.55000000000000004">
      <c r="B46" s="1309"/>
      <c r="C46" s="1310"/>
      <c r="D46" s="1284"/>
      <c r="E46" s="1287"/>
      <c r="F46" s="20" t="s">
        <v>299</v>
      </c>
      <c r="G46" s="21"/>
      <c r="H46" s="21"/>
      <c r="I46" s="543" t="s">
        <v>174</v>
      </c>
      <c r="J46" s="557" t="s">
        <v>154</v>
      </c>
      <c r="K46" s="581"/>
      <c r="L46" s="786"/>
      <c r="M46" s="578"/>
      <c r="N46" s="787"/>
      <c r="O46"/>
      <c r="P46"/>
      <c r="Q46"/>
      <c r="R46"/>
    </row>
    <row r="47" spans="2:18" ht="17.25" customHeight="1" thickBot="1" x14ac:dyDescent="0.55000000000000004">
      <c r="B47" s="1309"/>
      <c r="C47" s="1310"/>
      <c r="D47" s="1282" t="s">
        <v>300</v>
      </c>
      <c r="E47" s="1285" t="s">
        <v>301</v>
      </c>
      <c r="F47" s="13" t="s">
        <v>302</v>
      </c>
      <c r="G47" s="11"/>
      <c r="H47" s="11"/>
      <c r="I47" s="544"/>
      <c r="J47" s="556">
        <v>73</v>
      </c>
      <c r="K47" s="555"/>
      <c r="L47" s="788"/>
      <c r="M47" s="553"/>
      <c r="N47" s="789"/>
      <c r="O47"/>
      <c r="P47"/>
      <c r="Q47"/>
      <c r="R47"/>
    </row>
    <row r="48" spans="2:18" ht="17.25" customHeight="1" x14ac:dyDescent="0.5">
      <c r="B48" s="1309"/>
      <c r="C48" s="1310"/>
      <c r="D48" s="1320"/>
      <c r="E48" s="1319"/>
      <c r="F48" s="13" t="s">
        <v>303</v>
      </c>
      <c r="G48" s="27"/>
      <c r="H48" s="27"/>
      <c r="I48" s="542"/>
      <c r="J48" s="556"/>
      <c r="K48" s="580"/>
      <c r="L48" s="784"/>
      <c r="M48" s="577"/>
      <c r="N48" s="785"/>
      <c r="O48"/>
      <c r="P48"/>
      <c r="Q48"/>
      <c r="R48"/>
    </row>
    <row r="49" spans="2:18" ht="20.25" x14ac:dyDescent="0.5">
      <c r="B49" s="1309"/>
      <c r="C49" s="1310"/>
      <c r="D49" s="1283"/>
      <c r="E49" s="1286"/>
      <c r="F49" s="18" t="s">
        <v>304</v>
      </c>
      <c r="G49" s="19"/>
      <c r="H49" s="19"/>
      <c r="I49" s="545" t="s">
        <v>305</v>
      </c>
      <c r="J49" s="556" t="s">
        <v>306</v>
      </c>
      <c r="K49" s="580"/>
      <c r="L49" s="784"/>
      <c r="M49" s="577"/>
      <c r="N49" s="785"/>
      <c r="O49"/>
      <c r="P49"/>
      <c r="Q49"/>
      <c r="R49"/>
    </row>
    <row r="50" spans="2:18" ht="17.25" customHeight="1" thickBot="1" x14ac:dyDescent="0.55000000000000004">
      <c r="B50" s="1309"/>
      <c r="C50" s="1310"/>
      <c r="D50" s="1284"/>
      <c r="E50" s="1287"/>
      <c r="F50" s="14" t="s">
        <v>307</v>
      </c>
      <c r="G50" s="12"/>
      <c r="H50" s="12"/>
      <c r="I50" s="546" t="s">
        <v>174</v>
      </c>
      <c r="J50" s="557" t="s">
        <v>154</v>
      </c>
      <c r="K50" s="581"/>
      <c r="L50" s="786"/>
      <c r="M50" s="578"/>
      <c r="N50" s="787"/>
      <c r="O50"/>
      <c r="P50"/>
      <c r="Q50"/>
      <c r="R50"/>
    </row>
    <row r="51" spans="2:18" ht="17.25" customHeight="1" x14ac:dyDescent="0.5">
      <c r="B51" s="1309"/>
      <c r="C51" s="1310"/>
      <c r="D51" s="1282" t="s">
        <v>257</v>
      </c>
      <c r="E51" s="1285" t="s">
        <v>308</v>
      </c>
      <c r="F51" s="13" t="s">
        <v>309</v>
      </c>
      <c r="G51" s="11"/>
      <c r="H51" s="11"/>
      <c r="I51" s="544"/>
      <c r="J51" s="556">
        <v>202</v>
      </c>
      <c r="K51" s="555"/>
      <c r="L51" s="788"/>
      <c r="M51" s="553"/>
      <c r="N51" s="789"/>
      <c r="O51"/>
      <c r="P51"/>
      <c r="Q51"/>
      <c r="R51"/>
    </row>
    <row r="52" spans="2:18" ht="21" customHeight="1" x14ac:dyDescent="0.5">
      <c r="B52" s="1309"/>
      <c r="C52" s="1310"/>
      <c r="D52" s="1283"/>
      <c r="E52" s="1286"/>
      <c r="F52" s="18" t="s">
        <v>310</v>
      </c>
      <c r="G52" s="19"/>
      <c r="H52" s="19"/>
      <c r="I52" s="545"/>
      <c r="J52" s="556">
        <v>195</v>
      </c>
      <c r="K52" s="580"/>
      <c r="L52" s="784"/>
      <c r="M52" s="577"/>
      <c r="N52" s="785"/>
      <c r="O52"/>
      <c r="P52"/>
      <c r="Q52"/>
      <c r="R52"/>
    </row>
    <row r="53" spans="2:18" ht="17.25" customHeight="1" thickBot="1" x14ac:dyDescent="0.55000000000000004">
      <c r="B53" s="1309"/>
      <c r="C53" s="1310"/>
      <c r="D53" s="1283"/>
      <c r="E53" s="1286"/>
      <c r="F53" s="7" t="s">
        <v>311</v>
      </c>
      <c r="G53" s="8"/>
      <c r="H53" s="8"/>
      <c r="I53" s="547"/>
      <c r="J53" s="556">
        <v>11</v>
      </c>
      <c r="K53" s="580"/>
      <c r="L53" s="784"/>
      <c r="M53" s="577"/>
      <c r="N53" s="785"/>
      <c r="O53"/>
      <c r="P53"/>
      <c r="Q53"/>
      <c r="R53"/>
    </row>
    <row r="54" spans="2:18" ht="17.25" customHeight="1" thickBot="1" x14ac:dyDescent="0.55000000000000004">
      <c r="B54" s="1309"/>
      <c r="C54" s="1310"/>
      <c r="D54" s="1283"/>
      <c r="E54" s="1286"/>
      <c r="F54" s="13" t="s">
        <v>312</v>
      </c>
      <c r="G54" s="8"/>
      <c r="H54" s="8"/>
      <c r="I54" s="547"/>
      <c r="J54" s="556"/>
      <c r="K54" s="580"/>
      <c r="L54" s="784"/>
      <c r="M54" s="577"/>
      <c r="N54" s="785"/>
      <c r="O54"/>
      <c r="P54"/>
      <c r="Q54"/>
      <c r="R54"/>
    </row>
    <row r="55" spans="2:18" ht="19.899999999999999" customHeight="1" thickBot="1" x14ac:dyDescent="0.55000000000000004">
      <c r="B55" s="1309"/>
      <c r="C55" s="1310"/>
      <c r="D55" s="1283"/>
      <c r="E55" s="1286"/>
      <c r="F55" s="13" t="s">
        <v>313</v>
      </c>
      <c r="G55" s="8"/>
      <c r="H55" s="8"/>
      <c r="I55" s="547"/>
      <c r="J55" s="556"/>
      <c r="K55" s="580"/>
      <c r="L55" s="784"/>
      <c r="M55" s="577"/>
      <c r="N55" s="785"/>
      <c r="O55"/>
      <c r="P55"/>
      <c r="Q55"/>
      <c r="R55"/>
    </row>
    <row r="56" spans="2:18" ht="17.25" customHeight="1" x14ac:dyDescent="0.5">
      <c r="B56" s="1309"/>
      <c r="C56" s="1310"/>
      <c r="D56" s="1283"/>
      <c r="E56" s="1286"/>
      <c r="F56" s="13" t="s">
        <v>314</v>
      </c>
      <c r="G56" s="8"/>
      <c r="H56" s="8"/>
      <c r="I56" s="547"/>
      <c r="J56" s="556"/>
      <c r="K56" s="580"/>
      <c r="L56" s="784"/>
      <c r="M56" s="577"/>
      <c r="N56" s="785"/>
      <c r="O56"/>
      <c r="P56"/>
      <c r="Q56"/>
      <c r="R56"/>
    </row>
    <row r="57" spans="2:18" ht="20.25" x14ac:dyDescent="0.5">
      <c r="B57" s="1309"/>
      <c r="C57" s="1310"/>
      <c r="D57" s="1283"/>
      <c r="E57" s="1286"/>
      <c r="F57" s="18" t="s">
        <v>304</v>
      </c>
      <c r="G57" s="19"/>
      <c r="H57" s="19"/>
      <c r="I57" s="545" t="s">
        <v>305</v>
      </c>
      <c r="J57" s="556" t="s">
        <v>306</v>
      </c>
      <c r="K57" s="580"/>
      <c r="L57" s="784"/>
      <c r="M57" s="577"/>
      <c r="N57" s="785"/>
      <c r="O57"/>
      <c r="P57"/>
      <c r="Q57"/>
      <c r="R57"/>
    </row>
    <row r="58" spans="2:18" ht="17.25" customHeight="1" thickBot="1" x14ac:dyDescent="0.55000000000000004">
      <c r="B58" s="1309"/>
      <c r="C58" s="1310"/>
      <c r="D58" s="1284"/>
      <c r="E58" s="1287"/>
      <c r="F58" s="14" t="s">
        <v>307</v>
      </c>
      <c r="G58" s="12"/>
      <c r="H58" s="12"/>
      <c r="I58" s="546" t="s">
        <v>174</v>
      </c>
      <c r="J58" s="557" t="s">
        <v>154</v>
      </c>
      <c r="K58" s="581"/>
      <c r="L58" s="786"/>
      <c r="M58" s="578"/>
      <c r="N58" s="787"/>
      <c r="O58"/>
      <c r="P58"/>
      <c r="Q58"/>
      <c r="R58"/>
    </row>
    <row r="59" spans="2:18" ht="17.25" customHeight="1" thickBot="1" x14ac:dyDescent="0.55000000000000004">
      <c r="B59" s="1309"/>
      <c r="C59" s="1310"/>
      <c r="D59" s="1282" t="s">
        <v>315</v>
      </c>
      <c r="E59" s="1285" t="s">
        <v>316</v>
      </c>
      <c r="F59" s="13" t="s">
        <v>302</v>
      </c>
      <c r="G59" s="11"/>
      <c r="H59" s="11"/>
      <c r="I59" s="544"/>
      <c r="J59" s="556">
        <v>88</v>
      </c>
      <c r="K59" s="555"/>
      <c r="L59" s="788"/>
      <c r="M59" s="553"/>
      <c r="N59" s="789"/>
      <c r="O59"/>
      <c r="P59"/>
      <c r="Q59"/>
      <c r="R59"/>
    </row>
    <row r="60" spans="2:18" ht="17.25" customHeight="1" x14ac:dyDescent="0.5">
      <c r="B60" s="1309"/>
      <c r="C60" s="1310"/>
      <c r="D60" s="1320"/>
      <c r="E60" s="1319"/>
      <c r="F60" s="13" t="s">
        <v>303</v>
      </c>
      <c r="G60" s="27"/>
      <c r="H60" s="27"/>
      <c r="I60" s="542"/>
      <c r="J60" s="556"/>
      <c r="K60" s="580"/>
      <c r="L60" s="784"/>
      <c r="M60" s="577"/>
      <c r="N60" s="785"/>
      <c r="O60"/>
      <c r="P60"/>
      <c r="Q60"/>
      <c r="R60"/>
    </row>
    <row r="61" spans="2:18" ht="20.25" x14ac:dyDescent="0.5">
      <c r="B61" s="1309"/>
      <c r="C61" s="1310"/>
      <c r="D61" s="1283"/>
      <c r="E61" s="1286"/>
      <c r="F61" s="18" t="s">
        <v>304</v>
      </c>
      <c r="G61" s="19"/>
      <c r="H61" s="19"/>
      <c r="I61" s="545" t="s">
        <v>305</v>
      </c>
      <c r="J61" s="556" t="s">
        <v>306</v>
      </c>
      <c r="K61" s="580"/>
      <c r="L61" s="784"/>
      <c r="M61" s="577"/>
      <c r="N61" s="785"/>
      <c r="O61"/>
      <c r="P61"/>
      <c r="Q61"/>
      <c r="R61"/>
    </row>
    <row r="62" spans="2:18" ht="17.25" customHeight="1" thickBot="1" x14ac:dyDescent="0.55000000000000004">
      <c r="B62" s="1309"/>
      <c r="C62" s="1310"/>
      <c r="D62" s="1284"/>
      <c r="E62" s="1287"/>
      <c r="F62" s="14" t="s">
        <v>307</v>
      </c>
      <c r="G62" s="12"/>
      <c r="H62" s="12"/>
      <c r="I62" s="546" t="s">
        <v>174</v>
      </c>
      <c r="J62" s="557" t="s">
        <v>154</v>
      </c>
      <c r="K62" s="581"/>
      <c r="L62" s="786"/>
      <c r="M62" s="578"/>
      <c r="N62" s="787"/>
      <c r="O62"/>
      <c r="P62"/>
      <c r="Q62"/>
      <c r="R62"/>
    </row>
    <row r="63" spans="2:18" ht="20.25" x14ac:dyDescent="0.5">
      <c r="B63" s="1309"/>
      <c r="C63" s="1310"/>
      <c r="D63" s="1282" t="s">
        <v>317</v>
      </c>
      <c r="E63" s="1285" t="s">
        <v>318</v>
      </c>
      <c r="F63" s="16" t="s">
        <v>304</v>
      </c>
      <c r="G63" s="17"/>
      <c r="H63" s="17"/>
      <c r="I63" s="548" t="s">
        <v>305</v>
      </c>
      <c r="J63" s="556" t="s">
        <v>306</v>
      </c>
      <c r="K63" s="555"/>
      <c r="L63" s="788"/>
      <c r="M63" s="553"/>
      <c r="N63" s="789"/>
      <c r="O63"/>
      <c r="P63"/>
      <c r="Q63"/>
      <c r="R63"/>
    </row>
    <row r="64" spans="2:18" ht="17.25" customHeight="1" thickBot="1" x14ac:dyDescent="0.55000000000000004">
      <c r="B64" s="1309"/>
      <c r="C64" s="1310"/>
      <c r="D64" s="1284"/>
      <c r="E64" s="1287"/>
      <c r="F64" s="14" t="s">
        <v>307</v>
      </c>
      <c r="G64" s="12"/>
      <c r="H64" s="12"/>
      <c r="I64" s="546" t="s">
        <v>174</v>
      </c>
      <c r="J64" s="557" t="s">
        <v>154</v>
      </c>
      <c r="K64" s="581"/>
      <c r="L64" s="786"/>
      <c r="M64" s="578"/>
      <c r="N64" s="787"/>
      <c r="O64"/>
      <c r="P64"/>
      <c r="Q64"/>
      <c r="R64"/>
    </row>
    <row r="65" spans="2:26" ht="17.25" customHeight="1" x14ac:dyDescent="0.5">
      <c r="B65" s="1309"/>
      <c r="C65" s="1310"/>
      <c r="D65" s="1323" t="s">
        <v>315</v>
      </c>
      <c r="E65" s="1325" t="s">
        <v>320</v>
      </c>
      <c r="F65" s="16" t="s">
        <v>321</v>
      </c>
      <c r="G65" s="17" t="s">
        <v>137</v>
      </c>
      <c r="H65" s="17"/>
      <c r="I65" s="548"/>
      <c r="J65" s="556">
        <v>0.62</v>
      </c>
      <c r="K65" s="555"/>
      <c r="L65" s="788"/>
      <c r="M65" s="553"/>
      <c r="N65" s="789"/>
      <c r="O65"/>
      <c r="P65"/>
      <c r="Q65"/>
      <c r="R65"/>
    </row>
    <row r="66" spans="2:26" ht="17.25" customHeight="1" x14ac:dyDescent="0.5">
      <c r="B66" s="1309"/>
      <c r="C66" s="1310"/>
      <c r="D66" s="1321"/>
      <c r="E66" s="1322"/>
      <c r="F66" s="7" t="s">
        <v>322</v>
      </c>
      <c r="G66" s="8" t="s">
        <v>137</v>
      </c>
      <c r="H66" s="8"/>
      <c r="I66" s="547"/>
      <c r="J66" s="556">
        <v>0.62</v>
      </c>
      <c r="K66" s="580"/>
      <c r="L66" s="784"/>
      <c r="M66" s="577"/>
      <c r="N66" s="785"/>
      <c r="O66"/>
      <c r="P66"/>
      <c r="Q66"/>
      <c r="R66"/>
    </row>
    <row r="67" spans="2:26" ht="17.25" customHeight="1" thickBot="1" x14ac:dyDescent="0.55000000000000004">
      <c r="B67" s="1309"/>
      <c r="C67" s="1310"/>
      <c r="D67" s="1324"/>
      <c r="E67" s="1326"/>
      <c r="F67" s="20" t="s">
        <v>323</v>
      </c>
      <c r="G67" s="21" t="s">
        <v>137</v>
      </c>
      <c r="H67" s="21"/>
      <c r="I67" s="543"/>
      <c r="J67" s="557">
        <v>0.62</v>
      </c>
      <c r="K67" s="581"/>
      <c r="L67" s="786"/>
      <c r="M67" s="578"/>
      <c r="N67" s="787"/>
      <c r="O67"/>
      <c r="P67"/>
      <c r="Q67"/>
      <c r="R67"/>
    </row>
    <row r="68" spans="2:26" ht="17.25" customHeight="1" thickBot="1" x14ac:dyDescent="0.55000000000000004">
      <c r="B68" s="1309"/>
      <c r="C68" s="1310"/>
      <c r="D68" s="1280" t="s">
        <v>324</v>
      </c>
      <c r="E68" s="1281"/>
      <c r="F68" s="38" t="s">
        <v>325</v>
      </c>
      <c r="G68" s="15"/>
      <c r="H68" s="15"/>
      <c r="I68" s="549" t="s">
        <v>326</v>
      </c>
      <c r="J68" s="557">
        <v>0.42</v>
      </c>
      <c r="K68" s="583"/>
      <c r="L68" s="790"/>
      <c r="M68" s="560"/>
      <c r="N68" s="791"/>
      <c r="O68"/>
      <c r="P68"/>
      <c r="Q68"/>
      <c r="R68"/>
    </row>
    <row r="69" spans="2:26" ht="17.25" customHeight="1" x14ac:dyDescent="0.5">
      <c r="B69" s="1309"/>
      <c r="C69" s="1310"/>
      <c r="D69" s="1282" t="s">
        <v>257</v>
      </c>
      <c r="E69" s="1285" t="s">
        <v>257</v>
      </c>
      <c r="F69" s="13" t="s">
        <v>327</v>
      </c>
      <c r="G69" s="11" t="s">
        <v>137</v>
      </c>
      <c r="H69" s="11"/>
      <c r="I69" s="544"/>
      <c r="J69" s="556">
        <v>0.622</v>
      </c>
      <c r="K69" s="555"/>
      <c r="L69" s="788"/>
      <c r="M69" s="553"/>
      <c r="N69" s="789"/>
      <c r="O69"/>
      <c r="P69"/>
      <c r="Q69"/>
      <c r="R69"/>
    </row>
    <row r="70" spans="2:26" ht="17.25" customHeight="1" x14ac:dyDescent="0.5">
      <c r="B70" s="1309"/>
      <c r="C70" s="1310"/>
      <c r="D70" s="1283"/>
      <c r="E70" s="1286"/>
      <c r="F70" s="18" t="s">
        <v>328</v>
      </c>
      <c r="G70" s="19" t="s">
        <v>137</v>
      </c>
      <c r="H70" s="19"/>
      <c r="I70" s="545"/>
      <c r="J70" s="556">
        <v>0.62</v>
      </c>
      <c r="K70" s="580"/>
      <c r="L70" s="784"/>
      <c r="M70" s="577"/>
      <c r="N70" s="785"/>
      <c r="O70"/>
      <c r="P70"/>
      <c r="Q70"/>
      <c r="R70"/>
    </row>
    <row r="71" spans="2:26" ht="17.25" customHeight="1" thickBot="1" x14ac:dyDescent="0.55000000000000004">
      <c r="B71" s="1309"/>
      <c r="C71" s="1310"/>
      <c r="D71" s="1284"/>
      <c r="E71" s="1287"/>
      <c r="F71" s="14" t="s">
        <v>329</v>
      </c>
      <c r="G71" s="12" t="s">
        <v>137</v>
      </c>
      <c r="H71" s="12"/>
      <c r="I71" s="546"/>
      <c r="J71" s="557">
        <v>0.61699999999999999</v>
      </c>
      <c r="K71" s="581"/>
      <c r="L71" s="786"/>
      <c r="M71" s="578"/>
      <c r="N71" s="787"/>
      <c r="O71"/>
      <c r="P71"/>
      <c r="Q71"/>
      <c r="R71"/>
    </row>
    <row r="72" spans="2:26" ht="17.25" customHeight="1" thickBot="1" x14ac:dyDescent="0.55000000000000004">
      <c r="B72" s="1309"/>
      <c r="C72" s="1310"/>
      <c r="D72" s="1321" t="s">
        <v>324</v>
      </c>
      <c r="E72" s="1322"/>
      <c r="F72" s="46" t="s">
        <v>325</v>
      </c>
      <c r="G72" s="50"/>
      <c r="H72" s="50"/>
      <c r="I72" s="550" t="s">
        <v>330</v>
      </c>
      <c r="J72" s="558">
        <v>0.41799999999999998</v>
      </c>
      <c r="K72" s="583"/>
      <c r="L72" s="790"/>
      <c r="M72" s="560"/>
      <c r="N72" s="791"/>
      <c r="O72"/>
      <c r="P72"/>
      <c r="Q72"/>
      <c r="R72"/>
    </row>
    <row r="73" spans="2:26" ht="17.25" customHeight="1" x14ac:dyDescent="0.5">
      <c r="B73" s="1309"/>
      <c r="C73" s="1310"/>
      <c r="D73" s="1282" t="s">
        <v>300</v>
      </c>
      <c r="E73" s="1285" t="s">
        <v>331</v>
      </c>
      <c r="F73" s="51" t="s">
        <v>332</v>
      </c>
      <c r="G73" s="52" t="s">
        <v>137</v>
      </c>
      <c r="H73" s="52"/>
      <c r="I73" s="551"/>
      <c r="J73" s="555">
        <v>0.61899999999999999</v>
      </c>
      <c r="K73" s="556"/>
      <c r="L73" s="782"/>
      <c r="M73" s="554"/>
      <c r="N73" s="783"/>
      <c r="O73"/>
      <c r="P73"/>
      <c r="Q73"/>
      <c r="R73"/>
    </row>
    <row r="74" spans="2:26" ht="17.25" customHeight="1" x14ac:dyDescent="0.5">
      <c r="B74" s="1309"/>
      <c r="C74" s="1310"/>
      <c r="D74" s="1283"/>
      <c r="E74" s="1286"/>
      <c r="F74" s="18" t="s">
        <v>333</v>
      </c>
      <c r="G74" s="19" t="s">
        <v>137</v>
      </c>
      <c r="H74" s="19"/>
      <c r="I74" s="545"/>
      <c r="J74" s="556">
        <v>0.61899999999999999</v>
      </c>
      <c r="K74" s="580"/>
      <c r="L74" s="784"/>
      <c r="M74" s="577"/>
      <c r="N74" s="785"/>
      <c r="O74"/>
      <c r="P74"/>
      <c r="Q74"/>
      <c r="R74"/>
    </row>
    <row r="75" spans="2:26" ht="17.25" customHeight="1" thickBot="1" x14ac:dyDescent="0.55000000000000004">
      <c r="B75" s="1311"/>
      <c r="C75" s="1312"/>
      <c r="D75" s="1284"/>
      <c r="E75" s="1287"/>
      <c r="F75" s="53" t="s">
        <v>334</v>
      </c>
      <c r="G75" s="54" t="s">
        <v>137</v>
      </c>
      <c r="H75" s="54"/>
      <c r="I75" s="552"/>
      <c r="J75" s="557">
        <v>0.61499999999999999</v>
      </c>
      <c r="K75" s="581"/>
      <c r="L75" s="786"/>
      <c r="M75" s="578"/>
      <c r="N75" s="787"/>
      <c r="O75"/>
      <c r="P75"/>
      <c r="Q75"/>
      <c r="R75"/>
    </row>
    <row r="76" spans="2:26" ht="17.25" customHeight="1" x14ac:dyDescent="0.5">
      <c r="B76" s="39"/>
      <c r="C76" s="39"/>
      <c r="D76" s="2"/>
      <c r="E76" s="2"/>
      <c r="F76" s="9"/>
      <c r="G76" s="36"/>
      <c r="H76" s="36"/>
      <c r="I76" s="36"/>
      <c r="J76" s="36"/>
      <c r="M76" s="10"/>
      <c r="N76" s="10"/>
      <c r="O76"/>
      <c r="P76"/>
      <c r="Q76"/>
      <c r="R76"/>
    </row>
    <row r="77" spans="2:26" ht="16.5" customHeight="1" thickBot="1" x14ac:dyDescent="0.55000000000000004">
      <c r="M77" s="10"/>
      <c r="N77" s="10"/>
      <c r="O77"/>
      <c r="P77"/>
      <c r="Q77"/>
      <c r="R77"/>
    </row>
    <row r="78" spans="2:26" ht="21.75" customHeight="1" x14ac:dyDescent="0.5">
      <c r="B78" s="5"/>
      <c r="C78" s="5"/>
      <c r="D78" s="6"/>
      <c r="E78" s="1013" t="s">
        <v>201</v>
      </c>
      <c r="F78" s="1014"/>
      <c r="G78" s="1014"/>
      <c r="H78" s="1014"/>
      <c r="I78" s="1228"/>
      <c r="J78" s="522"/>
      <c r="K78" s="1466"/>
      <c r="L78" s="1466"/>
      <c r="M78" s="1466"/>
      <c r="N78" s="1466"/>
      <c r="O78"/>
      <c r="P78"/>
      <c r="Q78"/>
      <c r="R78"/>
    </row>
    <row r="79" spans="2:26" ht="21.75" customHeight="1" thickBot="1" x14ac:dyDescent="0.55000000000000004">
      <c r="B79" s="5"/>
      <c r="C79" s="5"/>
      <c r="D79" s="6"/>
      <c r="E79" s="1015"/>
      <c r="F79" s="1016"/>
      <c r="G79" s="1016"/>
      <c r="H79" s="1016"/>
      <c r="I79" s="1229"/>
      <c r="J79" s="524"/>
      <c r="K79" s="1467"/>
      <c r="L79" s="1467"/>
      <c r="M79" s="1467"/>
      <c r="N79" s="1467"/>
      <c r="O79"/>
      <c r="P79"/>
      <c r="Q79"/>
      <c r="R79"/>
    </row>
    <row r="80" spans="2:26" s="119" customFormat="1" ht="21.75" customHeight="1" thickBot="1" x14ac:dyDescent="0.55000000000000004">
      <c r="B80" s="5"/>
      <c r="C80" s="5"/>
      <c r="D80" s="6"/>
      <c r="E80" s="1011" t="s">
        <v>123</v>
      </c>
      <c r="F80" s="1012"/>
      <c r="G80" s="1012"/>
      <c r="H80" s="1012"/>
      <c r="I80" s="1214"/>
      <c r="J80" s="523"/>
      <c r="K80" s="419"/>
      <c r="L80" s="526"/>
      <c r="M80" s="419"/>
      <c r="N80" s="526"/>
      <c r="O80"/>
      <c r="P80"/>
      <c r="Q80"/>
      <c r="R80"/>
      <c r="S80"/>
      <c r="T80"/>
      <c r="U80"/>
      <c r="V80"/>
      <c r="W80"/>
      <c r="X80"/>
      <c r="Y80"/>
      <c r="Z80"/>
    </row>
    <row r="81" spans="15:18" ht="16.149999999999999" customHeight="1" x14ac:dyDescent="0.5">
      <c r="O81"/>
      <c r="P81"/>
      <c r="Q81"/>
      <c r="R81"/>
    </row>
    <row r="82" spans="15:18" ht="16.149999999999999" customHeight="1" x14ac:dyDescent="0.5">
      <c r="O82"/>
      <c r="P82"/>
      <c r="Q82"/>
      <c r="R82"/>
    </row>
    <row r="83" spans="15:18" ht="16.149999999999999" customHeight="1" x14ac:dyDescent="0.5">
      <c r="O83"/>
      <c r="P83"/>
      <c r="Q83"/>
      <c r="R83"/>
    </row>
  </sheetData>
  <mergeCells count="45">
    <mergeCell ref="B5:E5"/>
    <mergeCell ref="F5:I5"/>
    <mergeCell ref="B2:I2"/>
    <mergeCell ref="B3:I3"/>
    <mergeCell ref="B4:D4"/>
    <mergeCell ref="E4:G4"/>
    <mergeCell ref="H4:I4"/>
    <mergeCell ref="K7:K8"/>
    <mergeCell ref="L7:L8"/>
    <mergeCell ref="M7:M8"/>
    <mergeCell ref="N7:N8"/>
    <mergeCell ref="B6:C8"/>
    <mergeCell ref="D6:E8"/>
    <mergeCell ref="F6:F8"/>
    <mergeCell ref="G6:G8"/>
    <mergeCell ref="H6:H8"/>
    <mergeCell ref="I6:I8"/>
    <mergeCell ref="B9:C44"/>
    <mergeCell ref="D9:D44"/>
    <mergeCell ref="E9:E14"/>
    <mergeCell ref="E15:E38"/>
    <mergeCell ref="E39:E44"/>
    <mergeCell ref="B45:C75"/>
    <mergeCell ref="D45:D46"/>
    <mergeCell ref="E45:E46"/>
    <mergeCell ref="D47:D50"/>
    <mergeCell ref="E47:E50"/>
    <mergeCell ref="D51:D58"/>
    <mergeCell ref="E51:E58"/>
    <mergeCell ref="D59:D62"/>
    <mergeCell ref="E59:E62"/>
    <mergeCell ref="D63:D64"/>
    <mergeCell ref="K78:L79"/>
    <mergeCell ref="M78:N79"/>
    <mergeCell ref="E63:E64"/>
    <mergeCell ref="D65:D67"/>
    <mergeCell ref="E65:E67"/>
    <mergeCell ref="D68:E68"/>
    <mergeCell ref="D69:D71"/>
    <mergeCell ref="E69:E71"/>
    <mergeCell ref="E80:I80"/>
    <mergeCell ref="D72:E72"/>
    <mergeCell ref="D73:D75"/>
    <mergeCell ref="E73:E75"/>
    <mergeCell ref="E78:I79"/>
  </mergeCells>
  <dataValidations count="1">
    <dataValidation type="list" allowBlank="1" showInputMessage="1" showErrorMessage="1" sqref="K80:N80" xr:uid="{095C271A-07B1-4D5B-BCF3-641288794C5B}">
      <formula1>"C.C, F.M, G.P, I.A, K.T, L.M, L.CH, M.P, M.M"</formula1>
    </dataValidation>
  </dataValidations>
  <pageMargins left="0.25" right="0.25" top="0.75" bottom="0.75" header="0.3" footer="0.3"/>
  <pageSetup paperSize="9" scale="61" fitToHeight="0" orientation="portrait" horizontalDpi="4294967293" r:id="rId1"/>
  <rowBreaks count="1" manualBreakCount="1">
    <brk id="44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D041-489F-411C-B825-27D9E38C3449}">
  <sheetPr codeName="Hoja10">
    <pageSetUpPr fitToPage="1"/>
  </sheetPr>
  <dimension ref="B1:M112"/>
  <sheetViews>
    <sheetView showGridLines="0" view="pageBreakPreview" zoomScale="60" zoomScaleNormal="55" workbookViewId="0">
      <selection activeCell="F61" sqref="F61"/>
    </sheetView>
  </sheetViews>
  <sheetFormatPr baseColWidth="10" defaultColWidth="10" defaultRowHeight="16.149999999999999" customHeight="1" x14ac:dyDescent="0.4"/>
  <cols>
    <col min="1" max="1" width="1.625" style="237" customWidth="1"/>
    <col min="2" max="2" width="11.5" style="237" customWidth="1"/>
    <col min="3" max="3" width="9.625" style="297" customWidth="1"/>
    <col min="4" max="4" width="16" style="297" bestFit="1" customWidth="1"/>
    <col min="5" max="5" width="48.625" style="238" customWidth="1"/>
    <col min="6" max="6" width="7" style="238" bestFit="1" customWidth="1"/>
    <col min="7" max="7" width="8.125" style="238" customWidth="1"/>
    <col min="8" max="9" width="11.625" style="238" customWidth="1"/>
    <col min="10" max="16384" width="10" style="237"/>
  </cols>
  <sheetData>
    <row r="1" spans="2:13" ht="52.5" customHeight="1" x14ac:dyDescent="0.4">
      <c r="B1" s="1039" t="s">
        <v>0</v>
      </c>
      <c r="C1" s="1039"/>
      <c r="D1" s="1039"/>
      <c r="E1" s="1039"/>
      <c r="F1" s="1039"/>
      <c r="G1" s="1039"/>
      <c r="H1" s="1039"/>
      <c r="I1" s="564"/>
    </row>
    <row r="2" spans="2:13" ht="33.75" customHeight="1" x14ac:dyDescent="0.4">
      <c r="B2" s="1040" t="s">
        <v>1</v>
      </c>
      <c r="C2" s="1041"/>
      <c r="D2" s="1041"/>
      <c r="E2" s="1041"/>
      <c r="F2" s="1041"/>
      <c r="G2" s="1041"/>
      <c r="H2" s="1041"/>
      <c r="I2" s="528"/>
    </row>
    <row r="3" spans="2:13" ht="39.75" customHeight="1" x14ac:dyDescent="0.4">
      <c r="B3" s="1200" t="s">
        <v>124</v>
      </c>
      <c r="C3" s="1201"/>
      <c r="D3" s="1202" t="s">
        <v>125</v>
      </c>
      <c r="E3" s="1203"/>
      <c r="F3" s="1204" t="s">
        <v>4</v>
      </c>
      <c r="G3" s="1205"/>
      <c r="H3" s="1206"/>
      <c r="I3" s="584"/>
    </row>
    <row r="4" spans="2:13" ht="3.75" customHeight="1" thickBot="1" x14ac:dyDescent="0.45">
      <c r="B4" s="191"/>
      <c r="C4" s="191"/>
      <c r="D4" s="192"/>
      <c r="E4" s="192"/>
      <c r="F4" s="193"/>
      <c r="G4" s="193"/>
      <c r="H4" s="193"/>
      <c r="I4" s="193"/>
    </row>
    <row r="5" spans="2:13" ht="15.75" customHeight="1" x14ac:dyDescent="0.4">
      <c r="B5" s="1188" t="s">
        <v>126</v>
      </c>
      <c r="C5" s="1182" t="s">
        <v>5</v>
      </c>
      <c r="D5" s="1183"/>
      <c r="E5" s="1182" t="s">
        <v>6</v>
      </c>
      <c r="F5" s="1178" t="s">
        <v>7</v>
      </c>
      <c r="G5" s="1178" t="s">
        <v>8</v>
      </c>
      <c r="H5" s="1180" t="s">
        <v>9</v>
      </c>
      <c r="I5" s="1479"/>
      <c r="J5" s="585">
        <v>10</v>
      </c>
      <c r="K5" s="585">
        <f>J5+1</f>
        <v>11</v>
      </c>
      <c r="L5" s="585">
        <f>K5+1</f>
        <v>12</v>
      </c>
      <c r="M5" s="585">
        <f>L5+1</f>
        <v>13</v>
      </c>
    </row>
    <row r="6" spans="2:13" ht="15.75" customHeight="1" thickBot="1" x14ac:dyDescent="0.45">
      <c r="B6" s="1189"/>
      <c r="C6" s="1179"/>
      <c r="D6" s="1184"/>
      <c r="E6" s="1179"/>
      <c r="F6" s="1179"/>
      <c r="G6" s="1179"/>
      <c r="H6" s="1181"/>
      <c r="I6" s="1480"/>
      <c r="J6" s="586"/>
      <c r="K6" s="586"/>
      <c r="L6" s="588"/>
      <c r="M6" s="586"/>
    </row>
    <row r="7" spans="2:13" s="298" customFormat="1" ht="21" customHeight="1" thickBot="1" x14ac:dyDescent="0.45">
      <c r="B7" s="325">
        <v>0</v>
      </c>
      <c r="C7" s="326" t="s">
        <v>10</v>
      </c>
      <c r="D7" s="327" t="s">
        <v>10</v>
      </c>
      <c r="E7" s="328" t="s">
        <v>11</v>
      </c>
      <c r="F7" s="329" t="s">
        <v>12</v>
      </c>
      <c r="G7" s="329"/>
      <c r="H7" s="330" t="s">
        <v>13</v>
      </c>
      <c r="I7" s="1481"/>
      <c r="J7" s="587"/>
      <c r="K7" s="587"/>
      <c r="L7" s="589"/>
      <c r="M7" s="587"/>
    </row>
    <row r="8" spans="2:13" ht="21" customHeight="1" x14ac:dyDescent="0.4">
      <c r="B8" s="1190" t="s">
        <v>127</v>
      </c>
      <c r="C8" s="1193" t="s">
        <v>128</v>
      </c>
      <c r="D8" s="1199" t="s">
        <v>129</v>
      </c>
      <c r="E8" s="424" t="s">
        <v>130</v>
      </c>
      <c r="F8" s="425"/>
      <c r="G8" s="133"/>
      <c r="H8" s="134" t="s">
        <v>131</v>
      </c>
      <c r="I8" s="530" t="s">
        <v>132</v>
      </c>
      <c r="J8" s="285"/>
      <c r="K8" s="285"/>
      <c r="L8" s="285"/>
      <c r="M8" s="590"/>
    </row>
    <row r="9" spans="2:13" ht="23.25" x14ac:dyDescent="0.4">
      <c r="B9" s="1191"/>
      <c r="C9" s="1194"/>
      <c r="D9" s="1186"/>
      <c r="E9" s="180" t="s">
        <v>134</v>
      </c>
      <c r="F9" s="172" t="s">
        <v>39</v>
      </c>
      <c r="G9" s="137" t="s">
        <v>135</v>
      </c>
      <c r="H9" s="138"/>
      <c r="I9" s="531">
        <v>23.4</v>
      </c>
      <c r="J9" s="287"/>
      <c r="K9" s="287"/>
      <c r="L9" s="287"/>
      <c r="M9" s="591"/>
    </row>
    <row r="10" spans="2:13" ht="23.25" x14ac:dyDescent="0.4">
      <c r="B10" s="1191"/>
      <c r="C10" s="1194"/>
      <c r="D10" s="1186"/>
      <c r="E10" s="426" t="s">
        <v>136</v>
      </c>
      <c r="F10" s="144" t="s">
        <v>137</v>
      </c>
      <c r="G10" s="136" t="s">
        <v>138</v>
      </c>
      <c r="H10" s="153"/>
      <c r="I10" s="532">
        <v>0</v>
      </c>
      <c r="J10" s="287"/>
      <c r="K10" s="287"/>
      <c r="L10" s="287"/>
      <c r="M10" s="591"/>
    </row>
    <row r="11" spans="2:13" ht="46.5" x14ac:dyDescent="0.4">
      <c r="B11" s="1191"/>
      <c r="C11" s="1194"/>
      <c r="D11" s="1186"/>
      <c r="E11" s="180" t="s">
        <v>139</v>
      </c>
      <c r="F11" s="172" t="s">
        <v>140</v>
      </c>
      <c r="G11" s="137" t="s">
        <v>141</v>
      </c>
      <c r="H11" s="138"/>
      <c r="I11" s="531">
        <v>5.76</v>
      </c>
      <c r="J11" s="287"/>
      <c r="K11" s="287"/>
      <c r="L11" s="287"/>
      <c r="M11" s="591"/>
    </row>
    <row r="12" spans="2:13" ht="15" x14ac:dyDescent="0.4">
      <c r="B12" s="1191"/>
      <c r="C12" s="1194"/>
      <c r="D12" s="1186"/>
      <c r="E12" s="426" t="s">
        <v>142</v>
      </c>
      <c r="F12" s="144" t="s">
        <v>143</v>
      </c>
      <c r="G12" s="136"/>
      <c r="H12" s="153"/>
      <c r="I12" s="532">
        <v>0</v>
      </c>
      <c r="J12" s="287"/>
      <c r="K12" s="287"/>
      <c r="L12" s="287"/>
      <c r="M12" s="591"/>
    </row>
    <row r="13" spans="2:13" ht="15" x14ac:dyDescent="0.4">
      <c r="B13" s="1191"/>
      <c r="C13" s="1194"/>
      <c r="D13" s="1186"/>
      <c r="E13" s="180" t="s">
        <v>144</v>
      </c>
      <c r="F13" s="172" t="s">
        <v>143</v>
      </c>
      <c r="G13" s="137"/>
      <c r="H13" s="138"/>
      <c r="I13" s="531">
        <v>367.9</v>
      </c>
      <c r="J13" s="287"/>
      <c r="K13" s="287"/>
      <c r="L13" s="287"/>
      <c r="M13" s="591"/>
    </row>
    <row r="14" spans="2:13" ht="15" x14ac:dyDescent="0.4">
      <c r="B14" s="1191"/>
      <c r="C14" s="1194"/>
      <c r="D14" s="1186"/>
      <c r="E14" s="426" t="s">
        <v>68</v>
      </c>
      <c r="F14" s="144" t="s">
        <v>77</v>
      </c>
      <c r="G14" s="136"/>
      <c r="H14" s="153"/>
      <c r="I14" s="532"/>
      <c r="J14" s="287"/>
      <c r="K14" s="287"/>
      <c r="L14" s="287"/>
      <c r="M14" s="591"/>
    </row>
    <row r="15" spans="2:13" ht="23.25" x14ac:dyDescent="0.4">
      <c r="B15" s="1191"/>
      <c r="C15" s="1194"/>
      <c r="D15" s="1186"/>
      <c r="E15" s="180" t="s">
        <v>150</v>
      </c>
      <c r="F15" s="172"/>
      <c r="G15" s="137"/>
      <c r="H15" s="138" t="s">
        <v>51</v>
      </c>
      <c r="I15" s="531" t="s">
        <v>151</v>
      </c>
      <c r="J15" s="289"/>
      <c r="K15" s="289"/>
      <c r="L15" s="289"/>
      <c r="M15" s="592"/>
    </row>
    <row r="16" spans="2:13" ht="15.4" thickBot="1" x14ac:dyDescent="0.45">
      <c r="B16" s="1191"/>
      <c r="C16" s="1194"/>
      <c r="D16" s="1187"/>
      <c r="E16" s="427" t="s">
        <v>152</v>
      </c>
      <c r="F16" s="428"/>
      <c r="G16" s="148"/>
      <c r="H16" s="149" t="s">
        <v>153</v>
      </c>
      <c r="I16" s="535" t="s">
        <v>154</v>
      </c>
      <c r="J16" s="291"/>
      <c r="K16" s="291"/>
      <c r="L16" s="291"/>
      <c r="M16" s="593"/>
    </row>
    <row r="17" spans="2:13" ht="34.9" x14ac:dyDescent="0.4">
      <c r="B17" s="1191"/>
      <c r="C17" s="1195"/>
      <c r="D17" s="1199" t="s">
        <v>155</v>
      </c>
      <c r="E17" s="179" t="s">
        <v>130</v>
      </c>
      <c r="F17" s="171"/>
      <c r="G17" s="132"/>
      <c r="H17" s="157" t="s">
        <v>131</v>
      </c>
      <c r="I17" s="534" t="s">
        <v>133</v>
      </c>
      <c r="J17" s="285"/>
      <c r="K17" s="285"/>
      <c r="L17" s="285"/>
      <c r="M17" s="590"/>
    </row>
    <row r="18" spans="2:13" ht="23.25" x14ac:dyDescent="0.4">
      <c r="B18" s="1191"/>
      <c r="C18" s="1195"/>
      <c r="D18" s="1186"/>
      <c r="E18" s="426" t="s">
        <v>134</v>
      </c>
      <c r="F18" s="144" t="s">
        <v>39</v>
      </c>
      <c r="G18" s="136" t="s">
        <v>135</v>
      </c>
      <c r="H18" s="153"/>
      <c r="I18" s="532">
        <v>23.3</v>
      </c>
      <c r="J18" s="287"/>
      <c r="K18" s="287"/>
      <c r="L18" s="287"/>
      <c r="M18" s="591"/>
    </row>
    <row r="19" spans="2:13" ht="23.25" x14ac:dyDescent="0.4">
      <c r="B19" s="1191"/>
      <c r="C19" s="1195"/>
      <c r="D19" s="1186"/>
      <c r="E19" s="180" t="s">
        <v>136</v>
      </c>
      <c r="F19" s="172" t="s">
        <v>137</v>
      </c>
      <c r="G19" s="137" t="s">
        <v>138</v>
      </c>
      <c r="H19" s="138"/>
      <c r="I19" s="531">
        <v>0.01</v>
      </c>
      <c r="J19" s="287"/>
      <c r="K19" s="287"/>
      <c r="L19" s="287"/>
      <c r="M19" s="591"/>
    </row>
    <row r="20" spans="2:13" ht="46.5" x14ac:dyDescent="0.4">
      <c r="B20" s="1191"/>
      <c r="C20" s="1195"/>
      <c r="D20" s="1186"/>
      <c r="E20" s="426" t="s">
        <v>139</v>
      </c>
      <c r="F20" s="144" t="s">
        <v>140</v>
      </c>
      <c r="G20" s="136" t="s">
        <v>141</v>
      </c>
      <c r="H20" s="153"/>
      <c r="I20" s="532">
        <v>7.0000000000000007E-2</v>
      </c>
      <c r="J20" s="287"/>
      <c r="K20" s="287"/>
      <c r="L20" s="287"/>
      <c r="M20" s="591"/>
    </row>
    <row r="21" spans="2:13" ht="15" x14ac:dyDescent="0.4">
      <c r="B21" s="1191"/>
      <c r="C21" s="1195"/>
      <c r="D21" s="1186"/>
      <c r="E21" s="180" t="s">
        <v>142</v>
      </c>
      <c r="F21" s="172" t="s">
        <v>143</v>
      </c>
      <c r="G21" s="137"/>
      <c r="H21" s="138"/>
      <c r="I21" s="531"/>
      <c r="J21" s="287"/>
      <c r="K21" s="287"/>
      <c r="L21" s="287"/>
      <c r="M21" s="591"/>
    </row>
    <row r="22" spans="2:13" ht="15" x14ac:dyDescent="0.4">
      <c r="B22" s="1191"/>
      <c r="C22" s="1195"/>
      <c r="D22" s="1186"/>
      <c r="E22" s="426" t="s">
        <v>144</v>
      </c>
      <c r="F22" s="144" t="s">
        <v>143</v>
      </c>
      <c r="G22" s="136"/>
      <c r="H22" s="153"/>
      <c r="I22" s="532">
        <v>784.2</v>
      </c>
      <c r="J22" s="287"/>
      <c r="K22" s="287"/>
      <c r="L22" s="287"/>
      <c r="M22" s="591"/>
    </row>
    <row r="23" spans="2:13" ht="15" x14ac:dyDescent="0.4">
      <c r="B23" s="1191"/>
      <c r="C23" s="1195"/>
      <c r="D23" s="1186"/>
      <c r="E23" s="180" t="s">
        <v>68</v>
      </c>
      <c r="F23" s="172" t="s">
        <v>77</v>
      </c>
      <c r="G23" s="137"/>
      <c r="H23" s="138"/>
      <c r="I23" s="531">
        <v>30</v>
      </c>
      <c r="J23" s="287"/>
      <c r="K23" s="287"/>
      <c r="L23" s="287"/>
      <c r="M23" s="591"/>
    </row>
    <row r="24" spans="2:13" ht="23.25" x14ac:dyDescent="0.4">
      <c r="B24" s="1191"/>
      <c r="C24" s="1195"/>
      <c r="D24" s="1186"/>
      <c r="E24" s="426" t="s">
        <v>150</v>
      </c>
      <c r="F24" s="144"/>
      <c r="G24" s="136"/>
      <c r="H24" s="153" t="s">
        <v>51</v>
      </c>
      <c r="I24" s="532" t="s">
        <v>151</v>
      </c>
      <c r="J24" s="289"/>
      <c r="K24" s="289"/>
      <c r="L24" s="289"/>
      <c r="M24" s="592"/>
    </row>
    <row r="25" spans="2:13" ht="15.4" thickBot="1" x14ac:dyDescent="0.45">
      <c r="B25" s="1191"/>
      <c r="C25" s="1195"/>
      <c r="D25" s="1187"/>
      <c r="E25" s="181" t="s">
        <v>152</v>
      </c>
      <c r="F25" s="173" t="s">
        <v>854</v>
      </c>
      <c r="G25" s="159"/>
      <c r="H25" s="160" t="s">
        <v>153</v>
      </c>
      <c r="I25" s="533" t="s">
        <v>154</v>
      </c>
      <c r="J25" s="291"/>
      <c r="K25" s="291"/>
      <c r="L25" s="291"/>
      <c r="M25" s="593"/>
    </row>
    <row r="26" spans="2:13" ht="34.9" x14ac:dyDescent="0.4">
      <c r="B26" s="1191"/>
      <c r="C26" s="1195"/>
      <c r="D26" s="1199" t="s">
        <v>156</v>
      </c>
      <c r="E26" s="424" t="s">
        <v>130</v>
      </c>
      <c r="F26" s="425"/>
      <c r="G26" s="133"/>
      <c r="H26" s="134" t="s">
        <v>131</v>
      </c>
      <c r="I26" s="530" t="s">
        <v>133</v>
      </c>
      <c r="J26" s="285"/>
      <c r="K26" s="285"/>
      <c r="L26" s="285"/>
      <c r="M26" s="590"/>
    </row>
    <row r="27" spans="2:13" ht="23.25" x14ac:dyDescent="0.4">
      <c r="B27" s="1191"/>
      <c r="C27" s="1195"/>
      <c r="D27" s="1186"/>
      <c r="E27" s="180" t="s">
        <v>134</v>
      </c>
      <c r="F27" s="172" t="s">
        <v>39</v>
      </c>
      <c r="G27" s="137" t="s">
        <v>135</v>
      </c>
      <c r="H27" s="138"/>
      <c r="I27" s="531">
        <v>23.7</v>
      </c>
      <c r="J27" s="287"/>
      <c r="K27" s="287"/>
      <c r="L27" s="287"/>
      <c r="M27" s="591"/>
    </row>
    <row r="28" spans="2:13" ht="23.25" x14ac:dyDescent="0.4">
      <c r="B28" s="1191"/>
      <c r="C28" s="1195"/>
      <c r="D28" s="1186"/>
      <c r="E28" s="426" t="s">
        <v>136</v>
      </c>
      <c r="F28" s="144" t="s">
        <v>137</v>
      </c>
      <c r="G28" s="136" t="s">
        <v>138</v>
      </c>
      <c r="H28" s="153"/>
      <c r="I28" s="532">
        <v>0</v>
      </c>
      <c r="J28" s="287"/>
      <c r="K28" s="287"/>
      <c r="L28" s="287"/>
      <c r="M28" s="591"/>
    </row>
    <row r="29" spans="2:13" ht="46.5" x14ac:dyDescent="0.4">
      <c r="B29" s="1191"/>
      <c r="C29" s="1195"/>
      <c r="D29" s="1186"/>
      <c r="E29" s="180" t="s">
        <v>139</v>
      </c>
      <c r="F29" s="172" t="s">
        <v>140</v>
      </c>
      <c r="G29" s="137" t="s">
        <v>141</v>
      </c>
      <c r="H29" s="138"/>
      <c r="I29" s="531">
        <v>0.31</v>
      </c>
      <c r="J29" s="287"/>
      <c r="K29" s="287"/>
      <c r="L29" s="287"/>
      <c r="M29" s="591"/>
    </row>
    <row r="30" spans="2:13" ht="15" x14ac:dyDescent="0.4">
      <c r="B30" s="1191"/>
      <c r="C30" s="1195"/>
      <c r="D30" s="1186"/>
      <c r="E30" s="426" t="s">
        <v>142</v>
      </c>
      <c r="F30" s="144" t="s">
        <v>143</v>
      </c>
      <c r="G30" s="136"/>
      <c r="H30" s="153"/>
      <c r="I30" s="532">
        <v>0</v>
      </c>
      <c r="J30" s="287"/>
      <c r="K30" s="287"/>
      <c r="L30" s="287"/>
      <c r="M30" s="591"/>
    </row>
    <row r="31" spans="2:13" ht="15" x14ac:dyDescent="0.4">
      <c r="B31" s="1191"/>
      <c r="C31" s="1195"/>
      <c r="D31" s="1186"/>
      <c r="E31" s="180" t="s">
        <v>144</v>
      </c>
      <c r="F31" s="172" t="s">
        <v>143</v>
      </c>
      <c r="G31" s="137"/>
      <c r="H31" s="138"/>
      <c r="I31" s="531">
        <v>896.45</v>
      </c>
      <c r="J31" s="287"/>
      <c r="K31" s="287"/>
      <c r="L31" s="287"/>
      <c r="M31" s="591"/>
    </row>
    <row r="32" spans="2:13" ht="15" x14ac:dyDescent="0.4">
      <c r="B32" s="1191"/>
      <c r="C32" s="1195"/>
      <c r="D32" s="1186"/>
      <c r="E32" s="426" t="s">
        <v>68</v>
      </c>
      <c r="F32" s="144" t="s">
        <v>77</v>
      </c>
      <c r="G32" s="136"/>
      <c r="H32" s="153"/>
      <c r="I32" s="532">
        <v>30</v>
      </c>
      <c r="J32" s="287"/>
      <c r="K32" s="287"/>
      <c r="L32" s="287"/>
      <c r="M32" s="591"/>
    </row>
    <row r="33" spans="2:13" ht="23.25" x14ac:dyDescent="0.4">
      <c r="B33" s="1191"/>
      <c r="C33" s="1195"/>
      <c r="D33" s="1186"/>
      <c r="E33" s="180" t="s">
        <v>157</v>
      </c>
      <c r="F33" s="172"/>
      <c r="G33" s="137"/>
      <c r="H33" s="138" t="s">
        <v>51</v>
      </c>
      <c r="I33" s="531" t="s">
        <v>151</v>
      </c>
      <c r="J33" s="289"/>
      <c r="K33" s="289"/>
      <c r="L33" s="289"/>
      <c r="M33" s="592"/>
    </row>
    <row r="34" spans="2:13" ht="15.4" thickBot="1" x14ac:dyDescent="0.45">
      <c r="B34" s="1191"/>
      <c r="C34" s="1195"/>
      <c r="D34" s="1187"/>
      <c r="E34" s="427" t="s">
        <v>152</v>
      </c>
      <c r="F34" s="428"/>
      <c r="G34" s="148"/>
      <c r="H34" s="149" t="s">
        <v>153</v>
      </c>
      <c r="I34" s="535" t="s">
        <v>154</v>
      </c>
      <c r="J34" s="291"/>
      <c r="K34" s="291"/>
      <c r="L34" s="291"/>
      <c r="M34" s="593"/>
    </row>
    <row r="35" spans="2:13" ht="34.9" x14ac:dyDescent="0.4">
      <c r="B35" s="1191"/>
      <c r="C35" s="1195"/>
      <c r="D35" s="1199" t="s">
        <v>158</v>
      </c>
      <c r="E35" s="179" t="s">
        <v>130</v>
      </c>
      <c r="F35" s="171"/>
      <c r="G35" s="132"/>
      <c r="H35" s="157" t="s">
        <v>131</v>
      </c>
      <c r="I35" s="534" t="s">
        <v>132</v>
      </c>
      <c r="J35" s="285"/>
      <c r="K35" s="285"/>
      <c r="L35" s="285"/>
      <c r="M35" s="590"/>
    </row>
    <row r="36" spans="2:13" ht="23.25" x14ac:dyDescent="0.4">
      <c r="B36" s="1191"/>
      <c r="C36" s="1195"/>
      <c r="D36" s="1186"/>
      <c r="E36" s="426" t="s">
        <v>134</v>
      </c>
      <c r="F36" s="144" t="s">
        <v>39</v>
      </c>
      <c r="G36" s="136" t="s">
        <v>135</v>
      </c>
      <c r="H36" s="153"/>
      <c r="I36" s="532">
        <v>23.7</v>
      </c>
      <c r="J36" s="287"/>
      <c r="K36" s="287"/>
      <c r="L36" s="287"/>
      <c r="M36" s="591"/>
    </row>
    <row r="37" spans="2:13" ht="23.25" x14ac:dyDescent="0.4">
      <c r="B37" s="1191"/>
      <c r="C37" s="1195"/>
      <c r="D37" s="1186"/>
      <c r="E37" s="180" t="s">
        <v>136</v>
      </c>
      <c r="F37" s="172" t="s">
        <v>137</v>
      </c>
      <c r="G37" s="137" t="s">
        <v>138</v>
      </c>
      <c r="H37" s="138"/>
      <c r="I37" s="531">
        <v>0</v>
      </c>
      <c r="J37" s="287"/>
      <c r="K37" s="287"/>
      <c r="L37" s="287"/>
      <c r="M37" s="591"/>
    </row>
    <row r="38" spans="2:13" ht="46.5" x14ac:dyDescent="0.4">
      <c r="B38" s="1191"/>
      <c r="C38" s="1195"/>
      <c r="D38" s="1186"/>
      <c r="E38" s="426" t="s">
        <v>139</v>
      </c>
      <c r="F38" s="144" t="s">
        <v>140</v>
      </c>
      <c r="G38" s="136" t="s">
        <v>141</v>
      </c>
      <c r="H38" s="153"/>
      <c r="I38" s="532">
        <v>0.02</v>
      </c>
      <c r="J38" s="287"/>
      <c r="K38" s="287"/>
      <c r="L38" s="287"/>
      <c r="M38" s="591"/>
    </row>
    <row r="39" spans="2:13" ht="15" x14ac:dyDescent="0.4">
      <c r="B39" s="1191"/>
      <c r="C39" s="1195"/>
      <c r="D39" s="1186"/>
      <c r="E39" s="180" t="s">
        <v>142</v>
      </c>
      <c r="F39" s="172" t="s">
        <v>143</v>
      </c>
      <c r="G39" s="137"/>
      <c r="H39" s="138"/>
      <c r="I39" s="531"/>
      <c r="J39" s="287"/>
      <c r="K39" s="287"/>
      <c r="L39" s="287"/>
      <c r="M39" s="591"/>
    </row>
    <row r="40" spans="2:13" ht="15" x14ac:dyDescent="0.4">
      <c r="B40" s="1191"/>
      <c r="C40" s="1195"/>
      <c r="D40" s="1186"/>
      <c r="E40" s="426" t="s">
        <v>144</v>
      </c>
      <c r="F40" s="144" t="s">
        <v>143</v>
      </c>
      <c r="G40" s="136"/>
      <c r="H40" s="153"/>
      <c r="I40" s="532">
        <v>464.5</v>
      </c>
      <c r="J40" s="287"/>
      <c r="K40" s="287"/>
      <c r="L40" s="287"/>
      <c r="M40" s="591"/>
    </row>
    <row r="41" spans="2:13" ht="15" x14ac:dyDescent="0.4">
      <c r="B41" s="1191"/>
      <c r="C41" s="1195"/>
      <c r="D41" s="1186"/>
      <c r="E41" s="180" t="s">
        <v>68</v>
      </c>
      <c r="F41" s="172" t="s">
        <v>77</v>
      </c>
      <c r="G41" s="137"/>
      <c r="H41" s="138"/>
      <c r="I41" s="531">
        <v>40</v>
      </c>
      <c r="J41" s="287"/>
      <c r="K41" s="287"/>
      <c r="L41" s="287"/>
      <c r="M41" s="591"/>
    </row>
    <row r="42" spans="2:13" ht="23.25" x14ac:dyDescent="0.4">
      <c r="B42" s="1191"/>
      <c r="C42" s="1195"/>
      <c r="D42" s="1186"/>
      <c r="E42" s="426" t="s">
        <v>150</v>
      </c>
      <c r="F42" s="144"/>
      <c r="G42" s="136"/>
      <c r="H42" s="153" t="s">
        <v>51</v>
      </c>
      <c r="I42" s="532" t="s">
        <v>151</v>
      </c>
      <c r="J42" s="289"/>
      <c r="K42" s="289"/>
      <c r="L42" s="289"/>
      <c r="M42" s="592"/>
    </row>
    <row r="43" spans="2:13" ht="15.4" thickBot="1" x14ac:dyDescent="0.45">
      <c r="B43" s="1191"/>
      <c r="C43" s="1195"/>
      <c r="D43" s="1187"/>
      <c r="E43" s="181" t="s">
        <v>152</v>
      </c>
      <c r="F43" s="173"/>
      <c r="G43" s="159"/>
      <c r="H43" s="160" t="s">
        <v>153</v>
      </c>
      <c r="I43" s="533" t="s">
        <v>154</v>
      </c>
      <c r="J43" s="291"/>
      <c r="K43" s="291"/>
      <c r="L43" s="291"/>
      <c r="M43" s="593"/>
    </row>
    <row r="44" spans="2:13" ht="34.9" x14ac:dyDescent="0.4">
      <c r="B44" s="1191"/>
      <c r="C44" s="1195"/>
      <c r="D44" s="1199" t="s">
        <v>159</v>
      </c>
      <c r="E44" s="179" t="s">
        <v>130</v>
      </c>
      <c r="F44" s="171"/>
      <c r="G44" s="132"/>
      <c r="H44" s="157" t="s">
        <v>131</v>
      </c>
      <c r="I44" s="534" t="s">
        <v>133</v>
      </c>
      <c r="J44" s="285"/>
      <c r="K44" s="285"/>
      <c r="L44" s="285"/>
      <c r="M44" s="590"/>
    </row>
    <row r="45" spans="2:13" ht="23.25" x14ac:dyDescent="0.4">
      <c r="B45" s="1191"/>
      <c r="C45" s="1195"/>
      <c r="D45" s="1186"/>
      <c r="E45" s="426" t="s">
        <v>134</v>
      </c>
      <c r="F45" s="144" t="s">
        <v>39</v>
      </c>
      <c r="G45" s="136" t="s">
        <v>135</v>
      </c>
      <c r="H45" s="153"/>
      <c r="I45" s="532">
        <v>23.8</v>
      </c>
      <c r="J45" s="287"/>
      <c r="K45" s="287"/>
      <c r="L45" s="287"/>
      <c r="M45" s="591"/>
    </row>
    <row r="46" spans="2:13" ht="23.25" x14ac:dyDescent="0.4">
      <c r="B46" s="1191"/>
      <c r="C46" s="1195"/>
      <c r="D46" s="1186"/>
      <c r="E46" s="180" t="s">
        <v>136</v>
      </c>
      <c r="F46" s="172" t="s">
        <v>137</v>
      </c>
      <c r="G46" s="137" t="s">
        <v>138</v>
      </c>
      <c r="H46" s="138"/>
      <c r="I46" s="531">
        <v>0</v>
      </c>
      <c r="J46" s="287"/>
      <c r="K46" s="287"/>
      <c r="L46" s="287"/>
      <c r="M46" s="591"/>
    </row>
    <row r="47" spans="2:13" ht="46.5" x14ac:dyDescent="0.4">
      <c r="B47" s="1191"/>
      <c r="C47" s="1195"/>
      <c r="D47" s="1186"/>
      <c r="E47" s="426" t="s">
        <v>139</v>
      </c>
      <c r="F47" s="144" t="s">
        <v>140</v>
      </c>
      <c r="G47" s="136" t="s">
        <v>141</v>
      </c>
      <c r="H47" s="153"/>
      <c r="I47" s="532">
        <v>0.26</v>
      </c>
      <c r="J47" s="287"/>
      <c r="K47" s="287"/>
      <c r="L47" s="287"/>
      <c r="M47" s="591"/>
    </row>
    <row r="48" spans="2:13" ht="15" x14ac:dyDescent="0.4">
      <c r="B48" s="1191"/>
      <c r="C48" s="1195"/>
      <c r="D48" s="1186"/>
      <c r="E48" s="180" t="s">
        <v>142</v>
      </c>
      <c r="F48" s="172" t="s">
        <v>143</v>
      </c>
      <c r="G48" s="137"/>
      <c r="H48" s="138"/>
      <c r="I48" s="531">
        <v>0</v>
      </c>
      <c r="J48" s="287"/>
      <c r="K48" s="287"/>
      <c r="L48" s="287"/>
      <c r="M48" s="591"/>
    </row>
    <row r="49" spans="2:13" ht="21" customHeight="1" x14ac:dyDescent="0.4">
      <c r="B49" s="1191"/>
      <c r="C49" s="1195"/>
      <c r="D49" s="1186"/>
      <c r="E49" s="426" t="s">
        <v>144</v>
      </c>
      <c r="F49" s="144" t="s">
        <v>143</v>
      </c>
      <c r="G49" s="136"/>
      <c r="H49" s="153"/>
      <c r="I49" s="532">
        <v>810.25</v>
      </c>
      <c r="J49" s="287"/>
      <c r="K49" s="287"/>
      <c r="L49" s="287"/>
      <c r="M49" s="591"/>
    </row>
    <row r="50" spans="2:13" ht="15" x14ac:dyDescent="0.4">
      <c r="B50" s="1191"/>
      <c r="C50" s="1195"/>
      <c r="D50" s="1186"/>
      <c r="E50" s="180" t="s">
        <v>68</v>
      </c>
      <c r="F50" s="172" t="s">
        <v>77</v>
      </c>
      <c r="G50" s="137"/>
      <c r="H50" s="138"/>
      <c r="I50" s="531">
        <v>25</v>
      </c>
      <c r="J50" s="287"/>
      <c r="K50" s="287"/>
      <c r="L50" s="287"/>
      <c r="M50" s="591"/>
    </row>
    <row r="51" spans="2:13" ht="23.25" x14ac:dyDescent="0.4">
      <c r="B51" s="1191"/>
      <c r="C51" s="1195"/>
      <c r="D51" s="1186"/>
      <c r="E51" s="426" t="s">
        <v>150</v>
      </c>
      <c r="F51" s="144"/>
      <c r="G51" s="136"/>
      <c r="H51" s="153" t="s">
        <v>51</v>
      </c>
      <c r="I51" s="532" t="s">
        <v>151</v>
      </c>
      <c r="J51" s="289"/>
      <c r="K51" s="289"/>
      <c r="L51" s="289"/>
      <c r="M51" s="592"/>
    </row>
    <row r="52" spans="2:13" ht="15.4" thickBot="1" x14ac:dyDescent="0.45">
      <c r="B52" s="1191"/>
      <c r="C52" s="1195"/>
      <c r="D52" s="1187"/>
      <c r="E52" s="181" t="s">
        <v>152</v>
      </c>
      <c r="F52" s="173"/>
      <c r="G52" s="159"/>
      <c r="H52" s="160" t="s">
        <v>153</v>
      </c>
      <c r="I52" s="533" t="s">
        <v>154</v>
      </c>
      <c r="J52" s="291"/>
      <c r="K52" s="291"/>
      <c r="L52" s="291"/>
      <c r="M52" s="593"/>
    </row>
    <row r="53" spans="2:13" ht="34.9" x14ac:dyDescent="0.4">
      <c r="B53" s="1191"/>
      <c r="C53" s="1195"/>
      <c r="D53" s="1199" t="s">
        <v>160</v>
      </c>
      <c r="E53" s="424" t="s">
        <v>130</v>
      </c>
      <c r="F53" s="425"/>
      <c r="G53" s="133"/>
      <c r="H53" s="134" t="s">
        <v>131</v>
      </c>
      <c r="I53" s="530" t="s">
        <v>133</v>
      </c>
      <c r="J53" s="285"/>
      <c r="K53" s="285"/>
      <c r="L53" s="285"/>
      <c r="M53" s="590"/>
    </row>
    <row r="54" spans="2:13" ht="23.25" x14ac:dyDescent="0.4">
      <c r="B54" s="1191"/>
      <c r="C54" s="1195"/>
      <c r="D54" s="1186"/>
      <c r="E54" s="180" t="s">
        <v>134</v>
      </c>
      <c r="F54" s="172" t="s">
        <v>39</v>
      </c>
      <c r="G54" s="137" t="s">
        <v>135</v>
      </c>
      <c r="H54" s="138"/>
      <c r="I54" s="531">
        <v>22.6</v>
      </c>
      <c r="J54" s="287"/>
      <c r="K54" s="287"/>
      <c r="L54" s="287"/>
      <c r="M54" s="591"/>
    </row>
    <row r="55" spans="2:13" ht="23.25" x14ac:dyDescent="0.4">
      <c r="B55" s="1191"/>
      <c r="C55" s="1195"/>
      <c r="D55" s="1186"/>
      <c r="E55" s="426" t="s">
        <v>136</v>
      </c>
      <c r="F55" s="144" t="s">
        <v>137</v>
      </c>
      <c r="G55" s="136" t="s">
        <v>138</v>
      </c>
      <c r="H55" s="153"/>
      <c r="I55" s="532">
        <v>0</v>
      </c>
      <c r="J55" s="287"/>
      <c r="K55" s="287"/>
      <c r="L55" s="287"/>
      <c r="M55" s="591"/>
    </row>
    <row r="56" spans="2:13" ht="46.5" x14ac:dyDescent="0.4">
      <c r="B56" s="1191"/>
      <c r="C56" s="1195"/>
      <c r="D56" s="1186"/>
      <c r="E56" s="180" t="s">
        <v>139</v>
      </c>
      <c r="F56" s="172" t="s">
        <v>140</v>
      </c>
      <c r="G56" s="137" t="s">
        <v>141</v>
      </c>
      <c r="H56" s="138"/>
      <c r="I56" s="531">
        <v>0.05</v>
      </c>
      <c r="J56" s="287"/>
      <c r="K56" s="287"/>
      <c r="L56" s="287"/>
      <c r="M56" s="591"/>
    </row>
    <row r="57" spans="2:13" ht="15" x14ac:dyDescent="0.4">
      <c r="B57" s="1191"/>
      <c r="C57" s="1195"/>
      <c r="D57" s="1186"/>
      <c r="E57" s="426" t="s">
        <v>142</v>
      </c>
      <c r="F57" s="144" t="s">
        <v>143</v>
      </c>
      <c r="G57" s="136"/>
      <c r="H57" s="153"/>
      <c r="I57" s="532"/>
      <c r="J57" s="287"/>
      <c r="K57" s="287"/>
      <c r="L57" s="287"/>
      <c r="M57" s="591"/>
    </row>
    <row r="58" spans="2:13" ht="15" x14ac:dyDescent="0.4">
      <c r="B58" s="1191"/>
      <c r="C58" s="1195"/>
      <c r="D58" s="1186"/>
      <c r="E58" s="180" t="s">
        <v>144</v>
      </c>
      <c r="F58" s="172" t="s">
        <v>143</v>
      </c>
      <c r="G58" s="137"/>
      <c r="H58" s="138"/>
      <c r="I58" s="531">
        <v>502.8</v>
      </c>
      <c r="J58" s="287"/>
      <c r="K58" s="287"/>
      <c r="L58" s="287"/>
      <c r="M58" s="591"/>
    </row>
    <row r="59" spans="2:13" ht="15" x14ac:dyDescent="0.4">
      <c r="B59" s="1191"/>
      <c r="C59" s="1195"/>
      <c r="D59" s="1186"/>
      <c r="E59" s="426" t="s">
        <v>68</v>
      </c>
      <c r="F59" s="144" t="s">
        <v>77</v>
      </c>
      <c r="G59" s="136"/>
      <c r="H59" s="153"/>
      <c r="I59" s="532">
        <v>30</v>
      </c>
      <c r="J59" s="287"/>
      <c r="K59" s="287"/>
      <c r="L59" s="287"/>
      <c r="M59" s="591"/>
    </row>
    <row r="60" spans="2:13" ht="23.25" x14ac:dyDescent="0.4">
      <c r="B60" s="1191"/>
      <c r="C60" s="1195"/>
      <c r="D60" s="1186"/>
      <c r="E60" s="180" t="s">
        <v>150</v>
      </c>
      <c r="F60" s="172"/>
      <c r="G60" s="137"/>
      <c r="H60" s="138" t="s">
        <v>51</v>
      </c>
      <c r="I60" s="531" t="s">
        <v>151</v>
      </c>
      <c r="J60" s="289"/>
      <c r="K60" s="289"/>
      <c r="L60" s="289"/>
      <c r="M60" s="592"/>
    </row>
    <row r="61" spans="2:13" ht="15.4" thickBot="1" x14ac:dyDescent="0.45">
      <c r="B61" s="1191"/>
      <c r="C61" s="1195"/>
      <c r="D61" s="1187"/>
      <c r="E61" s="427" t="s">
        <v>152</v>
      </c>
      <c r="F61" s="428"/>
      <c r="G61" s="148"/>
      <c r="H61" s="149" t="s">
        <v>153</v>
      </c>
      <c r="I61" s="535" t="s">
        <v>154</v>
      </c>
      <c r="J61" s="291"/>
      <c r="K61" s="291"/>
      <c r="L61" s="291"/>
      <c r="M61" s="593"/>
    </row>
    <row r="62" spans="2:13" ht="34.9" x14ac:dyDescent="0.4">
      <c r="B62" s="1191"/>
      <c r="C62" s="1195"/>
      <c r="D62" s="1199" t="s">
        <v>161</v>
      </c>
      <c r="E62" s="179" t="s">
        <v>130</v>
      </c>
      <c r="F62" s="171"/>
      <c r="G62" s="132"/>
      <c r="H62" s="157" t="s">
        <v>131</v>
      </c>
      <c r="I62" s="534" t="s">
        <v>133</v>
      </c>
      <c r="J62" s="285"/>
      <c r="K62" s="285"/>
      <c r="L62" s="285"/>
      <c r="M62" s="590"/>
    </row>
    <row r="63" spans="2:13" ht="23.25" x14ac:dyDescent="0.4">
      <c r="B63" s="1191"/>
      <c r="C63" s="1195"/>
      <c r="D63" s="1186"/>
      <c r="E63" s="426" t="s">
        <v>134</v>
      </c>
      <c r="F63" s="144" t="s">
        <v>39</v>
      </c>
      <c r="G63" s="136" t="s">
        <v>135</v>
      </c>
      <c r="H63" s="153"/>
      <c r="I63" s="532">
        <v>23</v>
      </c>
      <c r="J63" s="287"/>
      <c r="K63" s="287"/>
      <c r="L63" s="287"/>
      <c r="M63" s="591"/>
    </row>
    <row r="64" spans="2:13" ht="23.25" x14ac:dyDescent="0.4">
      <c r="B64" s="1191"/>
      <c r="C64" s="1195"/>
      <c r="D64" s="1186"/>
      <c r="E64" s="180" t="s">
        <v>136</v>
      </c>
      <c r="F64" s="172" t="s">
        <v>137</v>
      </c>
      <c r="G64" s="137" t="s">
        <v>138</v>
      </c>
      <c r="H64" s="138"/>
      <c r="I64" s="531">
        <v>0</v>
      </c>
      <c r="J64" s="287"/>
      <c r="K64" s="287"/>
      <c r="L64" s="287"/>
      <c r="M64" s="591"/>
    </row>
    <row r="65" spans="2:13" ht="46.5" x14ac:dyDescent="0.4">
      <c r="B65" s="1191"/>
      <c r="C65" s="1195"/>
      <c r="D65" s="1186"/>
      <c r="E65" s="426" t="s">
        <v>139</v>
      </c>
      <c r="F65" s="144" t="s">
        <v>140</v>
      </c>
      <c r="G65" s="136" t="s">
        <v>141</v>
      </c>
      <c r="H65" s="153"/>
      <c r="I65" s="532">
        <v>0.68</v>
      </c>
      <c r="J65" s="287"/>
      <c r="K65" s="287"/>
      <c r="L65" s="287"/>
      <c r="M65" s="591"/>
    </row>
    <row r="66" spans="2:13" ht="15" x14ac:dyDescent="0.4">
      <c r="B66" s="1191"/>
      <c r="C66" s="1195"/>
      <c r="D66" s="1186"/>
      <c r="E66" s="180" t="s">
        <v>142</v>
      </c>
      <c r="F66" s="172" t="s">
        <v>143</v>
      </c>
      <c r="G66" s="137"/>
      <c r="H66" s="138"/>
      <c r="I66" s="531">
        <v>0</v>
      </c>
      <c r="J66" s="287"/>
      <c r="K66" s="287"/>
      <c r="L66" s="287"/>
      <c r="M66" s="591"/>
    </row>
    <row r="67" spans="2:13" ht="15" x14ac:dyDescent="0.4">
      <c r="B67" s="1191"/>
      <c r="C67" s="1195"/>
      <c r="D67" s="1186"/>
      <c r="E67" s="426" t="s">
        <v>144</v>
      </c>
      <c r="F67" s="144" t="s">
        <v>143</v>
      </c>
      <c r="G67" s="136"/>
      <c r="H67" s="153"/>
      <c r="I67" s="532">
        <v>769.72</v>
      </c>
      <c r="J67" s="287"/>
      <c r="K67" s="287"/>
      <c r="L67" s="287"/>
      <c r="M67" s="591"/>
    </row>
    <row r="68" spans="2:13" ht="15" x14ac:dyDescent="0.4">
      <c r="B68" s="1191"/>
      <c r="C68" s="1195"/>
      <c r="D68" s="1186"/>
      <c r="E68" s="180" t="s">
        <v>68</v>
      </c>
      <c r="F68" s="172" t="s">
        <v>77</v>
      </c>
      <c r="G68" s="137"/>
      <c r="H68" s="138"/>
      <c r="I68" s="531">
        <v>40</v>
      </c>
      <c r="J68" s="287"/>
      <c r="K68" s="287"/>
      <c r="L68" s="287"/>
      <c r="M68" s="591"/>
    </row>
    <row r="69" spans="2:13" ht="23.25" x14ac:dyDescent="0.4">
      <c r="B69" s="1191"/>
      <c r="C69" s="1195"/>
      <c r="D69" s="1186"/>
      <c r="E69" s="426" t="s">
        <v>150</v>
      </c>
      <c r="F69" s="144"/>
      <c r="G69" s="136"/>
      <c r="H69" s="153" t="s">
        <v>51</v>
      </c>
      <c r="I69" s="532" t="s">
        <v>151</v>
      </c>
      <c r="J69" s="289"/>
      <c r="K69" s="289"/>
      <c r="L69" s="289"/>
      <c r="M69" s="592"/>
    </row>
    <row r="70" spans="2:13" ht="15.4" thickBot="1" x14ac:dyDescent="0.45">
      <c r="B70" s="1191"/>
      <c r="C70" s="1195"/>
      <c r="D70" s="1187"/>
      <c r="E70" s="181" t="s">
        <v>152</v>
      </c>
      <c r="F70" s="173"/>
      <c r="G70" s="159"/>
      <c r="H70" s="160" t="s">
        <v>153</v>
      </c>
      <c r="I70" s="533" t="s">
        <v>154</v>
      </c>
      <c r="J70" s="291"/>
      <c r="K70" s="291"/>
      <c r="L70" s="291"/>
      <c r="M70" s="593"/>
    </row>
    <row r="71" spans="2:13" ht="34.9" x14ac:dyDescent="0.4">
      <c r="B71" s="1191"/>
      <c r="C71" s="1195"/>
      <c r="D71" s="1199" t="s">
        <v>162</v>
      </c>
      <c r="E71" s="424" t="s">
        <v>130</v>
      </c>
      <c r="F71" s="425"/>
      <c r="G71" s="133"/>
      <c r="H71" s="134" t="s">
        <v>131</v>
      </c>
      <c r="I71" s="530" t="s">
        <v>132</v>
      </c>
      <c r="J71" s="285"/>
      <c r="K71" s="285"/>
      <c r="L71" s="285"/>
      <c r="M71" s="590"/>
    </row>
    <row r="72" spans="2:13" ht="23.25" x14ac:dyDescent="0.4">
      <c r="B72" s="1191"/>
      <c r="C72" s="1195"/>
      <c r="D72" s="1186"/>
      <c r="E72" s="180" t="s">
        <v>134</v>
      </c>
      <c r="F72" s="172" t="s">
        <v>39</v>
      </c>
      <c r="G72" s="137" t="s">
        <v>135</v>
      </c>
      <c r="H72" s="138"/>
      <c r="I72" s="531">
        <v>22.1</v>
      </c>
      <c r="J72" s="287"/>
      <c r="K72" s="287"/>
      <c r="L72" s="287"/>
      <c r="M72" s="591"/>
    </row>
    <row r="73" spans="2:13" ht="23.25" x14ac:dyDescent="0.4">
      <c r="B73" s="1191"/>
      <c r="C73" s="1195"/>
      <c r="D73" s="1186"/>
      <c r="E73" s="426" t="s">
        <v>136</v>
      </c>
      <c r="F73" s="144" t="s">
        <v>137</v>
      </c>
      <c r="G73" s="136" t="s">
        <v>138</v>
      </c>
      <c r="H73" s="153"/>
      <c r="I73" s="532">
        <v>0</v>
      </c>
      <c r="J73" s="287"/>
      <c r="K73" s="287"/>
      <c r="L73" s="287"/>
      <c r="M73" s="591"/>
    </row>
    <row r="74" spans="2:13" ht="46.5" x14ac:dyDescent="0.4">
      <c r="B74" s="1191"/>
      <c r="C74" s="1195"/>
      <c r="D74" s="1186"/>
      <c r="E74" s="180" t="s">
        <v>139</v>
      </c>
      <c r="F74" s="172" t="s">
        <v>140</v>
      </c>
      <c r="G74" s="137" t="s">
        <v>141</v>
      </c>
      <c r="H74" s="138"/>
      <c r="I74" s="531">
        <v>0</v>
      </c>
      <c r="J74" s="287"/>
      <c r="K74" s="287"/>
      <c r="L74" s="287"/>
      <c r="M74" s="591"/>
    </row>
    <row r="75" spans="2:13" ht="15" x14ac:dyDescent="0.4">
      <c r="B75" s="1191"/>
      <c r="C75" s="1195"/>
      <c r="D75" s="1186"/>
      <c r="E75" s="426" t="s">
        <v>142</v>
      </c>
      <c r="F75" s="144" t="s">
        <v>143</v>
      </c>
      <c r="G75" s="136"/>
      <c r="H75" s="153"/>
      <c r="I75" s="532">
        <v>0</v>
      </c>
      <c r="J75" s="287"/>
      <c r="K75" s="287"/>
      <c r="L75" s="287"/>
      <c r="M75" s="591"/>
    </row>
    <row r="76" spans="2:13" ht="15" x14ac:dyDescent="0.4">
      <c r="B76" s="1191"/>
      <c r="C76" s="1195"/>
      <c r="D76" s="1186"/>
      <c r="E76" s="180" t="s">
        <v>144</v>
      </c>
      <c r="F76" s="172" t="s">
        <v>143</v>
      </c>
      <c r="G76" s="137"/>
      <c r="H76" s="138"/>
      <c r="I76" s="531">
        <v>449.42</v>
      </c>
      <c r="J76" s="287"/>
      <c r="K76" s="287"/>
      <c r="L76" s="287"/>
      <c r="M76" s="591"/>
    </row>
    <row r="77" spans="2:13" ht="15" x14ac:dyDescent="0.4">
      <c r="B77" s="1191"/>
      <c r="C77" s="1195"/>
      <c r="D77" s="1186"/>
      <c r="E77" s="426" t="s">
        <v>68</v>
      </c>
      <c r="F77" s="144" t="s">
        <v>77</v>
      </c>
      <c r="G77" s="136"/>
      <c r="H77" s="153"/>
      <c r="I77" s="532">
        <v>45</v>
      </c>
      <c r="J77" s="287"/>
      <c r="K77" s="287"/>
      <c r="L77" s="287"/>
      <c r="M77" s="591"/>
    </row>
    <row r="78" spans="2:13" ht="23.25" x14ac:dyDescent="0.4">
      <c r="B78" s="1191"/>
      <c r="C78" s="1195"/>
      <c r="D78" s="1186"/>
      <c r="E78" s="180" t="s">
        <v>150</v>
      </c>
      <c r="F78" s="172"/>
      <c r="G78" s="137"/>
      <c r="H78" s="138" t="s">
        <v>51</v>
      </c>
      <c r="I78" s="531" t="s">
        <v>151</v>
      </c>
      <c r="J78" s="289"/>
      <c r="K78" s="289"/>
      <c r="L78" s="289"/>
      <c r="M78" s="592"/>
    </row>
    <row r="79" spans="2:13" ht="15.4" thickBot="1" x14ac:dyDescent="0.45">
      <c r="B79" s="1191"/>
      <c r="C79" s="1195"/>
      <c r="D79" s="1187"/>
      <c r="E79" s="427" t="s">
        <v>152</v>
      </c>
      <c r="F79" s="428"/>
      <c r="G79" s="148"/>
      <c r="H79" s="149" t="s">
        <v>153</v>
      </c>
      <c r="I79" s="535" t="s">
        <v>154</v>
      </c>
      <c r="J79" s="291"/>
      <c r="K79" s="291"/>
      <c r="L79" s="291"/>
      <c r="M79" s="593"/>
    </row>
    <row r="80" spans="2:13" ht="15" x14ac:dyDescent="0.4">
      <c r="B80" s="1191"/>
      <c r="C80" s="1195"/>
      <c r="D80" s="1196" t="s">
        <v>163</v>
      </c>
      <c r="E80" s="182" t="s">
        <v>164</v>
      </c>
      <c r="F80" s="174" t="s">
        <v>137</v>
      </c>
      <c r="G80" s="150"/>
      <c r="H80" s="175"/>
      <c r="I80" s="531">
        <v>3.8</v>
      </c>
      <c r="J80" s="285"/>
      <c r="K80" s="285"/>
      <c r="L80" s="285"/>
      <c r="M80" s="590"/>
    </row>
    <row r="81" spans="2:13" ht="23.25" x14ac:dyDescent="0.4">
      <c r="B81" s="1191"/>
      <c r="C81" s="1195"/>
      <c r="D81" s="1197"/>
      <c r="E81" s="429" t="s">
        <v>165</v>
      </c>
      <c r="F81" s="144"/>
      <c r="G81" s="136"/>
      <c r="H81" s="153" t="s">
        <v>51</v>
      </c>
      <c r="I81" s="532" t="s">
        <v>48</v>
      </c>
      <c r="J81" s="287"/>
      <c r="K81" s="287"/>
      <c r="L81" s="287"/>
      <c r="M81" s="591"/>
    </row>
    <row r="82" spans="2:13" ht="15" x14ac:dyDescent="0.4">
      <c r="B82" s="1191"/>
      <c r="C82" s="1195"/>
      <c r="D82" s="1197"/>
      <c r="E82" s="177" t="s">
        <v>166</v>
      </c>
      <c r="F82" s="172"/>
      <c r="G82" s="137"/>
      <c r="H82" s="138" t="s">
        <v>167</v>
      </c>
      <c r="I82" s="531" t="s">
        <v>168</v>
      </c>
      <c r="J82" s="287"/>
      <c r="K82" s="287"/>
      <c r="L82" s="287"/>
      <c r="M82" s="591"/>
    </row>
    <row r="83" spans="2:13" ht="15" x14ac:dyDescent="0.4">
      <c r="B83" s="1191"/>
      <c r="C83" s="1195"/>
      <c r="D83" s="1197"/>
      <c r="E83" s="429" t="s">
        <v>170</v>
      </c>
      <c r="F83" s="144"/>
      <c r="G83" s="136"/>
      <c r="H83" s="153" t="s">
        <v>167</v>
      </c>
      <c r="I83" s="532" t="s">
        <v>168</v>
      </c>
      <c r="J83" s="287"/>
      <c r="K83" s="287"/>
      <c r="L83" s="287"/>
      <c r="M83" s="591"/>
    </row>
    <row r="84" spans="2:13" ht="15" x14ac:dyDescent="0.4">
      <c r="B84" s="1191"/>
      <c r="C84" s="1195"/>
      <c r="D84" s="1197"/>
      <c r="E84" s="177" t="s">
        <v>171</v>
      </c>
      <c r="F84" s="172"/>
      <c r="G84" s="137"/>
      <c r="H84" s="138" t="s">
        <v>167</v>
      </c>
      <c r="I84" s="531" t="s">
        <v>168</v>
      </c>
      <c r="J84" s="287"/>
      <c r="K84" s="287"/>
      <c r="L84" s="287"/>
      <c r="M84" s="591"/>
    </row>
    <row r="85" spans="2:13" ht="15" x14ac:dyDescent="0.4">
      <c r="B85" s="1191"/>
      <c r="C85" s="1195"/>
      <c r="D85" s="1197"/>
      <c r="E85" s="429" t="s">
        <v>172</v>
      </c>
      <c r="F85" s="144"/>
      <c r="G85" s="136"/>
      <c r="H85" s="153" t="s">
        <v>167</v>
      </c>
      <c r="I85" s="532" t="s">
        <v>168</v>
      </c>
      <c r="J85" s="287"/>
      <c r="K85" s="287"/>
      <c r="L85" s="287"/>
      <c r="M85" s="591"/>
    </row>
    <row r="86" spans="2:13" ht="15" x14ac:dyDescent="0.4">
      <c r="B86" s="1191"/>
      <c r="C86" s="1195"/>
      <c r="D86" s="1197"/>
      <c r="E86" s="177" t="s">
        <v>173</v>
      </c>
      <c r="F86" s="172"/>
      <c r="G86" s="137"/>
      <c r="H86" s="138" t="s">
        <v>174</v>
      </c>
      <c r="I86" s="531" t="s">
        <v>154</v>
      </c>
      <c r="J86" s="287"/>
      <c r="K86" s="287"/>
      <c r="L86" s="287"/>
      <c r="M86" s="591"/>
    </row>
    <row r="87" spans="2:13" ht="15" x14ac:dyDescent="0.4">
      <c r="B87" s="1191"/>
      <c r="C87" s="1195"/>
      <c r="D87" s="1197"/>
      <c r="E87" s="429" t="s">
        <v>175</v>
      </c>
      <c r="F87" s="144"/>
      <c r="G87" s="136"/>
      <c r="H87" s="153" t="s">
        <v>167</v>
      </c>
      <c r="I87" s="532" t="s">
        <v>168</v>
      </c>
      <c r="J87" s="287"/>
      <c r="K87" s="287"/>
      <c r="L87" s="287"/>
      <c r="M87" s="591"/>
    </row>
    <row r="88" spans="2:13" ht="23.25" x14ac:dyDescent="0.4">
      <c r="B88" s="1191"/>
      <c r="C88" s="1195"/>
      <c r="D88" s="1197"/>
      <c r="E88" s="177" t="s">
        <v>176</v>
      </c>
      <c r="F88" s="172"/>
      <c r="G88" s="137"/>
      <c r="H88" s="138" t="s">
        <v>51</v>
      </c>
      <c r="I88" s="531" t="s">
        <v>151</v>
      </c>
      <c r="J88" s="287"/>
      <c r="K88" s="287"/>
      <c r="L88" s="287"/>
      <c r="M88" s="591"/>
    </row>
    <row r="89" spans="2:13" ht="23.65" thickBot="1" x14ac:dyDescent="0.45">
      <c r="B89" s="1192"/>
      <c r="C89" s="1195"/>
      <c r="D89" s="1198"/>
      <c r="E89" s="430" t="s">
        <v>177</v>
      </c>
      <c r="F89" s="431"/>
      <c r="G89" s="154"/>
      <c r="H89" s="156" t="s">
        <v>51</v>
      </c>
      <c r="I89" s="532" t="s">
        <v>151</v>
      </c>
      <c r="J89" s="293"/>
      <c r="K89" s="293"/>
      <c r="L89" s="293"/>
      <c r="M89" s="594"/>
    </row>
    <row r="90" spans="2:13" ht="23.65" thickBot="1" x14ac:dyDescent="0.45">
      <c r="B90" s="1207" t="s">
        <v>178</v>
      </c>
      <c r="C90" s="1196" t="s">
        <v>179</v>
      </c>
      <c r="D90" s="1196" t="s">
        <v>179</v>
      </c>
      <c r="E90" s="176" t="s">
        <v>180</v>
      </c>
      <c r="F90" s="171"/>
      <c r="G90" s="132"/>
      <c r="H90" s="157" t="s">
        <v>181</v>
      </c>
      <c r="I90" s="534" t="s">
        <v>133</v>
      </c>
      <c r="J90" s="285"/>
      <c r="K90" s="285"/>
      <c r="L90" s="285"/>
      <c r="M90" s="590"/>
    </row>
    <row r="91" spans="2:13" ht="16.5" customHeight="1" thickBot="1" x14ac:dyDescent="0.45">
      <c r="B91" s="1208"/>
      <c r="C91" s="1197"/>
      <c r="D91" s="1197"/>
      <c r="E91" s="429" t="s">
        <v>182</v>
      </c>
      <c r="F91" s="144" t="s">
        <v>183</v>
      </c>
      <c r="G91" s="136"/>
      <c r="H91" s="153"/>
      <c r="I91" s="532">
        <v>4313.54</v>
      </c>
      <c r="J91" s="285"/>
      <c r="K91" s="285"/>
      <c r="L91" s="285"/>
      <c r="M91" s="590"/>
    </row>
    <row r="92" spans="2:13" ht="16.5" customHeight="1" thickBot="1" x14ac:dyDescent="0.45">
      <c r="B92" s="1208"/>
      <c r="C92" s="1197"/>
      <c r="D92" s="1197"/>
      <c r="E92" s="178" t="s">
        <v>133</v>
      </c>
      <c r="F92" s="173" t="s">
        <v>115</v>
      </c>
      <c r="G92" s="159"/>
      <c r="H92" s="160"/>
      <c r="I92" s="531">
        <v>4.47</v>
      </c>
      <c r="J92" s="285"/>
      <c r="K92" s="285"/>
      <c r="L92" s="285"/>
      <c r="M92" s="590"/>
    </row>
    <row r="93" spans="2:13" ht="16.5" customHeight="1" thickBot="1" x14ac:dyDescent="0.45">
      <c r="B93" s="1208"/>
      <c r="C93" s="1197"/>
      <c r="D93" s="1197"/>
      <c r="E93" s="429" t="s">
        <v>184</v>
      </c>
      <c r="F93" s="144" t="s">
        <v>27</v>
      </c>
      <c r="G93" s="136"/>
      <c r="H93" s="153"/>
      <c r="I93" s="532"/>
      <c r="J93" s="285"/>
      <c r="K93" s="285"/>
      <c r="L93" s="285"/>
      <c r="M93" s="590"/>
    </row>
    <row r="94" spans="2:13" ht="16.5" customHeight="1" thickBot="1" x14ac:dyDescent="0.45">
      <c r="B94" s="1208"/>
      <c r="C94" s="1185"/>
      <c r="D94" s="1185"/>
      <c r="E94" s="178" t="s">
        <v>185</v>
      </c>
      <c r="F94" s="173" t="s">
        <v>48</v>
      </c>
      <c r="G94" s="159"/>
      <c r="H94" s="160"/>
      <c r="I94" s="531" t="s">
        <v>21</v>
      </c>
      <c r="J94" s="285"/>
      <c r="K94" s="285"/>
      <c r="L94" s="285"/>
      <c r="M94" s="590"/>
    </row>
    <row r="95" spans="2:13" ht="23.25" x14ac:dyDescent="0.4">
      <c r="B95" s="1209"/>
      <c r="C95" s="1211" t="s">
        <v>186</v>
      </c>
      <c r="D95" s="1185" t="s">
        <v>187</v>
      </c>
      <c r="E95" s="432" t="s">
        <v>38</v>
      </c>
      <c r="F95" s="433" t="s">
        <v>39</v>
      </c>
      <c r="G95" s="133" t="s">
        <v>188</v>
      </c>
      <c r="H95" s="152"/>
      <c r="I95" s="532">
        <v>46</v>
      </c>
      <c r="J95" s="285"/>
      <c r="K95" s="285"/>
      <c r="L95" s="285"/>
      <c r="M95" s="590"/>
    </row>
    <row r="96" spans="2:13" ht="23.25" x14ac:dyDescent="0.4">
      <c r="B96" s="1209"/>
      <c r="C96" s="1212"/>
      <c r="D96" s="1186"/>
      <c r="E96" s="177" t="s">
        <v>40</v>
      </c>
      <c r="F96" s="172" t="s">
        <v>39</v>
      </c>
      <c r="G96" s="140" t="s">
        <v>188</v>
      </c>
      <c r="H96" s="138"/>
      <c r="I96" s="531">
        <v>51</v>
      </c>
      <c r="J96" s="287"/>
      <c r="K96" s="287"/>
      <c r="L96" s="287"/>
      <c r="M96" s="591"/>
    </row>
    <row r="97" spans="2:13" ht="23.25" x14ac:dyDescent="0.4">
      <c r="B97" s="1209"/>
      <c r="C97" s="1212"/>
      <c r="D97" s="1186"/>
      <c r="E97" s="429" t="s">
        <v>41</v>
      </c>
      <c r="F97" s="144" t="s">
        <v>39</v>
      </c>
      <c r="G97" s="136" t="s">
        <v>188</v>
      </c>
      <c r="H97" s="153"/>
      <c r="I97" s="532">
        <v>44</v>
      </c>
      <c r="J97" s="287"/>
      <c r="K97" s="287"/>
      <c r="L97" s="287"/>
      <c r="M97" s="591"/>
    </row>
    <row r="98" spans="2:13" ht="15" x14ac:dyDescent="0.4">
      <c r="B98" s="1209"/>
      <c r="C98" s="1212"/>
      <c r="D98" s="1186"/>
      <c r="E98" s="177" t="s">
        <v>47</v>
      </c>
      <c r="F98" s="172" t="s">
        <v>48</v>
      </c>
      <c r="G98" s="137"/>
      <c r="H98" s="138"/>
      <c r="I98" s="531">
        <v>0</v>
      </c>
      <c r="J98" s="287"/>
      <c r="K98" s="287"/>
      <c r="L98" s="287"/>
      <c r="M98" s="591"/>
    </row>
    <row r="99" spans="2:13" ht="15" x14ac:dyDescent="0.4">
      <c r="B99" s="1209"/>
      <c r="C99" s="1212"/>
      <c r="D99" s="1186"/>
      <c r="E99" s="429" t="s">
        <v>49</v>
      </c>
      <c r="F99" s="144" t="s">
        <v>48</v>
      </c>
      <c r="G99" s="136"/>
      <c r="H99" s="153"/>
      <c r="I99" s="532">
        <v>0</v>
      </c>
      <c r="J99" s="287"/>
      <c r="K99" s="287"/>
      <c r="L99" s="287"/>
      <c r="M99" s="591"/>
    </row>
    <row r="100" spans="2:13" ht="15" x14ac:dyDescent="0.4">
      <c r="B100" s="1209"/>
      <c r="C100" s="1212"/>
      <c r="D100" s="1186"/>
      <c r="E100" s="177" t="s">
        <v>50</v>
      </c>
      <c r="F100" s="172" t="s">
        <v>48</v>
      </c>
      <c r="G100" s="137"/>
      <c r="H100" s="138"/>
      <c r="I100" s="531">
        <v>0</v>
      </c>
      <c r="J100" s="287"/>
      <c r="K100" s="287"/>
      <c r="L100" s="287"/>
      <c r="M100" s="591"/>
    </row>
    <row r="101" spans="2:13" ht="15" x14ac:dyDescent="0.4">
      <c r="B101" s="1209"/>
      <c r="C101" s="1212"/>
      <c r="D101" s="1186"/>
      <c r="E101" s="429" t="s">
        <v>191</v>
      </c>
      <c r="F101" s="144" t="s">
        <v>27</v>
      </c>
      <c r="G101" s="136"/>
      <c r="H101" s="153"/>
      <c r="I101" s="532">
        <v>220</v>
      </c>
      <c r="J101" s="337"/>
      <c r="K101" s="337"/>
      <c r="L101" s="337"/>
      <c r="M101" s="595"/>
    </row>
    <row r="102" spans="2:13" ht="15" x14ac:dyDescent="0.4">
      <c r="B102" s="1209"/>
      <c r="C102" s="1212"/>
      <c r="D102" s="1186"/>
      <c r="E102" s="177" t="s">
        <v>192</v>
      </c>
      <c r="F102" s="172" t="s">
        <v>27</v>
      </c>
      <c r="G102" s="137"/>
      <c r="H102" s="138"/>
      <c r="I102" s="531">
        <v>220</v>
      </c>
      <c r="J102" s="337"/>
      <c r="K102" s="337"/>
      <c r="L102" s="337"/>
      <c r="M102" s="595"/>
    </row>
    <row r="103" spans="2:13" ht="15" x14ac:dyDescent="0.4">
      <c r="B103" s="1209"/>
      <c r="C103" s="1212"/>
      <c r="D103" s="1186"/>
      <c r="E103" s="429" t="s">
        <v>193</v>
      </c>
      <c r="F103" s="144" t="s">
        <v>27</v>
      </c>
      <c r="G103" s="136"/>
      <c r="H103" s="153"/>
      <c r="I103" s="532">
        <v>220</v>
      </c>
      <c r="J103" s="337"/>
      <c r="K103" s="337"/>
      <c r="L103" s="337"/>
      <c r="M103" s="595"/>
    </row>
    <row r="104" spans="2:13" ht="23.25" x14ac:dyDescent="0.4">
      <c r="B104" s="1209"/>
      <c r="C104" s="1212"/>
      <c r="D104" s="1186"/>
      <c r="E104" s="177" t="s">
        <v>194</v>
      </c>
      <c r="F104" s="172"/>
      <c r="G104" s="137"/>
      <c r="H104" s="138" t="s">
        <v>51</v>
      </c>
      <c r="I104" s="531" t="s">
        <v>151</v>
      </c>
      <c r="J104" s="287"/>
      <c r="K104" s="287"/>
      <c r="L104" s="287"/>
      <c r="M104" s="591"/>
    </row>
    <row r="105" spans="2:13" ht="23.65" thickBot="1" x14ac:dyDescent="0.45">
      <c r="B105" s="1209"/>
      <c r="C105" s="1212"/>
      <c r="D105" s="1186"/>
      <c r="E105" s="429" t="s">
        <v>195</v>
      </c>
      <c r="F105" s="144"/>
      <c r="G105" s="136"/>
      <c r="H105" s="153" t="s">
        <v>51</v>
      </c>
      <c r="I105" s="532" t="s">
        <v>48</v>
      </c>
      <c r="J105" s="287"/>
      <c r="K105" s="287"/>
      <c r="L105" s="287"/>
      <c r="M105" s="591"/>
    </row>
    <row r="106" spans="2:13" ht="23.65" thickBot="1" x14ac:dyDescent="0.45">
      <c r="B106" s="1210"/>
      <c r="C106" s="1213"/>
      <c r="D106" s="1187"/>
      <c r="E106" s="178" t="s">
        <v>53</v>
      </c>
      <c r="F106" s="203" t="s">
        <v>21</v>
      </c>
      <c r="G106" s="203"/>
      <c r="H106" s="204" t="s">
        <v>196</v>
      </c>
      <c r="I106" s="533" t="s">
        <v>856</v>
      </c>
      <c r="J106" s="295"/>
      <c r="K106" s="295"/>
      <c r="L106" s="295"/>
      <c r="M106" s="596"/>
    </row>
    <row r="107" spans="2:13" ht="15.4" thickBot="1" x14ac:dyDescent="0.45">
      <c r="B107" s="123" t="s">
        <v>198</v>
      </c>
      <c r="C107" s="190"/>
      <c r="D107" s="190"/>
      <c r="E107" s="406" t="s">
        <v>199</v>
      </c>
      <c r="F107" s="201"/>
      <c r="G107" s="187"/>
      <c r="H107" s="202"/>
      <c r="I107" s="187" t="s">
        <v>207</v>
      </c>
      <c r="J107" s="340"/>
      <c r="K107" s="604"/>
      <c r="L107" s="605"/>
      <c r="M107" s="597"/>
    </row>
    <row r="108" spans="2:13" ht="17.649999999999999" x14ac:dyDescent="0.4">
      <c r="B108" s="122"/>
      <c r="C108" s="36"/>
      <c r="D108" s="36"/>
      <c r="E108" s="36"/>
      <c r="F108" s="2"/>
      <c r="G108" s="36"/>
      <c r="H108" s="36"/>
      <c r="I108" s="36"/>
    </row>
    <row r="109" spans="2:13" s="5" customFormat="1" thickBot="1" x14ac:dyDescent="0.55000000000000004">
      <c r="C109" s="80"/>
      <c r="D109" s="80"/>
    </row>
    <row r="110" spans="2:13" ht="15.75" customHeight="1" thickBot="1" x14ac:dyDescent="0.45">
      <c r="B110" s="5"/>
      <c r="C110" s="80"/>
      <c r="D110" s="81"/>
      <c r="E110" s="1136" t="s">
        <v>201</v>
      </c>
      <c r="F110" s="1137"/>
      <c r="G110" s="1137"/>
      <c r="H110" s="1138"/>
      <c r="I110" s="521"/>
      <c r="J110" s="601"/>
      <c r="K110" s="601"/>
      <c r="L110" s="601"/>
      <c r="M110" s="598"/>
    </row>
    <row r="111" spans="2:13" ht="15.75" customHeight="1" thickBot="1" x14ac:dyDescent="0.45">
      <c r="B111" s="5"/>
      <c r="C111" s="80"/>
      <c r="D111" s="81"/>
      <c r="E111" s="1136"/>
      <c r="F111" s="1137"/>
      <c r="G111" s="1137"/>
      <c r="H111" s="1138"/>
      <c r="I111" s="32"/>
      <c r="J111" s="602"/>
      <c r="K111" s="602"/>
      <c r="L111" s="602"/>
      <c r="M111" s="599"/>
    </row>
    <row r="112" spans="2:13" ht="16.5" customHeight="1" thickBot="1" x14ac:dyDescent="0.45">
      <c r="B112" s="5"/>
      <c r="C112" s="80"/>
      <c r="D112" s="81"/>
      <c r="E112" s="1136" t="s">
        <v>123</v>
      </c>
      <c r="F112" s="1137"/>
      <c r="G112" s="1137"/>
      <c r="H112" s="1138"/>
      <c r="I112" s="523"/>
      <c r="J112" s="603"/>
      <c r="K112" s="603"/>
      <c r="L112" s="603"/>
      <c r="M112" s="600"/>
    </row>
  </sheetData>
  <mergeCells count="30">
    <mergeCell ref="C8:C89"/>
    <mergeCell ref="D8:D16"/>
    <mergeCell ref="D17:D25"/>
    <mergeCell ref="D26:D34"/>
    <mergeCell ref="B1:H1"/>
    <mergeCell ref="B2:H2"/>
    <mergeCell ref="B3:C3"/>
    <mergeCell ref="D3:E3"/>
    <mergeCell ref="F3:H3"/>
    <mergeCell ref="B5:B6"/>
    <mergeCell ref="C5:D6"/>
    <mergeCell ref="E5:E6"/>
    <mergeCell ref="F5:F6"/>
    <mergeCell ref="G5:G6"/>
    <mergeCell ref="E112:H112"/>
    <mergeCell ref="I5:I7"/>
    <mergeCell ref="B90:B106"/>
    <mergeCell ref="C90:C94"/>
    <mergeCell ref="D90:D94"/>
    <mergeCell ref="C95:C106"/>
    <mergeCell ref="D95:D106"/>
    <mergeCell ref="E110:H111"/>
    <mergeCell ref="D35:D43"/>
    <mergeCell ref="D44:D52"/>
    <mergeCell ref="D53:D61"/>
    <mergeCell ref="D62:D70"/>
    <mergeCell ref="D71:D79"/>
    <mergeCell ref="D80:D89"/>
    <mergeCell ref="H5:H6"/>
    <mergeCell ref="B8:B89"/>
  </mergeCells>
  <conditionalFormatting sqref="J8:XFD8 J17:BQ17 J26:BQ26 J35:BQ35 J44:BQ44 J53:BQ53 J62:BQ62 J71:BQ71 J90:BL90">
    <cfRule type="containsText" dxfId="2" priority="1" operator="containsText" text="R">
      <formula>NOT(ISERROR(SEARCH("R",J8)))</formula>
    </cfRule>
    <cfRule type="containsText" dxfId="1" priority="2" operator="containsText" text="L">
      <formula>NOT(ISERROR(SEARCH("L",J8)))</formula>
    </cfRule>
    <cfRule type="containsText" dxfId="0" priority="3" operator="containsText" text="P">
      <formula>NOT(ISERROR(SEARCH("P",J8)))</formula>
    </cfRule>
  </conditionalFormatting>
  <dataValidations count="1">
    <dataValidation type="list" allowBlank="1" showInputMessage="1" showErrorMessage="1" sqref="J107:M107" xr:uid="{17E6622D-4780-43C6-9C8A-03D0822120EA}">
      <formula1>"C.C, F.M, G.P, I.A, K.T, L.M, L.CH, M.P, M.M"</formula1>
    </dataValidation>
  </dataValidations>
  <pageMargins left="0.25" right="0.25" top="0.75" bottom="0.75" header="0.3" footer="0.3"/>
  <pageSetup paperSize="9" scale="55" fitToHeight="0" orientation="portrait" horizontalDpi="4294967293" r:id="rId1"/>
  <rowBreaks count="1" manualBreakCount="1">
    <brk id="52" max="12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8E0A-0E6A-4983-8031-C64F7B62516C}">
  <sheetPr codeName="Hoja11">
    <pageSetUpPr fitToPage="1"/>
  </sheetPr>
  <dimension ref="B1:L140"/>
  <sheetViews>
    <sheetView view="pageBreakPreview" zoomScale="60" zoomScaleNormal="55" workbookViewId="0">
      <selection activeCell="F61" sqref="F61"/>
    </sheetView>
  </sheetViews>
  <sheetFormatPr baseColWidth="10" defaultColWidth="8.875" defaultRowHeight="16.149999999999999" customHeight="1" x14ac:dyDescent="0.4"/>
  <cols>
    <col min="1" max="1" width="1" style="237" customWidth="1"/>
    <col min="2" max="2" width="13.125" style="3" customWidth="1"/>
    <col min="3" max="3" width="13.125" style="4" customWidth="1"/>
    <col min="4" max="4" width="38.125" style="1" customWidth="1"/>
    <col min="5" max="5" width="11.125" style="1" customWidth="1"/>
    <col min="6" max="6" width="13.625" style="2" customWidth="1"/>
    <col min="7" max="8" width="11.625" style="2" customWidth="1"/>
    <col min="9" max="10" width="8.875" style="237" customWidth="1"/>
    <col min="11" max="16384" width="8.875" style="237"/>
  </cols>
  <sheetData>
    <row r="1" spans="2:12" ht="52.5" customHeight="1" x14ac:dyDescent="0.4">
      <c r="B1" s="1039" t="s">
        <v>0</v>
      </c>
      <c r="C1" s="1039"/>
      <c r="D1" s="1039"/>
      <c r="E1" s="1039"/>
      <c r="F1" s="1039"/>
      <c r="G1" s="1039"/>
      <c r="H1" s="564"/>
    </row>
    <row r="2" spans="2:12" ht="33.75" customHeight="1" x14ac:dyDescent="0.4">
      <c r="B2" s="1040" t="s">
        <v>1</v>
      </c>
      <c r="C2" s="1041"/>
      <c r="D2" s="1041"/>
      <c r="E2" s="1041"/>
      <c r="F2" s="1041"/>
      <c r="G2" s="1041"/>
      <c r="H2" s="528"/>
    </row>
    <row r="3" spans="2:12" ht="39.75" customHeight="1" x14ac:dyDescent="0.4">
      <c r="B3" s="1164" t="s">
        <v>2</v>
      </c>
      <c r="C3" s="1165"/>
      <c r="D3" s="1166" t="s">
        <v>3</v>
      </c>
      <c r="E3" s="1166"/>
      <c r="F3" s="1167" t="s">
        <v>4</v>
      </c>
      <c r="G3" s="1167"/>
      <c r="H3" s="607"/>
    </row>
    <row r="4" spans="2:12" ht="4.5" customHeight="1" thickBot="1" x14ac:dyDescent="0.45">
      <c r="B4" s="31"/>
      <c r="C4" s="31"/>
      <c r="D4" s="31"/>
      <c r="E4" s="31"/>
      <c r="F4" s="31"/>
      <c r="G4" s="31"/>
      <c r="H4" s="31"/>
    </row>
    <row r="5" spans="2:12" ht="26.65" thickBot="1" x14ac:dyDescent="0.45">
      <c r="B5" s="1168" t="s">
        <v>5</v>
      </c>
      <c r="C5" s="1169"/>
      <c r="D5" s="70" t="s">
        <v>6</v>
      </c>
      <c r="E5" s="71" t="s">
        <v>7</v>
      </c>
      <c r="F5" s="71" t="s">
        <v>8</v>
      </c>
      <c r="G5" s="620" t="s">
        <v>9</v>
      </c>
      <c r="H5" s="1479"/>
      <c r="I5" s="606">
        <v>46082</v>
      </c>
      <c r="J5" s="606">
        <f>I5+1</f>
        <v>46083</v>
      </c>
      <c r="K5" s="606">
        <f>J5+1</f>
        <v>46084</v>
      </c>
      <c r="L5" s="606">
        <f>K5+1</f>
        <v>46085</v>
      </c>
    </row>
    <row r="6" spans="2:12" ht="16.149999999999999" customHeight="1" thickBot="1" x14ac:dyDescent="0.45">
      <c r="B6" s="77"/>
      <c r="C6" s="76"/>
      <c r="D6" s="75"/>
      <c r="E6" s="74"/>
      <c r="F6" s="74"/>
      <c r="G6" s="621"/>
      <c r="H6" s="1480"/>
      <c r="I6" s="1482" t="s">
        <v>857</v>
      </c>
      <c r="J6" s="1482" t="s">
        <v>857</v>
      </c>
      <c r="K6" s="1482" t="s">
        <v>857</v>
      </c>
      <c r="L6" s="1482" t="s">
        <v>857</v>
      </c>
    </row>
    <row r="7" spans="2:12" s="242" customFormat="1" ht="16.149999999999999" customHeight="1" thickBot="1" x14ac:dyDescent="0.55000000000000004">
      <c r="B7" s="318" t="s">
        <v>10</v>
      </c>
      <c r="C7" s="319" t="s">
        <v>10</v>
      </c>
      <c r="D7" s="320" t="s">
        <v>11</v>
      </c>
      <c r="E7" s="321" t="s">
        <v>12</v>
      </c>
      <c r="F7" s="321"/>
      <c r="G7" s="622" t="s">
        <v>13</v>
      </c>
      <c r="H7" s="1481"/>
      <c r="I7" s="1483"/>
      <c r="J7" s="1483"/>
      <c r="K7" s="1483"/>
      <c r="L7" s="1483"/>
    </row>
    <row r="8" spans="2:12" s="238" customFormat="1" ht="20.25" customHeight="1" x14ac:dyDescent="0.5">
      <c r="B8" s="1150" t="s">
        <v>14</v>
      </c>
      <c r="C8" s="1139" t="s">
        <v>15</v>
      </c>
      <c r="D8" s="434" t="s">
        <v>16</v>
      </c>
      <c r="E8" s="435" t="s">
        <v>17</v>
      </c>
      <c r="F8" s="435" t="s">
        <v>858</v>
      </c>
      <c r="G8" s="468"/>
      <c r="H8" s="634"/>
      <c r="I8" s="608"/>
      <c r="J8" s="608"/>
      <c r="K8" s="608"/>
      <c r="L8" s="608"/>
    </row>
    <row r="9" spans="2:12" s="238" customFormat="1" ht="15" x14ac:dyDescent="0.5">
      <c r="B9" s="1151"/>
      <c r="C9" s="1140"/>
      <c r="D9" s="188" t="s">
        <v>18</v>
      </c>
      <c r="E9" s="129" t="s">
        <v>19</v>
      </c>
      <c r="F9" s="129" t="s">
        <v>20</v>
      </c>
      <c r="G9" s="623" t="s">
        <v>21</v>
      </c>
      <c r="H9" s="635" t="s">
        <v>154</v>
      </c>
      <c r="I9" s="594"/>
      <c r="J9" s="594"/>
      <c r="K9" s="594"/>
      <c r="L9" s="594"/>
    </row>
    <row r="10" spans="2:12" s="238" customFormat="1" ht="15.4" thickBot="1" x14ac:dyDescent="0.55000000000000004">
      <c r="B10" s="1152"/>
      <c r="C10" s="1153"/>
      <c r="D10" s="437" t="s">
        <v>22</v>
      </c>
      <c r="E10" s="21"/>
      <c r="F10" s="21" t="s">
        <v>23</v>
      </c>
      <c r="G10" s="543"/>
      <c r="H10" s="636" t="s">
        <v>859</v>
      </c>
      <c r="I10" s="609"/>
      <c r="J10" s="609"/>
      <c r="K10" s="609"/>
      <c r="L10" s="609"/>
    </row>
    <row r="11" spans="2:12" s="238" customFormat="1" ht="15.75" customHeight="1" x14ac:dyDescent="0.5">
      <c r="B11" s="1154" t="s">
        <v>24</v>
      </c>
      <c r="C11" s="1143" t="s">
        <v>25</v>
      </c>
      <c r="D11" s="206" t="s">
        <v>26</v>
      </c>
      <c r="E11" s="189" t="s">
        <v>27</v>
      </c>
      <c r="F11" s="189"/>
      <c r="G11" s="624">
        <v>22.9</v>
      </c>
      <c r="H11" s="117">
        <v>22.9</v>
      </c>
      <c r="I11" s="610"/>
      <c r="J11" s="610"/>
      <c r="K11" s="610"/>
      <c r="L11" s="610"/>
    </row>
    <row r="12" spans="2:12" s="238" customFormat="1" ht="15" x14ac:dyDescent="0.5">
      <c r="B12" s="1155"/>
      <c r="C12" s="1145"/>
      <c r="D12" s="438" t="s">
        <v>28</v>
      </c>
      <c r="E12" s="439" t="s">
        <v>27</v>
      </c>
      <c r="F12" s="439"/>
      <c r="G12" s="441">
        <v>22.9</v>
      </c>
      <c r="H12" s="634">
        <v>22.9</v>
      </c>
      <c r="I12" s="611"/>
      <c r="J12" s="611"/>
      <c r="K12" s="611"/>
      <c r="L12" s="611"/>
    </row>
    <row r="13" spans="2:12" s="238" customFormat="1" ht="15" x14ac:dyDescent="0.5">
      <c r="B13" s="1155"/>
      <c r="C13" s="1145"/>
      <c r="D13" s="208" t="s">
        <v>29</v>
      </c>
      <c r="E13" s="209" t="s">
        <v>27</v>
      </c>
      <c r="F13" s="209"/>
      <c r="G13" s="210">
        <v>22.9</v>
      </c>
      <c r="H13" s="635">
        <v>22.9</v>
      </c>
      <c r="I13" s="612"/>
      <c r="J13" s="612"/>
      <c r="K13" s="612"/>
      <c r="L13" s="612"/>
    </row>
    <row r="14" spans="2:12" s="238" customFormat="1" ht="30.4" x14ac:dyDescent="0.5">
      <c r="B14" s="1155"/>
      <c r="C14" s="1145"/>
      <c r="D14" s="438" t="s">
        <v>30</v>
      </c>
      <c r="E14" s="439" t="s">
        <v>21</v>
      </c>
      <c r="F14" s="439" t="s">
        <v>21</v>
      </c>
      <c r="G14" s="441" t="s">
        <v>31</v>
      </c>
      <c r="H14" s="634" t="s">
        <v>356</v>
      </c>
      <c r="I14" s="612"/>
      <c r="J14" s="612"/>
      <c r="K14" s="612"/>
      <c r="L14" s="612"/>
    </row>
    <row r="15" spans="2:12" s="238" customFormat="1" ht="20.65" thickBot="1" x14ac:dyDescent="0.55000000000000004">
      <c r="B15" s="1155"/>
      <c r="C15" s="1157"/>
      <c r="D15" s="211" t="s">
        <v>32</v>
      </c>
      <c r="E15" s="212" t="s">
        <v>21</v>
      </c>
      <c r="F15" s="212" t="s">
        <v>21</v>
      </c>
      <c r="G15" s="213" t="s">
        <v>33</v>
      </c>
      <c r="H15" s="525" t="s">
        <v>151</v>
      </c>
      <c r="I15" s="613"/>
      <c r="J15" s="613"/>
      <c r="K15" s="613"/>
      <c r="L15" s="613"/>
    </row>
    <row r="16" spans="2:12" s="238" customFormat="1" ht="30.4" x14ac:dyDescent="0.5">
      <c r="B16" s="1155"/>
      <c r="C16" s="1158" t="s">
        <v>34</v>
      </c>
      <c r="D16" s="442" t="s">
        <v>30</v>
      </c>
      <c r="E16" s="443" t="s">
        <v>21</v>
      </c>
      <c r="F16" s="443" t="s">
        <v>21</v>
      </c>
      <c r="G16" s="453" t="s">
        <v>31</v>
      </c>
      <c r="H16" s="637" t="s">
        <v>356</v>
      </c>
      <c r="I16" s="610"/>
      <c r="J16" s="610"/>
      <c r="K16" s="610"/>
      <c r="L16" s="610"/>
    </row>
    <row r="17" spans="2:12" s="238" customFormat="1" ht="20.65" thickBot="1" x14ac:dyDescent="0.55000000000000004">
      <c r="B17" s="1155"/>
      <c r="C17" s="1157"/>
      <c r="D17" s="211" t="s">
        <v>32</v>
      </c>
      <c r="E17" s="212" t="s">
        <v>21</v>
      </c>
      <c r="F17" s="212" t="s">
        <v>21</v>
      </c>
      <c r="G17" s="213" t="s">
        <v>33</v>
      </c>
      <c r="H17" s="525" t="s">
        <v>151</v>
      </c>
      <c r="I17" s="613"/>
      <c r="J17" s="613"/>
      <c r="K17" s="613"/>
      <c r="L17" s="613"/>
    </row>
    <row r="18" spans="2:12" s="238" customFormat="1" ht="15" x14ac:dyDescent="0.5">
      <c r="B18" s="1155"/>
      <c r="C18" s="1143" t="s">
        <v>35</v>
      </c>
      <c r="D18" s="445" t="s">
        <v>26</v>
      </c>
      <c r="E18" s="446" t="s">
        <v>36</v>
      </c>
      <c r="F18" s="443"/>
      <c r="G18" s="447">
        <v>22.9</v>
      </c>
      <c r="H18" s="637">
        <v>12.92</v>
      </c>
      <c r="I18" s="610"/>
      <c r="J18" s="610"/>
      <c r="K18" s="610"/>
      <c r="L18" s="610"/>
    </row>
    <row r="19" spans="2:12" s="238" customFormat="1" ht="15" x14ac:dyDescent="0.5">
      <c r="B19" s="1155"/>
      <c r="C19" s="1145"/>
      <c r="D19" s="216" t="s">
        <v>28</v>
      </c>
      <c r="E19" s="209" t="s">
        <v>36</v>
      </c>
      <c r="F19" s="209"/>
      <c r="G19" s="210">
        <v>22.9</v>
      </c>
      <c r="H19" s="635">
        <v>12.8</v>
      </c>
      <c r="I19" s="612"/>
      <c r="J19" s="612"/>
      <c r="K19" s="612"/>
      <c r="L19" s="612"/>
    </row>
    <row r="20" spans="2:12" s="238" customFormat="1" ht="15" x14ac:dyDescent="0.5">
      <c r="B20" s="1155"/>
      <c r="C20" s="1145"/>
      <c r="D20" s="448" t="s">
        <v>29</v>
      </c>
      <c r="E20" s="439" t="s">
        <v>36</v>
      </c>
      <c r="F20" s="439"/>
      <c r="G20" s="441">
        <v>22.9</v>
      </c>
      <c r="H20" s="634">
        <v>12.46</v>
      </c>
      <c r="I20" s="612"/>
      <c r="J20" s="612"/>
      <c r="K20" s="612"/>
      <c r="L20" s="612"/>
    </row>
    <row r="21" spans="2:12" s="238" customFormat="1" ht="30.4" x14ac:dyDescent="0.5">
      <c r="B21" s="1155"/>
      <c r="C21" s="1145"/>
      <c r="D21" s="407" t="s">
        <v>30</v>
      </c>
      <c r="E21" s="209" t="s">
        <v>21</v>
      </c>
      <c r="F21" s="209" t="s">
        <v>21</v>
      </c>
      <c r="G21" s="210" t="s">
        <v>31</v>
      </c>
      <c r="H21" s="635" t="s">
        <v>356</v>
      </c>
      <c r="I21" s="612"/>
      <c r="J21" s="612"/>
      <c r="K21" s="612"/>
      <c r="L21" s="612"/>
    </row>
    <row r="22" spans="2:12" s="238" customFormat="1" ht="20.65" thickBot="1" x14ac:dyDescent="0.55000000000000004">
      <c r="B22" s="1155"/>
      <c r="C22" s="1147"/>
      <c r="D22" s="449" t="s">
        <v>32</v>
      </c>
      <c r="E22" s="450" t="s">
        <v>21</v>
      </c>
      <c r="F22" s="450" t="s">
        <v>21</v>
      </c>
      <c r="G22" s="451" t="s">
        <v>33</v>
      </c>
      <c r="H22" s="636" t="s">
        <v>48</v>
      </c>
      <c r="I22" s="613"/>
      <c r="J22" s="613"/>
      <c r="K22" s="613"/>
      <c r="L22" s="613"/>
    </row>
    <row r="23" spans="2:12" s="238" customFormat="1" ht="15.75" customHeight="1" x14ac:dyDescent="0.5">
      <c r="B23" s="1155"/>
      <c r="C23" s="1143" t="s">
        <v>37</v>
      </c>
      <c r="D23" s="218" t="s">
        <v>38</v>
      </c>
      <c r="E23" s="214" t="s">
        <v>39</v>
      </c>
      <c r="F23" s="214"/>
      <c r="G23" s="219"/>
      <c r="H23" s="117">
        <v>59.3</v>
      </c>
      <c r="I23" s="610"/>
      <c r="J23" s="610"/>
      <c r="K23" s="610"/>
      <c r="L23" s="610"/>
    </row>
    <row r="24" spans="2:12" s="238" customFormat="1" ht="15" x14ac:dyDescent="0.5">
      <c r="B24" s="1155"/>
      <c r="C24" s="1145"/>
      <c r="D24" s="448" t="s">
        <v>40</v>
      </c>
      <c r="E24" s="439" t="s">
        <v>39</v>
      </c>
      <c r="F24" s="439"/>
      <c r="G24" s="441"/>
      <c r="H24" s="634">
        <v>44.6</v>
      </c>
      <c r="I24" s="612"/>
      <c r="J24" s="612"/>
      <c r="K24" s="612"/>
      <c r="L24" s="612"/>
    </row>
    <row r="25" spans="2:12" s="238" customFormat="1" ht="15.4" thickBot="1" x14ac:dyDescent="0.55000000000000004">
      <c r="B25" s="1155"/>
      <c r="C25" s="1147"/>
      <c r="D25" s="217" t="s">
        <v>41</v>
      </c>
      <c r="E25" s="212" t="s">
        <v>39</v>
      </c>
      <c r="F25" s="212" t="s">
        <v>854</v>
      </c>
      <c r="G25" s="213"/>
      <c r="H25" s="525">
        <v>41.7</v>
      </c>
      <c r="I25" s="613"/>
      <c r="J25" s="613"/>
      <c r="K25" s="613"/>
      <c r="L25" s="613"/>
    </row>
    <row r="26" spans="2:12" s="238" customFormat="1" ht="15" x14ac:dyDescent="0.5">
      <c r="B26" s="1155"/>
      <c r="C26" s="1143" t="s">
        <v>42</v>
      </c>
      <c r="D26" s="452" t="s">
        <v>26</v>
      </c>
      <c r="E26" s="443" t="s">
        <v>27</v>
      </c>
      <c r="F26" s="443"/>
      <c r="G26" s="453"/>
      <c r="H26" s="637">
        <v>221.4</v>
      </c>
      <c r="I26" s="610"/>
      <c r="J26" s="610"/>
      <c r="K26" s="610"/>
      <c r="L26" s="610"/>
    </row>
    <row r="27" spans="2:12" s="238" customFormat="1" ht="15" x14ac:dyDescent="0.5">
      <c r="B27" s="1155"/>
      <c r="C27" s="1145"/>
      <c r="D27" s="216" t="s">
        <v>28</v>
      </c>
      <c r="E27" s="209" t="s">
        <v>27</v>
      </c>
      <c r="F27" s="209"/>
      <c r="G27" s="210"/>
      <c r="H27" s="635">
        <v>221.3</v>
      </c>
      <c r="I27" s="612"/>
      <c r="J27" s="612"/>
      <c r="K27" s="612"/>
      <c r="L27" s="612"/>
    </row>
    <row r="28" spans="2:12" s="238" customFormat="1" ht="15" x14ac:dyDescent="0.5">
      <c r="B28" s="1155"/>
      <c r="C28" s="1145"/>
      <c r="D28" s="448" t="s">
        <v>29</v>
      </c>
      <c r="E28" s="439" t="s">
        <v>27</v>
      </c>
      <c r="F28" s="439"/>
      <c r="G28" s="441"/>
      <c r="H28" s="634">
        <v>221.1</v>
      </c>
      <c r="I28" s="612"/>
      <c r="J28" s="612"/>
      <c r="K28" s="612"/>
      <c r="L28" s="612"/>
    </row>
    <row r="29" spans="2:12" s="238" customFormat="1" ht="15" x14ac:dyDescent="0.5">
      <c r="B29" s="1155"/>
      <c r="C29" s="1145"/>
      <c r="D29" s="216" t="s">
        <v>43</v>
      </c>
      <c r="E29" s="209" t="s">
        <v>44</v>
      </c>
      <c r="F29" s="209"/>
      <c r="G29" s="210"/>
      <c r="H29" s="635">
        <v>4.4400000000000004</v>
      </c>
      <c r="I29" s="612"/>
      <c r="J29" s="612"/>
      <c r="K29" s="612"/>
      <c r="L29" s="612"/>
    </row>
    <row r="30" spans="2:12" s="238" customFormat="1" ht="15" x14ac:dyDescent="0.5">
      <c r="B30" s="1155"/>
      <c r="C30" s="1145"/>
      <c r="D30" s="448" t="s">
        <v>45</v>
      </c>
      <c r="E30" s="439" t="s">
        <v>46</v>
      </c>
      <c r="F30" s="439"/>
      <c r="G30" s="441"/>
      <c r="H30" s="634">
        <v>1.42</v>
      </c>
      <c r="I30" s="612"/>
      <c r="J30" s="612"/>
      <c r="K30" s="612"/>
      <c r="L30" s="612"/>
    </row>
    <row r="31" spans="2:12" s="238" customFormat="1" ht="15" x14ac:dyDescent="0.5">
      <c r="B31" s="1155"/>
      <c r="C31" s="1145"/>
      <c r="D31" s="216" t="s">
        <v>47</v>
      </c>
      <c r="E31" s="209" t="s">
        <v>48</v>
      </c>
      <c r="F31" s="209"/>
      <c r="G31" s="210"/>
      <c r="H31" s="635">
        <v>4.38</v>
      </c>
      <c r="I31" s="612"/>
      <c r="J31" s="612"/>
      <c r="K31" s="612"/>
      <c r="L31" s="612"/>
    </row>
    <row r="32" spans="2:12" s="238" customFormat="1" ht="15" x14ac:dyDescent="0.5">
      <c r="B32" s="1155"/>
      <c r="C32" s="1145"/>
      <c r="D32" s="448" t="s">
        <v>49</v>
      </c>
      <c r="E32" s="439" t="s">
        <v>48</v>
      </c>
      <c r="F32" s="439"/>
      <c r="G32" s="441"/>
      <c r="H32" s="634">
        <v>1.4</v>
      </c>
      <c r="I32" s="612"/>
      <c r="J32" s="612"/>
      <c r="K32" s="612"/>
      <c r="L32" s="612"/>
    </row>
    <row r="33" spans="2:12" s="238" customFormat="1" ht="15" x14ac:dyDescent="0.5">
      <c r="B33" s="1155"/>
      <c r="C33" s="1145"/>
      <c r="D33" s="216" t="s">
        <v>50</v>
      </c>
      <c r="E33" s="209" t="s">
        <v>48</v>
      </c>
      <c r="F33" s="209"/>
      <c r="G33" s="210"/>
      <c r="H33" s="635">
        <v>0.93</v>
      </c>
      <c r="I33" s="612"/>
      <c r="J33" s="612"/>
      <c r="K33" s="612"/>
      <c r="L33" s="612"/>
    </row>
    <row r="34" spans="2:12" s="238" customFormat="1" ht="20.65" thickBot="1" x14ac:dyDescent="0.55000000000000004">
      <c r="B34" s="1155"/>
      <c r="C34" s="1147"/>
      <c r="D34" s="449" t="s">
        <v>32</v>
      </c>
      <c r="E34" s="450"/>
      <c r="F34" s="450"/>
      <c r="G34" s="451" t="s">
        <v>51</v>
      </c>
      <c r="H34" s="636" t="s">
        <v>151</v>
      </c>
      <c r="I34" s="613"/>
      <c r="J34" s="613"/>
      <c r="K34" s="613"/>
      <c r="L34" s="613"/>
    </row>
    <row r="35" spans="2:12" s="238" customFormat="1" ht="15.75" customHeight="1" x14ac:dyDescent="0.5">
      <c r="B35" s="1155"/>
      <c r="C35" s="1143" t="s">
        <v>52</v>
      </c>
      <c r="D35" s="218" t="s">
        <v>47</v>
      </c>
      <c r="E35" s="214" t="s">
        <v>48</v>
      </c>
      <c r="F35" s="214"/>
      <c r="G35" s="219"/>
      <c r="H35" s="117">
        <v>0</v>
      </c>
      <c r="I35" s="610"/>
      <c r="J35" s="610"/>
      <c r="K35" s="610"/>
      <c r="L35" s="610"/>
    </row>
    <row r="36" spans="2:12" s="238" customFormat="1" ht="15" x14ac:dyDescent="0.5">
      <c r="B36" s="1155"/>
      <c r="C36" s="1145"/>
      <c r="D36" s="448" t="s">
        <v>49</v>
      </c>
      <c r="E36" s="439" t="s">
        <v>48</v>
      </c>
      <c r="F36" s="439"/>
      <c r="G36" s="441"/>
      <c r="H36" s="634">
        <v>0</v>
      </c>
      <c r="I36" s="612"/>
      <c r="J36" s="612"/>
      <c r="K36" s="612"/>
      <c r="L36" s="612"/>
    </row>
    <row r="37" spans="2:12" s="238" customFormat="1" ht="15" x14ac:dyDescent="0.5">
      <c r="B37" s="1155"/>
      <c r="C37" s="1145"/>
      <c r="D37" s="216" t="s">
        <v>50</v>
      </c>
      <c r="E37" s="209" t="s">
        <v>48</v>
      </c>
      <c r="F37" s="209"/>
      <c r="G37" s="210"/>
      <c r="H37" s="635">
        <v>0</v>
      </c>
      <c r="I37" s="612"/>
      <c r="J37" s="612"/>
      <c r="K37" s="612"/>
      <c r="L37" s="612"/>
    </row>
    <row r="38" spans="2:12" s="238" customFormat="1" ht="20.25" x14ac:dyDescent="0.5">
      <c r="B38" s="1155"/>
      <c r="C38" s="1145"/>
      <c r="D38" s="448" t="s">
        <v>32</v>
      </c>
      <c r="E38" s="439" t="s">
        <v>21</v>
      </c>
      <c r="F38" s="439"/>
      <c r="G38" s="441" t="s">
        <v>51</v>
      </c>
      <c r="H38" s="634" t="s">
        <v>151</v>
      </c>
      <c r="I38" s="612"/>
      <c r="J38" s="612"/>
      <c r="K38" s="612"/>
      <c r="L38" s="612"/>
    </row>
    <row r="39" spans="2:12" s="238" customFormat="1" ht="30.75" thickBot="1" x14ac:dyDescent="0.55000000000000004">
      <c r="B39" s="1155"/>
      <c r="C39" s="1147"/>
      <c r="D39" s="217" t="s">
        <v>53</v>
      </c>
      <c r="E39" s="212" t="s">
        <v>21</v>
      </c>
      <c r="F39" s="212"/>
      <c r="G39" s="213" t="s">
        <v>54</v>
      </c>
      <c r="H39" s="525" t="s">
        <v>860</v>
      </c>
      <c r="I39" s="613"/>
      <c r="J39" s="613"/>
      <c r="K39" s="613"/>
      <c r="L39" s="613"/>
    </row>
    <row r="40" spans="2:12" s="238" customFormat="1" ht="15.75" customHeight="1" x14ac:dyDescent="0.5">
      <c r="B40" s="1155"/>
      <c r="C40" s="1145" t="s">
        <v>55</v>
      </c>
      <c r="D40" s="454" t="s">
        <v>26</v>
      </c>
      <c r="E40" s="455" t="s">
        <v>27</v>
      </c>
      <c r="F40" s="455"/>
      <c r="G40" s="456"/>
      <c r="H40" s="634">
        <v>221.9</v>
      </c>
      <c r="I40" s="608"/>
      <c r="J40" s="608"/>
      <c r="K40" s="608"/>
      <c r="L40" s="608"/>
    </row>
    <row r="41" spans="2:12" s="238" customFormat="1" ht="15" x14ac:dyDescent="0.5">
      <c r="B41" s="1155"/>
      <c r="C41" s="1145"/>
      <c r="D41" s="216" t="s">
        <v>28</v>
      </c>
      <c r="E41" s="209" t="s">
        <v>27</v>
      </c>
      <c r="F41" s="209"/>
      <c r="G41" s="210"/>
      <c r="H41" s="635">
        <v>221.9</v>
      </c>
      <c r="I41" s="612"/>
      <c r="J41" s="612"/>
      <c r="K41" s="612"/>
      <c r="L41" s="612"/>
    </row>
    <row r="42" spans="2:12" s="238" customFormat="1" ht="15" x14ac:dyDescent="0.5">
      <c r="B42" s="1155"/>
      <c r="C42" s="1145"/>
      <c r="D42" s="448" t="s">
        <v>29</v>
      </c>
      <c r="E42" s="439" t="s">
        <v>27</v>
      </c>
      <c r="F42" s="439"/>
      <c r="G42" s="441"/>
      <c r="H42" s="634">
        <v>221.6</v>
      </c>
      <c r="I42" s="612"/>
      <c r="J42" s="612"/>
      <c r="K42" s="612"/>
      <c r="L42" s="612"/>
    </row>
    <row r="43" spans="2:12" s="238" customFormat="1" ht="15" x14ac:dyDescent="0.5">
      <c r="B43" s="1155"/>
      <c r="C43" s="1145"/>
      <c r="D43" s="216" t="s">
        <v>47</v>
      </c>
      <c r="E43" s="209" t="s">
        <v>48</v>
      </c>
      <c r="F43" s="209"/>
      <c r="G43" s="210"/>
      <c r="H43" s="635">
        <v>0</v>
      </c>
      <c r="I43" s="612"/>
      <c r="J43" s="612"/>
      <c r="K43" s="612"/>
      <c r="L43" s="612"/>
    </row>
    <row r="44" spans="2:12" s="238" customFormat="1" ht="15" x14ac:dyDescent="0.5">
      <c r="B44" s="1155"/>
      <c r="C44" s="1145"/>
      <c r="D44" s="448" t="s">
        <v>49</v>
      </c>
      <c r="E44" s="439" t="s">
        <v>48</v>
      </c>
      <c r="F44" s="439"/>
      <c r="G44" s="441"/>
      <c r="H44" s="634">
        <v>0</v>
      </c>
      <c r="I44" s="612"/>
      <c r="J44" s="612"/>
      <c r="K44" s="612"/>
      <c r="L44" s="612"/>
    </row>
    <row r="45" spans="2:12" s="238" customFormat="1" ht="15" x14ac:dyDescent="0.5">
      <c r="B45" s="1155"/>
      <c r="C45" s="1145"/>
      <c r="D45" s="216" t="s">
        <v>50</v>
      </c>
      <c r="E45" s="209" t="s">
        <v>48</v>
      </c>
      <c r="F45" s="209"/>
      <c r="G45" s="210"/>
      <c r="H45" s="635">
        <v>0</v>
      </c>
      <c r="I45" s="612"/>
      <c r="J45" s="612"/>
      <c r="K45" s="612"/>
      <c r="L45" s="612"/>
    </row>
    <row r="46" spans="2:12" s="238" customFormat="1" ht="20.65" thickBot="1" x14ac:dyDescent="0.55000000000000004">
      <c r="B46" s="1156"/>
      <c r="C46" s="1170"/>
      <c r="D46" s="457" t="s">
        <v>32</v>
      </c>
      <c r="E46" s="50"/>
      <c r="F46" s="50"/>
      <c r="G46" s="550" t="s">
        <v>51</v>
      </c>
      <c r="H46" s="634" t="s">
        <v>48</v>
      </c>
      <c r="I46" s="613"/>
      <c r="J46" s="613"/>
      <c r="K46" s="613"/>
      <c r="L46" s="613"/>
    </row>
    <row r="47" spans="2:12" s="238" customFormat="1" ht="16.149999999999999" customHeight="1" x14ac:dyDescent="0.5">
      <c r="B47" s="1151" t="s">
        <v>56</v>
      </c>
      <c r="C47" s="1139" t="s">
        <v>57</v>
      </c>
      <c r="D47" s="69" t="s">
        <v>58</v>
      </c>
      <c r="E47" s="28" t="s">
        <v>59</v>
      </c>
      <c r="F47" s="28" t="s">
        <v>21</v>
      </c>
      <c r="G47" s="625" t="s">
        <v>60</v>
      </c>
      <c r="H47" s="117">
        <v>1</v>
      </c>
      <c r="I47" s="608"/>
      <c r="J47" s="608"/>
      <c r="K47" s="608"/>
      <c r="L47" s="608"/>
    </row>
    <row r="48" spans="2:12" s="238" customFormat="1" ht="20.25" x14ac:dyDescent="0.5">
      <c r="B48" s="1151"/>
      <c r="C48" s="1140"/>
      <c r="D48" s="459" t="s">
        <v>61</v>
      </c>
      <c r="E48" s="19" t="s">
        <v>39</v>
      </c>
      <c r="F48" s="19" t="s">
        <v>62</v>
      </c>
      <c r="G48" s="545" t="s">
        <v>63</v>
      </c>
      <c r="H48" s="634">
        <v>20</v>
      </c>
      <c r="I48" s="612"/>
      <c r="J48" s="612"/>
      <c r="K48" s="612"/>
      <c r="L48" s="612"/>
    </row>
    <row r="49" spans="2:12" s="238" customFormat="1" ht="15" x14ac:dyDescent="0.5">
      <c r="B49" s="1151"/>
      <c r="C49" s="1140"/>
      <c r="D49" s="64" t="s">
        <v>64</v>
      </c>
      <c r="E49" s="8" t="s">
        <v>65</v>
      </c>
      <c r="F49" s="8" t="s">
        <v>66</v>
      </c>
      <c r="G49" s="547" t="s">
        <v>67</v>
      </c>
      <c r="H49" s="635">
        <v>20</v>
      </c>
      <c r="I49" s="612"/>
      <c r="J49" s="612"/>
      <c r="K49" s="612"/>
      <c r="L49" s="612"/>
    </row>
    <row r="50" spans="2:12" s="238" customFormat="1" ht="15" x14ac:dyDescent="0.5">
      <c r="B50" s="1151"/>
      <c r="C50" s="1140"/>
      <c r="D50" s="459" t="s">
        <v>68</v>
      </c>
      <c r="E50" s="19" t="s">
        <v>69</v>
      </c>
      <c r="F50" s="19" t="s">
        <v>70</v>
      </c>
      <c r="G50" s="545" t="s">
        <v>71</v>
      </c>
      <c r="H50" s="634">
        <v>27</v>
      </c>
      <c r="I50" s="612"/>
      <c r="J50" s="612"/>
      <c r="K50" s="612"/>
      <c r="L50" s="612"/>
    </row>
    <row r="51" spans="2:12" s="238" customFormat="1" ht="15" x14ac:dyDescent="0.5">
      <c r="B51" s="1151"/>
      <c r="C51" s="1140"/>
      <c r="D51" s="64" t="s">
        <v>68</v>
      </c>
      <c r="E51" s="24" t="s">
        <v>72</v>
      </c>
      <c r="F51" s="24" t="s">
        <v>73</v>
      </c>
      <c r="G51" s="547"/>
      <c r="H51" s="635">
        <v>444</v>
      </c>
      <c r="I51" s="611"/>
      <c r="J51" s="611"/>
      <c r="K51" s="611"/>
      <c r="L51" s="611"/>
    </row>
    <row r="52" spans="2:12" s="238" customFormat="1" ht="15" x14ac:dyDescent="0.5">
      <c r="B52" s="1151"/>
      <c r="C52" s="1140"/>
      <c r="D52" s="460" t="s">
        <v>74</v>
      </c>
      <c r="E52" s="29" t="s">
        <v>72</v>
      </c>
      <c r="F52" s="29" t="s">
        <v>73</v>
      </c>
      <c r="G52" s="545" t="s">
        <v>75</v>
      </c>
      <c r="H52" s="634">
        <v>49</v>
      </c>
      <c r="I52" s="611"/>
      <c r="J52" s="611"/>
      <c r="K52" s="611"/>
      <c r="L52" s="611"/>
    </row>
    <row r="53" spans="2:12" s="238" customFormat="1" ht="15" x14ac:dyDescent="0.5">
      <c r="B53" s="1151"/>
      <c r="C53" s="1140"/>
      <c r="D53" s="220" t="s">
        <v>76</v>
      </c>
      <c r="E53" s="221" t="s">
        <v>77</v>
      </c>
      <c r="F53" s="221" t="s">
        <v>73</v>
      </c>
      <c r="G53" s="626" t="s">
        <v>78</v>
      </c>
      <c r="H53" s="638">
        <v>0.89</v>
      </c>
      <c r="I53" s="611"/>
      <c r="J53" s="611"/>
      <c r="K53" s="611"/>
      <c r="L53" s="611"/>
    </row>
    <row r="54" spans="2:12" s="238" customFormat="1" ht="15" x14ac:dyDescent="0.5">
      <c r="B54" s="1151"/>
      <c r="C54" s="1140"/>
      <c r="D54" s="460" t="s">
        <v>79</v>
      </c>
      <c r="E54" s="29"/>
      <c r="F54" s="29" t="s">
        <v>20</v>
      </c>
      <c r="G54" s="627"/>
      <c r="H54" s="634" t="s">
        <v>154</v>
      </c>
      <c r="I54" s="611"/>
      <c r="J54" s="611"/>
      <c r="K54" s="611"/>
      <c r="L54" s="611"/>
    </row>
    <row r="55" spans="2:12" s="238" customFormat="1" ht="15" x14ac:dyDescent="0.5">
      <c r="B55" s="1151"/>
      <c r="C55" s="1140"/>
      <c r="D55" s="220" t="s">
        <v>80</v>
      </c>
      <c r="E55" s="221" t="s">
        <v>72</v>
      </c>
      <c r="F55" s="221" t="s">
        <v>73</v>
      </c>
      <c r="G55" s="626" t="s">
        <v>81</v>
      </c>
      <c r="H55" s="638">
        <v>9</v>
      </c>
      <c r="I55" s="611"/>
      <c r="J55" s="611"/>
      <c r="K55" s="611"/>
      <c r="L55" s="611"/>
    </row>
    <row r="56" spans="2:12" s="238" customFormat="1" ht="15" x14ac:dyDescent="0.5">
      <c r="B56" s="1151"/>
      <c r="C56" s="1140"/>
      <c r="D56" s="460" t="s">
        <v>76</v>
      </c>
      <c r="E56" s="29" t="s">
        <v>77</v>
      </c>
      <c r="F56" s="29" t="s">
        <v>73</v>
      </c>
      <c r="G56" s="627" t="s">
        <v>78</v>
      </c>
      <c r="H56" s="634">
        <v>1</v>
      </c>
      <c r="I56" s="611"/>
      <c r="J56" s="611"/>
      <c r="K56" s="611"/>
      <c r="L56" s="611"/>
    </row>
    <row r="57" spans="2:12" s="238" customFormat="1" ht="15" x14ac:dyDescent="0.5">
      <c r="B57" s="1151"/>
      <c r="C57" s="1140"/>
      <c r="D57" s="220" t="s">
        <v>82</v>
      </c>
      <c r="E57" s="221"/>
      <c r="F57" s="221" t="s">
        <v>20</v>
      </c>
      <c r="G57" s="626"/>
      <c r="H57" s="638" t="s">
        <v>154</v>
      </c>
      <c r="I57" s="611"/>
      <c r="J57" s="611"/>
      <c r="K57" s="611"/>
      <c r="L57" s="611"/>
    </row>
    <row r="58" spans="2:12" s="238" customFormat="1" ht="21" customHeight="1" thickBot="1" x14ac:dyDescent="0.55000000000000004">
      <c r="B58" s="1151"/>
      <c r="C58" s="1141"/>
      <c r="D58" s="460" t="s">
        <v>83</v>
      </c>
      <c r="E58" s="29"/>
      <c r="F58" s="29" t="s">
        <v>84</v>
      </c>
      <c r="G58" s="627" t="s">
        <v>21</v>
      </c>
      <c r="H58" s="636">
        <v>1</v>
      </c>
      <c r="I58" s="611"/>
      <c r="J58" s="611"/>
      <c r="K58" s="611"/>
      <c r="L58" s="611"/>
    </row>
    <row r="59" spans="2:12" s="238" customFormat="1" ht="16.149999999999999" customHeight="1" x14ac:dyDescent="0.5">
      <c r="B59" s="1151"/>
      <c r="C59" s="1139" t="s">
        <v>85</v>
      </c>
      <c r="D59" s="224" t="s">
        <v>58</v>
      </c>
      <c r="E59" s="225" t="s">
        <v>59</v>
      </c>
      <c r="F59" s="225" t="s">
        <v>21</v>
      </c>
      <c r="G59" s="628" t="s">
        <v>60</v>
      </c>
      <c r="H59" s="638">
        <v>1</v>
      </c>
      <c r="I59" s="610"/>
      <c r="J59" s="610"/>
      <c r="K59" s="610"/>
      <c r="L59" s="610"/>
    </row>
    <row r="60" spans="2:12" s="238" customFormat="1" ht="20.25" x14ac:dyDescent="0.5">
      <c r="B60" s="1151"/>
      <c r="C60" s="1140"/>
      <c r="D60" s="459" t="s">
        <v>86</v>
      </c>
      <c r="E60" s="19" t="s">
        <v>39</v>
      </c>
      <c r="F60" s="19" t="s">
        <v>87</v>
      </c>
      <c r="G60" s="545" t="s">
        <v>63</v>
      </c>
      <c r="H60" s="634">
        <v>20</v>
      </c>
      <c r="I60" s="612"/>
      <c r="J60" s="612"/>
      <c r="K60" s="612"/>
      <c r="L60" s="612"/>
    </row>
    <row r="61" spans="2:12" s="238" customFormat="1" ht="15" x14ac:dyDescent="0.5">
      <c r="B61" s="1151"/>
      <c r="C61" s="1140"/>
      <c r="D61" s="227" t="s">
        <v>88</v>
      </c>
      <c r="E61" s="228" t="s">
        <v>65</v>
      </c>
      <c r="F61" s="228" t="s">
        <v>89</v>
      </c>
      <c r="G61" s="629" t="s">
        <v>67</v>
      </c>
      <c r="H61" s="638">
        <v>0</v>
      </c>
      <c r="I61" s="612"/>
      <c r="J61" s="612"/>
      <c r="K61" s="612"/>
      <c r="L61" s="612"/>
    </row>
    <row r="62" spans="2:12" s="238" customFormat="1" ht="15" x14ac:dyDescent="0.5">
      <c r="B62" s="1151"/>
      <c r="C62" s="1140"/>
      <c r="D62" s="459" t="s">
        <v>68</v>
      </c>
      <c r="E62" s="19" t="s">
        <v>69</v>
      </c>
      <c r="F62" s="19" t="s">
        <v>70</v>
      </c>
      <c r="G62" s="545" t="s">
        <v>71</v>
      </c>
      <c r="H62" s="634">
        <v>21.5</v>
      </c>
      <c r="I62" s="612"/>
      <c r="J62" s="612"/>
      <c r="K62" s="612"/>
      <c r="L62" s="612"/>
    </row>
    <row r="63" spans="2:12" s="238" customFormat="1" ht="15" x14ac:dyDescent="0.5">
      <c r="B63" s="1151"/>
      <c r="C63" s="1140"/>
      <c r="D63" s="227" t="s">
        <v>68</v>
      </c>
      <c r="E63" s="221" t="s">
        <v>72</v>
      </c>
      <c r="F63" s="221" t="s">
        <v>73</v>
      </c>
      <c r="G63" s="629"/>
      <c r="H63" s="638">
        <v>352</v>
      </c>
      <c r="I63" s="611"/>
      <c r="J63" s="611"/>
      <c r="K63" s="611"/>
      <c r="L63" s="611"/>
    </row>
    <row r="64" spans="2:12" s="238" customFormat="1" ht="15" x14ac:dyDescent="0.5">
      <c r="B64" s="1151"/>
      <c r="C64" s="1140"/>
      <c r="D64" s="460" t="s">
        <v>74</v>
      </c>
      <c r="E64" s="29" t="s">
        <v>72</v>
      </c>
      <c r="F64" s="29" t="s">
        <v>73</v>
      </c>
      <c r="G64" s="545" t="s">
        <v>75</v>
      </c>
      <c r="H64" s="634">
        <v>402</v>
      </c>
      <c r="I64" s="611"/>
      <c r="J64" s="611"/>
      <c r="K64" s="611"/>
      <c r="L64" s="611"/>
    </row>
    <row r="65" spans="2:12" s="238" customFormat="1" ht="15" x14ac:dyDescent="0.5">
      <c r="B65" s="1151"/>
      <c r="C65" s="1140"/>
      <c r="D65" s="220" t="s">
        <v>76</v>
      </c>
      <c r="E65" s="221" t="s">
        <v>77</v>
      </c>
      <c r="F65" s="221" t="s">
        <v>73</v>
      </c>
      <c r="G65" s="626" t="s">
        <v>78</v>
      </c>
      <c r="H65" s="638">
        <v>7.31</v>
      </c>
      <c r="I65" s="611"/>
      <c r="J65" s="611"/>
      <c r="K65" s="611"/>
      <c r="L65" s="611"/>
    </row>
    <row r="66" spans="2:12" s="238" customFormat="1" ht="15" x14ac:dyDescent="0.5">
      <c r="B66" s="1151"/>
      <c r="C66" s="1140"/>
      <c r="D66" s="460" t="s">
        <v>79</v>
      </c>
      <c r="E66" s="29"/>
      <c r="F66" s="29" t="s">
        <v>20</v>
      </c>
      <c r="G66" s="627"/>
      <c r="H66" s="634" t="s">
        <v>154</v>
      </c>
      <c r="I66" s="611"/>
      <c r="J66" s="611"/>
      <c r="K66" s="611"/>
      <c r="L66" s="611"/>
    </row>
    <row r="67" spans="2:12" s="238" customFormat="1" ht="15" x14ac:dyDescent="0.5">
      <c r="B67" s="1151"/>
      <c r="C67" s="1140"/>
      <c r="D67" s="220" t="s">
        <v>80</v>
      </c>
      <c r="E67" s="221" t="s">
        <v>72</v>
      </c>
      <c r="F67" s="221" t="s">
        <v>73</v>
      </c>
      <c r="G67" s="626" t="s">
        <v>81</v>
      </c>
      <c r="H67" s="638">
        <v>13</v>
      </c>
      <c r="I67" s="611"/>
      <c r="J67" s="611"/>
      <c r="K67" s="611"/>
      <c r="L67" s="611"/>
    </row>
    <row r="68" spans="2:12" s="238" customFormat="1" ht="15" x14ac:dyDescent="0.5">
      <c r="B68" s="1151"/>
      <c r="C68" s="1140"/>
      <c r="D68" s="460" t="s">
        <v>76</v>
      </c>
      <c r="E68" s="29" t="s">
        <v>77</v>
      </c>
      <c r="F68" s="29" t="s">
        <v>73</v>
      </c>
      <c r="G68" s="627" t="s">
        <v>78</v>
      </c>
      <c r="H68" s="634">
        <v>1.53</v>
      </c>
      <c r="I68" s="611"/>
      <c r="J68" s="611"/>
      <c r="K68" s="611"/>
      <c r="L68" s="611"/>
    </row>
    <row r="69" spans="2:12" s="238" customFormat="1" ht="15" x14ac:dyDescent="0.5">
      <c r="B69" s="1151"/>
      <c r="C69" s="1140"/>
      <c r="D69" s="220" t="s">
        <v>82</v>
      </c>
      <c r="E69" s="221"/>
      <c r="F69" s="221" t="s">
        <v>20</v>
      </c>
      <c r="G69" s="626"/>
      <c r="H69" s="638" t="s">
        <v>154</v>
      </c>
      <c r="I69" s="611"/>
      <c r="J69" s="611"/>
      <c r="K69" s="611"/>
      <c r="L69" s="611"/>
    </row>
    <row r="70" spans="2:12" s="238" customFormat="1" ht="21.75" customHeight="1" thickBot="1" x14ac:dyDescent="0.55000000000000004">
      <c r="B70" s="1151"/>
      <c r="C70" s="1141"/>
      <c r="D70" s="460" t="s">
        <v>83</v>
      </c>
      <c r="E70" s="29"/>
      <c r="F70" s="29" t="s">
        <v>84</v>
      </c>
      <c r="G70" s="627" t="s">
        <v>21</v>
      </c>
      <c r="H70" s="634">
        <v>1</v>
      </c>
      <c r="I70" s="613"/>
      <c r="J70" s="613"/>
      <c r="K70" s="613"/>
      <c r="L70" s="613"/>
    </row>
    <row r="71" spans="2:12" s="238" customFormat="1" ht="16.149999999999999" customHeight="1" x14ac:dyDescent="0.5">
      <c r="B71" s="1151"/>
      <c r="C71" s="1139" t="s">
        <v>90</v>
      </c>
      <c r="D71" s="224" t="s">
        <v>58</v>
      </c>
      <c r="E71" s="225" t="s">
        <v>59</v>
      </c>
      <c r="F71" s="225" t="s">
        <v>21</v>
      </c>
      <c r="G71" s="628" t="s">
        <v>60</v>
      </c>
      <c r="H71" s="639">
        <v>1</v>
      </c>
      <c r="I71" s="608"/>
      <c r="J71" s="608"/>
      <c r="K71" s="608"/>
      <c r="L71" s="608"/>
    </row>
    <row r="72" spans="2:12" s="238" customFormat="1" ht="20.25" x14ac:dyDescent="0.5">
      <c r="B72" s="1151"/>
      <c r="C72" s="1140"/>
      <c r="D72" s="459" t="s">
        <v>86</v>
      </c>
      <c r="E72" s="19" t="s">
        <v>39</v>
      </c>
      <c r="F72" s="19" t="s">
        <v>62</v>
      </c>
      <c r="G72" s="545" t="s">
        <v>63</v>
      </c>
      <c r="H72" s="634">
        <v>21</v>
      </c>
      <c r="I72" s="612"/>
      <c r="J72" s="612"/>
      <c r="K72" s="612"/>
      <c r="L72" s="612"/>
    </row>
    <row r="73" spans="2:12" s="238" customFormat="1" ht="15" x14ac:dyDescent="0.5">
      <c r="B73" s="1151"/>
      <c r="C73" s="1140"/>
      <c r="D73" s="227" t="s">
        <v>91</v>
      </c>
      <c r="E73" s="228" t="s">
        <v>65</v>
      </c>
      <c r="F73" s="228" t="s">
        <v>66</v>
      </c>
      <c r="G73" s="629" t="s">
        <v>67</v>
      </c>
      <c r="H73" s="638">
        <v>0</v>
      </c>
      <c r="I73" s="612"/>
      <c r="J73" s="612"/>
      <c r="K73" s="612"/>
      <c r="L73" s="612"/>
    </row>
    <row r="74" spans="2:12" s="238" customFormat="1" ht="15" x14ac:dyDescent="0.5">
      <c r="B74" s="1151"/>
      <c r="C74" s="1140"/>
      <c r="D74" s="459" t="s">
        <v>68</v>
      </c>
      <c r="E74" s="19" t="s">
        <v>69</v>
      </c>
      <c r="F74" s="19" t="s">
        <v>70</v>
      </c>
      <c r="G74" s="545" t="s">
        <v>71</v>
      </c>
      <c r="H74" s="634">
        <v>25</v>
      </c>
      <c r="I74" s="612"/>
      <c r="J74" s="612"/>
      <c r="K74" s="612"/>
      <c r="L74" s="612"/>
    </row>
    <row r="75" spans="2:12" s="238" customFormat="1" ht="15" x14ac:dyDescent="0.5">
      <c r="B75" s="1151"/>
      <c r="C75" s="1140"/>
      <c r="D75" s="227" t="s">
        <v>68</v>
      </c>
      <c r="E75" s="221" t="s">
        <v>72</v>
      </c>
      <c r="F75" s="221" t="s">
        <v>73</v>
      </c>
      <c r="G75" s="629"/>
      <c r="H75" s="638">
        <v>385</v>
      </c>
      <c r="I75" s="611"/>
      <c r="J75" s="611"/>
      <c r="K75" s="611"/>
      <c r="L75" s="611"/>
    </row>
    <row r="76" spans="2:12" s="238" customFormat="1" ht="15" x14ac:dyDescent="0.5">
      <c r="B76" s="1151"/>
      <c r="C76" s="1140"/>
      <c r="D76" s="460" t="s">
        <v>74</v>
      </c>
      <c r="E76" s="29" t="s">
        <v>72</v>
      </c>
      <c r="F76" s="29" t="s">
        <v>73</v>
      </c>
      <c r="G76" s="545" t="s">
        <v>75</v>
      </c>
      <c r="H76" s="634">
        <v>0</v>
      </c>
      <c r="I76" s="611"/>
      <c r="J76" s="611"/>
      <c r="K76" s="611"/>
      <c r="L76" s="611"/>
    </row>
    <row r="77" spans="2:12" s="238" customFormat="1" ht="15" x14ac:dyDescent="0.5">
      <c r="B77" s="1151"/>
      <c r="C77" s="1140"/>
      <c r="D77" s="68" t="s">
        <v>79</v>
      </c>
      <c r="E77" s="24"/>
      <c r="F77" s="24" t="s">
        <v>20</v>
      </c>
      <c r="G77" s="235"/>
      <c r="H77" s="635" t="s">
        <v>154</v>
      </c>
      <c r="I77" s="611"/>
      <c r="J77" s="611"/>
      <c r="K77" s="611"/>
      <c r="L77" s="611"/>
    </row>
    <row r="78" spans="2:12" s="238" customFormat="1" ht="20.25" x14ac:dyDescent="0.5">
      <c r="B78" s="1151"/>
      <c r="C78" s="1140"/>
      <c r="D78" s="460" t="s">
        <v>92</v>
      </c>
      <c r="E78" s="29"/>
      <c r="F78" s="29" t="s">
        <v>93</v>
      </c>
      <c r="G78" s="627"/>
      <c r="H78" s="634">
        <v>222</v>
      </c>
      <c r="I78" s="611"/>
      <c r="J78" s="611"/>
      <c r="K78" s="611"/>
      <c r="L78" s="611"/>
    </row>
    <row r="79" spans="2:12" s="238" customFormat="1" ht="15" x14ac:dyDescent="0.5">
      <c r="B79" s="1151"/>
      <c r="C79" s="1140"/>
      <c r="D79" s="68" t="s">
        <v>82</v>
      </c>
      <c r="E79" s="24"/>
      <c r="F79" s="24" t="s">
        <v>20</v>
      </c>
      <c r="G79" s="235"/>
      <c r="H79" s="635" t="s">
        <v>154</v>
      </c>
      <c r="I79" s="611"/>
      <c r="J79" s="611"/>
      <c r="K79" s="611"/>
      <c r="L79" s="611"/>
    </row>
    <row r="80" spans="2:12" s="238" customFormat="1" ht="21" customHeight="1" thickBot="1" x14ac:dyDescent="0.55000000000000004">
      <c r="B80" s="1171"/>
      <c r="C80" s="1141"/>
      <c r="D80" s="460" t="s">
        <v>83</v>
      </c>
      <c r="E80" s="29"/>
      <c r="F80" s="29" t="s">
        <v>84</v>
      </c>
      <c r="G80" s="627" t="s">
        <v>21</v>
      </c>
      <c r="H80" s="636">
        <v>1</v>
      </c>
      <c r="I80" s="611"/>
      <c r="J80" s="611"/>
      <c r="K80" s="611"/>
      <c r="L80" s="611"/>
    </row>
    <row r="81" spans="2:12" s="238" customFormat="1" ht="15" x14ac:dyDescent="0.5">
      <c r="B81" s="1159" t="s">
        <v>94</v>
      </c>
      <c r="C81" s="1161" t="s">
        <v>95</v>
      </c>
      <c r="D81" s="69" t="s">
        <v>58</v>
      </c>
      <c r="E81" s="28" t="s">
        <v>59</v>
      </c>
      <c r="F81" s="28" t="s">
        <v>21</v>
      </c>
      <c r="G81" s="625" t="s">
        <v>21</v>
      </c>
      <c r="H81" s="635">
        <v>1</v>
      </c>
      <c r="I81" s="610"/>
      <c r="J81" s="610"/>
      <c r="K81" s="610"/>
      <c r="L81" s="610"/>
    </row>
    <row r="82" spans="2:12" s="238" customFormat="1" ht="15" x14ac:dyDescent="0.5">
      <c r="B82" s="1160"/>
      <c r="C82" s="1140"/>
      <c r="D82" s="434" t="s">
        <v>96</v>
      </c>
      <c r="E82" s="435" t="s">
        <v>72</v>
      </c>
      <c r="F82" s="435" t="s">
        <v>21</v>
      </c>
      <c r="G82" s="468"/>
      <c r="H82" s="634">
        <v>998</v>
      </c>
      <c r="I82" s="608"/>
      <c r="J82" s="608"/>
      <c r="K82" s="608"/>
      <c r="L82" s="608"/>
    </row>
    <row r="83" spans="2:12" s="238" customFormat="1" ht="15" x14ac:dyDescent="0.5">
      <c r="B83" s="1160"/>
      <c r="C83" s="1140"/>
      <c r="D83" s="63" t="s">
        <v>76</v>
      </c>
      <c r="E83" s="27" t="s">
        <v>77</v>
      </c>
      <c r="F83" s="27" t="s">
        <v>21</v>
      </c>
      <c r="G83" s="542"/>
      <c r="H83" s="635">
        <v>19.96</v>
      </c>
      <c r="I83" s="608"/>
      <c r="J83" s="608"/>
      <c r="K83" s="608"/>
      <c r="L83" s="608"/>
    </row>
    <row r="84" spans="2:12" s="238" customFormat="1" ht="15" x14ac:dyDescent="0.5">
      <c r="B84" s="1160"/>
      <c r="C84" s="1140"/>
      <c r="D84" s="459" t="s">
        <v>86</v>
      </c>
      <c r="E84" s="19" t="s">
        <v>39</v>
      </c>
      <c r="F84" s="19" t="s">
        <v>97</v>
      </c>
      <c r="G84" s="545" t="s">
        <v>21</v>
      </c>
      <c r="H84" s="634">
        <v>22</v>
      </c>
      <c r="I84" s="612"/>
      <c r="J84" s="612"/>
      <c r="K84" s="612"/>
      <c r="L84" s="612"/>
    </row>
    <row r="85" spans="2:12" s="238" customFormat="1" ht="15" x14ac:dyDescent="0.5">
      <c r="B85" s="1160"/>
      <c r="C85" s="1140"/>
      <c r="D85" s="64" t="s">
        <v>98</v>
      </c>
      <c r="E85" s="8" t="s">
        <v>65</v>
      </c>
      <c r="F85" s="8" t="s">
        <v>66</v>
      </c>
      <c r="G85" s="547" t="s">
        <v>21</v>
      </c>
      <c r="H85" s="635">
        <v>0</v>
      </c>
      <c r="I85" s="612"/>
      <c r="J85" s="612"/>
      <c r="K85" s="612"/>
      <c r="L85" s="612"/>
    </row>
    <row r="86" spans="2:12" s="238" customFormat="1" ht="15" x14ac:dyDescent="0.5">
      <c r="B86" s="1160"/>
      <c r="C86" s="1140"/>
      <c r="D86" s="459" t="s">
        <v>68</v>
      </c>
      <c r="E86" s="19" t="s">
        <v>69</v>
      </c>
      <c r="F86" s="19" t="s">
        <v>21</v>
      </c>
      <c r="G86" s="545" t="s">
        <v>21</v>
      </c>
      <c r="H86" s="634">
        <v>26.5</v>
      </c>
      <c r="I86" s="612"/>
      <c r="J86" s="612"/>
      <c r="K86" s="612"/>
      <c r="L86" s="612"/>
    </row>
    <row r="87" spans="2:12" s="238" customFormat="1" ht="15" x14ac:dyDescent="0.5">
      <c r="B87" s="1160"/>
      <c r="C87" s="1140"/>
      <c r="D87" s="64" t="s">
        <v>68</v>
      </c>
      <c r="E87" s="8" t="s">
        <v>72</v>
      </c>
      <c r="F87" s="8" t="s">
        <v>73</v>
      </c>
      <c r="G87" s="547" t="s">
        <v>21</v>
      </c>
      <c r="H87" s="635">
        <v>474</v>
      </c>
      <c r="I87" s="611"/>
      <c r="J87" s="611"/>
      <c r="K87" s="611"/>
      <c r="L87" s="611"/>
    </row>
    <row r="88" spans="2:12" s="238" customFormat="1" ht="15" x14ac:dyDescent="0.5">
      <c r="B88" s="1160"/>
      <c r="C88" s="1140"/>
      <c r="D88" s="460" t="s">
        <v>82</v>
      </c>
      <c r="E88" s="29"/>
      <c r="F88" s="29" t="s">
        <v>20</v>
      </c>
      <c r="G88" s="627"/>
      <c r="H88" s="634" t="s">
        <v>861</v>
      </c>
      <c r="I88" s="611"/>
      <c r="J88" s="611"/>
      <c r="K88" s="611"/>
      <c r="L88" s="611"/>
    </row>
    <row r="89" spans="2:12" s="238" customFormat="1" ht="21.75" customHeight="1" thickBot="1" x14ac:dyDescent="0.55000000000000004">
      <c r="B89" s="1160"/>
      <c r="C89" s="1141"/>
      <c r="D89" s="68" t="s">
        <v>83</v>
      </c>
      <c r="E89" s="24" t="s">
        <v>69</v>
      </c>
      <c r="F89" s="24" t="s">
        <v>84</v>
      </c>
      <c r="G89" s="235" t="s">
        <v>21</v>
      </c>
      <c r="H89" s="635">
        <v>1</v>
      </c>
      <c r="I89" s="613"/>
      <c r="J89" s="613"/>
      <c r="K89" s="613"/>
      <c r="L89" s="613"/>
    </row>
    <row r="90" spans="2:12" s="238" customFormat="1" ht="15" x14ac:dyDescent="0.5">
      <c r="B90" s="1160"/>
      <c r="C90" s="1139" t="s">
        <v>99</v>
      </c>
      <c r="D90" s="463" t="s">
        <v>58</v>
      </c>
      <c r="E90" s="124" t="s">
        <v>59</v>
      </c>
      <c r="F90" s="124" t="s">
        <v>21</v>
      </c>
      <c r="G90" s="630" t="s">
        <v>21</v>
      </c>
      <c r="H90" s="637">
        <v>1</v>
      </c>
      <c r="I90" s="610"/>
      <c r="J90" s="610"/>
      <c r="K90" s="610"/>
      <c r="L90" s="610"/>
    </row>
    <row r="91" spans="2:12" s="238" customFormat="1" ht="15" x14ac:dyDescent="0.5">
      <c r="B91" s="1160"/>
      <c r="C91" s="1140"/>
      <c r="D91" s="64" t="s">
        <v>86</v>
      </c>
      <c r="E91" s="8" t="s">
        <v>39</v>
      </c>
      <c r="F91" s="8" t="s">
        <v>97</v>
      </c>
      <c r="G91" s="547" t="s">
        <v>21</v>
      </c>
      <c r="H91" s="635">
        <v>22</v>
      </c>
      <c r="I91" s="612"/>
      <c r="J91" s="612"/>
      <c r="K91" s="612"/>
      <c r="L91" s="612"/>
    </row>
    <row r="92" spans="2:12" s="238" customFormat="1" ht="15" x14ac:dyDescent="0.5">
      <c r="B92" s="1160"/>
      <c r="C92" s="1140"/>
      <c r="D92" s="434" t="s">
        <v>100</v>
      </c>
      <c r="E92" s="435" t="s">
        <v>72</v>
      </c>
      <c r="F92" s="435" t="s">
        <v>21</v>
      </c>
      <c r="G92" s="468"/>
      <c r="H92" s="634">
        <v>1041</v>
      </c>
      <c r="I92" s="608"/>
      <c r="J92" s="608"/>
      <c r="K92" s="608"/>
      <c r="L92" s="608"/>
    </row>
    <row r="93" spans="2:12" s="238" customFormat="1" ht="15" x14ac:dyDescent="0.5">
      <c r="B93" s="1160"/>
      <c r="C93" s="1140"/>
      <c r="D93" s="63" t="s">
        <v>76</v>
      </c>
      <c r="E93" s="27" t="s">
        <v>77</v>
      </c>
      <c r="F93" s="27" t="s">
        <v>21</v>
      </c>
      <c r="G93" s="542"/>
      <c r="H93" s="635">
        <v>20.82</v>
      </c>
      <c r="I93" s="608"/>
      <c r="J93" s="608"/>
      <c r="K93" s="608"/>
      <c r="L93" s="608"/>
    </row>
    <row r="94" spans="2:12" s="238" customFormat="1" ht="15" x14ac:dyDescent="0.5">
      <c r="B94" s="1160"/>
      <c r="C94" s="1140"/>
      <c r="D94" s="459" t="s">
        <v>98</v>
      </c>
      <c r="E94" s="19" t="s">
        <v>65</v>
      </c>
      <c r="F94" s="19" t="s">
        <v>66</v>
      </c>
      <c r="G94" s="545" t="s">
        <v>21</v>
      </c>
      <c r="H94" s="634">
        <v>0</v>
      </c>
      <c r="I94" s="612"/>
      <c r="J94" s="612"/>
      <c r="K94" s="612"/>
      <c r="L94" s="612"/>
    </row>
    <row r="95" spans="2:12" s="238" customFormat="1" ht="15" x14ac:dyDescent="0.5">
      <c r="B95" s="1160"/>
      <c r="C95" s="1140"/>
      <c r="D95" s="64" t="s">
        <v>68</v>
      </c>
      <c r="E95" s="8" t="s">
        <v>69</v>
      </c>
      <c r="F95" s="8" t="s">
        <v>21</v>
      </c>
      <c r="G95" s="547" t="s">
        <v>21</v>
      </c>
      <c r="H95" s="635">
        <v>38.5</v>
      </c>
      <c r="I95" s="612"/>
      <c r="J95" s="612"/>
      <c r="K95" s="612"/>
      <c r="L95" s="612"/>
    </row>
    <row r="96" spans="2:12" s="238" customFormat="1" ht="15" x14ac:dyDescent="0.5">
      <c r="B96" s="1160"/>
      <c r="C96" s="1140"/>
      <c r="D96" s="459" t="s">
        <v>68</v>
      </c>
      <c r="E96" s="19" t="s">
        <v>72</v>
      </c>
      <c r="F96" s="19" t="s">
        <v>73</v>
      </c>
      <c r="G96" s="545" t="s">
        <v>21</v>
      </c>
      <c r="H96" s="634">
        <v>530</v>
      </c>
      <c r="I96" s="611"/>
      <c r="J96" s="611"/>
      <c r="K96" s="611"/>
      <c r="L96" s="611"/>
    </row>
    <row r="97" spans="2:12" s="238" customFormat="1" ht="15" x14ac:dyDescent="0.5">
      <c r="B97" s="1160"/>
      <c r="C97" s="1140"/>
      <c r="D97" s="68" t="s">
        <v>82</v>
      </c>
      <c r="E97" s="24"/>
      <c r="F97" s="24" t="s">
        <v>20</v>
      </c>
      <c r="G97" s="235"/>
      <c r="H97" s="635" t="s">
        <v>154</v>
      </c>
      <c r="I97" s="611"/>
      <c r="J97" s="611"/>
      <c r="K97" s="611"/>
      <c r="L97" s="611"/>
    </row>
    <row r="98" spans="2:12" s="238" customFormat="1" ht="23.25" customHeight="1" thickBot="1" x14ac:dyDescent="0.55000000000000004">
      <c r="B98" s="1160"/>
      <c r="C98" s="1141"/>
      <c r="D98" s="460" t="s">
        <v>83</v>
      </c>
      <c r="E98" s="29" t="s">
        <v>69</v>
      </c>
      <c r="F98" s="29" t="s">
        <v>84</v>
      </c>
      <c r="G98" s="627" t="s">
        <v>21</v>
      </c>
      <c r="H98" s="636">
        <v>1</v>
      </c>
      <c r="I98" s="611"/>
      <c r="J98" s="611"/>
      <c r="K98" s="611"/>
      <c r="L98" s="611"/>
    </row>
    <row r="99" spans="2:12" s="238" customFormat="1" ht="15" x14ac:dyDescent="0.5">
      <c r="B99" s="1160"/>
      <c r="C99" s="1139" t="s">
        <v>101</v>
      </c>
      <c r="D99" s="69" t="s">
        <v>58</v>
      </c>
      <c r="E99" s="28" t="s">
        <v>59</v>
      </c>
      <c r="F99" s="28" t="s">
        <v>21</v>
      </c>
      <c r="G99" s="625"/>
      <c r="H99" s="635">
        <v>1</v>
      </c>
      <c r="I99" s="610"/>
      <c r="J99" s="610"/>
      <c r="K99" s="610"/>
      <c r="L99" s="610"/>
    </row>
    <row r="100" spans="2:12" s="238" customFormat="1" ht="15" x14ac:dyDescent="0.5">
      <c r="B100" s="1160"/>
      <c r="C100" s="1140"/>
      <c r="D100" s="434" t="s">
        <v>100</v>
      </c>
      <c r="E100" s="435" t="s">
        <v>72</v>
      </c>
      <c r="F100" s="435" t="s">
        <v>21</v>
      </c>
      <c r="G100" s="468"/>
      <c r="H100" s="634">
        <v>0</v>
      </c>
      <c r="I100" s="608"/>
      <c r="J100" s="608"/>
      <c r="K100" s="608"/>
      <c r="L100" s="608"/>
    </row>
    <row r="101" spans="2:12" s="238" customFormat="1" ht="15" x14ac:dyDescent="0.5">
      <c r="B101" s="1160"/>
      <c r="C101" s="1140"/>
      <c r="D101" s="63" t="s">
        <v>76</v>
      </c>
      <c r="E101" s="27" t="s">
        <v>77</v>
      </c>
      <c r="F101" s="27" t="s">
        <v>21</v>
      </c>
      <c r="G101" s="542"/>
      <c r="H101" s="635">
        <v>0</v>
      </c>
      <c r="I101" s="608"/>
      <c r="J101" s="608"/>
      <c r="K101" s="608"/>
      <c r="L101" s="608"/>
    </row>
    <row r="102" spans="2:12" s="238" customFormat="1" ht="15" x14ac:dyDescent="0.5">
      <c r="B102" s="1160"/>
      <c r="C102" s="1140"/>
      <c r="D102" s="459" t="s">
        <v>61</v>
      </c>
      <c r="E102" s="19" t="s">
        <v>39</v>
      </c>
      <c r="F102" s="19" t="s">
        <v>97</v>
      </c>
      <c r="G102" s="545" t="s">
        <v>21</v>
      </c>
      <c r="H102" s="634">
        <v>21</v>
      </c>
      <c r="I102" s="612"/>
      <c r="J102" s="612"/>
      <c r="K102" s="612"/>
      <c r="L102" s="612"/>
    </row>
    <row r="103" spans="2:12" s="238" customFormat="1" ht="15" x14ac:dyDescent="0.5">
      <c r="B103" s="1160"/>
      <c r="C103" s="1140"/>
      <c r="D103" s="68" t="s">
        <v>98</v>
      </c>
      <c r="E103" s="24" t="s">
        <v>65</v>
      </c>
      <c r="F103" s="24" t="s">
        <v>66</v>
      </c>
      <c r="G103" s="235" t="s">
        <v>21</v>
      </c>
      <c r="H103" s="635">
        <v>0</v>
      </c>
      <c r="I103" s="612"/>
      <c r="J103" s="612"/>
      <c r="K103" s="612"/>
      <c r="L103" s="612"/>
    </row>
    <row r="104" spans="2:12" s="238" customFormat="1" ht="15" x14ac:dyDescent="0.5">
      <c r="B104" s="1160"/>
      <c r="C104" s="1140"/>
      <c r="D104" s="459" t="s">
        <v>68</v>
      </c>
      <c r="E104" s="19" t="s">
        <v>72</v>
      </c>
      <c r="F104" s="19" t="s">
        <v>73</v>
      </c>
      <c r="G104" s="545" t="s">
        <v>21</v>
      </c>
      <c r="H104" s="634">
        <v>586</v>
      </c>
      <c r="I104" s="612"/>
      <c r="J104" s="612"/>
      <c r="K104" s="612"/>
      <c r="L104" s="612"/>
    </row>
    <row r="105" spans="2:12" s="238" customFormat="1" ht="15" x14ac:dyDescent="0.5">
      <c r="B105" s="1160"/>
      <c r="C105" s="1140"/>
      <c r="D105" s="64" t="s">
        <v>68</v>
      </c>
      <c r="E105" s="8" t="s">
        <v>69</v>
      </c>
      <c r="F105" s="8" t="s">
        <v>70</v>
      </c>
      <c r="G105" s="547" t="s">
        <v>21</v>
      </c>
      <c r="H105" s="635">
        <v>44.5</v>
      </c>
      <c r="I105" s="611"/>
      <c r="J105" s="611"/>
      <c r="K105" s="611"/>
      <c r="L105" s="611"/>
    </row>
    <row r="106" spans="2:12" s="238" customFormat="1" ht="15" x14ac:dyDescent="0.5">
      <c r="B106" s="1160"/>
      <c r="C106" s="1140"/>
      <c r="D106" s="460" t="s">
        <v>82</v>
      </c>
      <c r="E106" s="29"/>
      <c r="F106" s="29" t="s">
        <v>20</v>
      </c>
      <c r="G106" s="627"/>
      <c r="H106" s="634" t="s">
        <v>154</v>
      </c>
      <c r="I106" s="611"/>
      <c r="J106" s="611"/>
      <c r="K106" s="611"/>
      <c r="L106" s="611"/>
    </row>
    <row r="107" spans="2:12" s="238" customFormat="1" ht="19.5" customHeight="1" thickBot="1" x14ac:dyDescent="0.55000000000000004">
      <c r="B107" s="1160"/>
      <c r="C107" s="1141"/>
      <c r="D107" s="65" t="s">
        <v>83</v>
      </c>
      <c r="E107" s="23" t="s">
        <v>21</v>
      </c>
      <c r="F107" s="23" t="s">
        <v>84</v>
      </c>
      <c r="G107" s="631" t="s">
        <v>21</v>
      </c>
      <c r="H107" s="635">
        <v>1</v>
      </c>
      <c r="I107" s="613"/>
      <c r="J107" s="613"/>
      <c r="K107" s="613"/>
      <c r="L107" s="613"/>
    </row>
    <row r="108" spans="2:12" s="238" customFormat="1" ht="15" x14ac:dyDescent="0.5">
      <c r="B108" s="1160"/>
      <c r="C108" s="1139" t="s">
        <v>102</v>
      </c>
      <c r="D108" s="463" t="s">
        <v>58</v>
      </c>
      <c r="E108" s="124" t="s">
        <v>59</v>
      </c>
      <c r="F108" s="124" t="s">
        <v>21</v>
      </c>
      <c r="G108" s="630"/>
      <c r="H108" s="637">
        <v>1</v>
      </c>
      <c r="I108" s="608"/>
      <c r="J108" s="608"/>
      <c r="K108" s="608"/>
      <c r="L108" s="608"/>
    </row>
    <row r="109" spans="2:12" s="238" customFormat="1" ht="15" x14ac:dyDescent="0.5">
      <c r="B109" s="1160"/>
      <c r="C109" s="1140"/>
      <c r="D109" s="63" t="s">
        <v>100</v>
      </c>
      <c r="E109" s="27" t="s">
        <v>72</v>
      </c>
      <c r="F109" s="27" t="s">
        <v>21</v>
      </c>
      <c r="G109" s="542"/>
      <c r="H109" s="635">
        <v>0</v>
      </c>
      <c r="I109" s="608"/>
      <c r="J109" s="608"/>
      <c r="K109" s="608"/>
      <c r="L109" s="608"/>
    </row>
    <row r="110" spans="2:12" s="238" customFormat="1" ht="15" x14ac:dyDescent="0.5">
      <c r="B110" s="1160"/>
      <c r="C110" s="1140"/>
      <c r="D110" s="434" t="s">
        <v>76</v>
      </c>
      <c r="E110" s="435" t="s">
        <v>77</v>
      </c>
      <c r="F110" s="435" t="s">
        <v>21</v>
      </c>
      <c r="G110" s="468"/>
      <c r="H110" s="634">
        <v>0</v>
      </c>
      <c r="I110" s="608"/>
      <c r="J110" s="608"/>
      <c r="K110" s="608"/>
      <c r="L110" s="608"/>
    </row>
    <row r="111" spans="2:12" s="238" customFormat="1" ht="15" x14ac:dyDescent="0.5">
      <c r="B111" s="1160"/>
      <c r="C111" s="1140"/>
      <c r="D111" s="64" t="s">
        <v>86</v>
      </c>
      <c r="E111" s="8" t="s">
        <v>39</v>
      </c>
      <c r="F111" s="8" t="s">
        <v>97</v>
      </c>
      <c r="G111" s="547" t="s">
        <v>21</v>
      </c>
      <c r="H111" s="635">
        <v>22</v>
      </c>
      <c r="I111" s="612"/>
      <c r="J111" s="612"/>
      <c r="K111" s="612"/>
      <c r="L111" s="612"/>
    </row>
    <row r="112" spans="2:12" s="238" customFormat="1" ht="15" x14ac:dyDescent="0.5">
      <c r="B112" s="1160"/>
      <c r="C112" s="1140"/>
      <c r="D112" s="459" t="s">
        <v>98</v>
      </c>
      <c r="E112" s="19" t="s">
        <v>65</v>
      </c>
      <c r="F112" s="19" t="s">
        <v>66</v>
      </c>
      <c r="G112" s="545" t="s">
        <v>21</v>
      </c>
      <c r="H112" s="634">
        <v>0</v>
      </c>
      <c r="I112" s="612"/>
      <c r="J112" s="612"/>
      <c r="K112" s="612"/>
      <c r="L112" s="612"/>
    </row>
    <row r="113" spans="2:12" s="238" customFormat="1" ht="15" x14ac:dyDescent="0.5">
      <c r="B113" s="1160"/>
      <c r="C113" s="1140"/>
      <c r="D113" s="64" t="s">
        <v>68</v>
      </c>
      <c r="E113" s="8" t="s">
        <v>72</v>
      </c>
      <c r="F113" s="8" t="s">
        <v>73</v>
      </c>
      <c r="G113" s="547" t="s">
        <v>21</v>
      </c>
      <c r="H113" s="635">
        <v>570</v>
      </c>
      <c r="I113" s="612"/>
      <c r="J113" s="612"/>
      <c r="K113" s="612"/>
      <c r="L113" s="612"/>
    </row>
    <row r="114" spans="2:12" s="238" customFormat="1" ht="15" x14ac:dyDescent="0.5">
      <c r="B114" s="1160"/>
      <c r="C114" s="1140"/>
      <c r="D114" s="459" t="s">
        <v>68</v>
      </c>
      <c r="E114" s="19" t="s">
        <v>69</v>
      </c>
      <c r="F114" s="19" t="s">
        <v>70</v>
      </c>
      <c r="G114" s="545" t="s">
        <v>21</v>
      </c>
      <c r="H114" s="634">
        <v>45</v>
      </c>
      <c r="I114" s="611"/>
      <c r="J114" s="611"/>
      <c r="K114" s="611"/>
      <c r="L114" s="611"/>
    </row>
    <row r="115" spans="2:12" s="238" customFormat="1" ht="15" x14ac:dyDescent="0.5">
      <c r="B115" s="1160"/>
      <c r="C115" s="1140"/>
      <c r="D115" s="68" t="s">
        <v>82</v>
      </c>
      <c r="E115" s="24" t="s">
        <v>21</v>
      </c>
      <c r="F115" s="24" t="s">
        <v>20</v>
      </c>
      <c r="G115" s="235" t="s">
        <v>21</v>
      </c>
      <c r="H115" s="635" t="s">
        <v>154</v>
      </c>
      <c r="I115" s="611"/>
      <c r="J115" s="611"/>
      <c r="K115" s="611"/>
      <c r="L115" s="611"/>
    </row>
    <row r="116" spans="2:12" s="238" customFormat="1" ht="21" customHeight="1" thickBot="1" x14ac:dyDescent="0.55000000000000004">
      <c r="B116" s="1160"/>
      <c r="C116" s="1140"/>
      <c r="D116" s="464" t="s">
        <v>83</v>
      </c>
      <c r="E116" s="127" t="s">
        <v>21</v>
      </c>
      <c r="F116" s="127" t="s">
        <v>84</v>
      </c>
      <c r="G116" s="632" t="s">
        <v>21</v>
      </c>
      <c r="H116" s="636">
        <v>1</v>
      </c>
      <c r="I116" s="611"/>
      <c r="J116" s="611"/>
      <c r="K116" s="611"/>
      <c r="L116" s="611"/>
    </row>
    <row r="117" spans="2:12" s="238" customFormat="1" ht="30" customHeight="1" x14ac:dyDescent="0.5">
      <c r="B117" s="1142" t="s">
        <v>103</v>
      </c>
      <c r="C117" s="1143"/>
      <c r="D117" s="63" t="s">
        <v>76</v>
      </c>
      <c r="E117" s="27" t="s">
        <v>77</v>
      </c>
      <c r="F117" s="27" t="s">
        <v>21</v>
      </c>
      <c r="G117" s="542" t="s">
        <v>104</v>
      </c>
      <c r="H117" s="635">
        <v>2.41E-2</v>
      </c>
      <c r="I117" s="614"/>
      <c r="J117" s="614"/>
      <c r="K117" s="614"/>
      <c r="L117" s="614"/>
    </row>
    <row r="118" spans="2:12" s="238" customFormat="1" ht="30" customHeight="1" x14ac:dyDescent="0.5">
      <c r="B118" s="1144"/>
      <c r="C118" s="1145"/>
      <c r="D118" s="457" t="s">
        <v>82</v>
      </c>
      <c r="E118" s="50" t="s">
        <v>21</v>
      </c>
      <c r="F118" s="50" t="s">
        <v>20</v>
      </c>
      <c r="G118" s="550" t="s">
        <v>21</v>
      </c>
      <c r="H118" s="634" t="s">
        <v>154</v>
      </c>
      <c r="I118" s="594"/>
      <c r="J118" s="594"/>
      <c r="K118" s="594"/>
      <c r="L118" s="594"/>
    </row>
    <row r="119" spans="2:12" s="238" customFormat="1" ht="30" customHeight="1" thickBot="1" x14ac:dyDescent="0.55000000000000004">
      <c r="B119" s="1146"/>
      <c r="C119" s="1147"/>
      <c r="D119" s="66" t="s">
        <v>105</v>
      </c>
      <c r="E119" s="12" t="s">
        <v>19</v>
      </c>
      <c r="F119" s="12" t="s">
        <v>20</v>
      </c>
      <c r="G119" s="546" t="s">
        <v>21</v>
      </c>
      <c r="H119" s="525" t="s">
        <v>154</v>
      </c>
      <c r="I119" s="613"/>
      <c r="J119" s="613"/>
      <c r="K119" s="613"/>
      <c r="L119" s="613"/>
    </row>
    <row r="120" spans="2:12" s="238" customFormat="1" ht="15" customHeight="1" x14ac:dyDescent="0.5">
      <c r="B120" s="1142" t="s">
        <v>106</v>
      </c>
      <c r="C120" s="1143"/>
      <c r="D120" s="434" t="s">
        <v>76</v>
      </c>
      <c r="E120" s="435" t="s">
        <v>77</v>
      </c>
      <c r="F120" s="435" t="s">
        <v>21</v>
      </c>
      <c r="G120" s="468" t="s">
        <v>104</v>
      </c>
      <c r="H120" s="634">
        <v>0</v>
      </c>
      <c r="I120" s="615"/>
      <c r="J120" s="615"/>
      <c r="K120" s="615"/>
      <c r="L120" s="615"/>
    </row>
    <row r="121" spans="2:12" s="238" customFormat="1" ht="15.75" customHeight="1" x14ac:dyDescent="0.5">
      <c r="B121" s="1144"/>
      <c r="C121" s="1145"/>
      <c r="D121" s="188" t="s">
        <v>82</v>
      </c>
      <c r="E121" s="129" t="s">
        <v>21</v>
      </c>
      <c r="F121" s="129" t="s">
        <v>20</v>
      </c>
      <c r="G121" s="623" t="s">
        <v>21</v>
      </c>
      <c r="H121" s="635" t="s">
        <v>154</v>
      </c>
      <c r="I121" s="594"/>
      <c r="J121" s="594"/>
      <c r="K121" s="594"/>
      <c r="L121" s="594"/>
    </row>
    <row r="122" spans="2:12" s="238" customFormat="1" ht="16.5" customHeight="1" thickBot="1" x14ac:dyDescent="0.55000000000000004">
      <c r="B122" s="1146"/>
      <c r="C122" s="1147"/>
      <c r="D122" s="437" t="s">
        <v>105</v>
      </c>
      <c r="E122" s="29" t="s">
        <v>19</v>
      </c>
      <c r="F122" s="29" t="s">
        <v>20</v>
      </c>
      <c r="G122" s="627" t="s">
        <v>21</v>
      </c>
      <c r="H122" s="634" t="s">
        <v>154</v>
      </c>
      <c r="I122" s="611"/>
      <c r="J122" s="611"/>
      <c r="K122" s="611"/>
      <c r="L122" s="611"/>
    </row>
    <row r="123" spans="2:12" s="238" customFormat="1" ht="20.25" x14ac:dyDescent="0.5">
      <c r="B123" s="1142" t="s">
        <v>107</v>
      </c>
      <c r="C123" s="1143"/>
      <c r="D123" s="63" t="s">
        <v>108</v>
      </c>
      <c r="E123" s="11" t="s">
        <v>17</v>
      </c>
      <c r="F123" s="11" t="s">
        <v>109</v>
      </c>
      <c r="G123" s="544" t="s">
        <v>110</v>
      </c>
      <c r="H123" s="117"/>
      <c r="I123" s="610"/>
      <c r="J123" s="610"/>
      <c r="K123" s="610"/>
      <c r="L123" s="610"/>
    </row>
    <row r="124" spans="2:12" s="238" customFormat="1" ht="16.5" customHeight="1" thickBot="1" x14ac:dyDescent="0.55000000000000004">
      <c r="B124" s="1146"/>
      <c r="C124" s="1147"/>
      <c r="D124" s="460" t="s">
        <v>86</v>
      </c>
      <c r="E124" s="29" t="s">
        <v>39</v>
      </c>
      <c r="F124" s="29"/>
      <c r="G124" s="627"/>
      <c r="H124" s="634"/>
      <c r="I124" s="613"/>
      <c r="J124" s="613"/>
      <c r="K124" s="613"/>
      <c r="L124" s="613"/>
    </row>
    <row r="125" spans="2:12" s="238" customFormat="1" ht="24.75" customHeight="1" x14ac:dyDescent="0.5">
      <c r="B125" s="1142" t="s">
        <v>111</v>
      </c>
      <c r="C125" s="1143"/>
      <c r="D125" s="229" t="s">
        <v>112</v>
      </c>
      <c r="E125" s="11" t="s">
        <v>19</v>
      </c>
      <c r="F125" s="11" t="s">
        <v>20</v>
      </c>
      <c r="G125" s="544" t="s">
        <v>21</v>
      </c>
      <c r="H125" s="117" t="s">
        <v>154</v>
      </c>
      <c r="I125" s="610"/>
      <c r="J125" s="610"/>
      <c r="K125" s="610"/>
      <c r="L125" s="610"/>
    </row>
    <row r="126" spans="2:12" s="238" customFormat="1" ht="15.75" customHeight="1" x14ac:dyDescent="0.5">
      <c r="B126" s="1144"/>
      <c r="C126" s="1145"/>
      <c r="D126" s="465" t="s">
        <v>76</v>
      </c>
      <c r="E126" s="19" t="s">
        <v>77</v>
      </c>
      <c r="F126" s="19" t="s">
        <v>21</v>
      </c>
      <c r="G126" s="545" t="s">
        <v>104</v>
      </c>
      <c r="H126" s="634">
        <v>0</v>
      </c>
      <c r="I126" s="612"/>
      <c r="J126" s="612"/>
      <c r="K126" s="612"/>
      <c r="L126" s="612"/>
    </row>
    <row r="127" spans="2:12" s="238" customFormat="1" ht="15.75" customHeight="1" x14ac:dyDescent="0.5">
      <c r="B127" s="1144"/>
      <c r="C127" s="1145"/>
      <c r="D127" s="230" t="s">
        <v>82</v>
      </c>
      <c r="E127" s="8" t="s">
        <v>21</v>
      </c>
      <c r="F127" s="8" t="s">
        <v>20</v>
      </c>
      <c r="G127" s="547" t="s">
        <v>21</v>
      </c>
      <c r="H127" s="635" t="s">
        <v>154</v>
      </c>
      <c r="I127" s="612"/>
      <c r="J127" s="612"/>
      <c r="K127" s="612"/>
      <c r="L127" s="612"/>
    </row>
    <row r="128" spans="2:12" s="238" customFormat="1" ht="21" customHeight="1" x14ac:dyDescent="0.5">
      <c r="B128" s="1144"/>
      <c r="C128" s="1145"/>
      <c r="D128" s="465" t="s">
        <v>83</v>
      </c>
      <c r="E128" s="19" t="s">
        <v>69</v>
      </c>
      <c r="F128" s="19" t="s">
        <v>84</v>
      </c>
      <c r="G128" s="545" t="s">
        <v>21</v>
      </c>
      <c r="H128" s="634">
        <v>1</v>
      </c>
      <c r="I128" s="612"/>
      <c r="J128" s="612"/>
      <c r="K128" s="612"/>
      <c r="L128" s="612"/>
    </row>
    <row r="129" spans="2:12" s="238" customFormat="1" ht="15.75" customHeight="1" x14ac:dyDescent="0.5">
      <c r="B129" s="1144"/>
      <c r="C129" s="1145"/>
      <c r="D129" s="231" t="s">
        <v>68</v>
      </c>
      <c r="E129" s="24" t="s">
        <v>72</v>
      </c>
      <c r="F129" s="24" t="s">
        <v>73</v>
      </c>
      <c r="G129" s="235" t="s">
        <v>21</v>
      </c>
      <c r="H129" s="635"/>
      <c r="I129" s="611"/>
      <c r="J129" s="611"/>
      <c r="K129" s="611"/>
      <c r="L129" s="611"/>
    </row>
    <row r="130" spans="2:12" s="238" customFormat="1" ht="16.5" customHeight="1" thickBot="1" x14ac:dyDescent="0.55000000000000004">
      <c r="B130" s="1146"/>
      <c r="C130" s="1147"/>
      <c r="D130" s="466" t="s">
        <v>68</v>
      </c>
      <c r="E130" s="21" t="s">
        <v>69</v>
      </c>
      <c r="F130" s="21" t="s">
        <v>70</v>
      </c>
      <c r="G130" s="543" t="s">
        <v>71</v>
      </c>
      <c r="H130" s="636">
        <v>44</v>
      </c>
      <c r="I130" s="613"/>
      <c r="J130" s="613"/>
      <c r="K130" s="613"/>
      <c r="L130" s="613"/>
    </row>
    <row r="131" spans="2:12" s="238" customFormat="1" ht="15" customHeight="1" x14ac:dyDescent="0.5">
      <c r="B131" s="1142" t="s">
        <v>113</v>
      </c>
      <c r="C131" s="1143"/>
      <c r="D131" s="233" t="s">
        <v>112</v>
      </c>
      <c r="E131" s="27" t="s">
        <v>19</v>
      </c>
      <c r="F131" s="27" t="s">
        <v>20</v>
      </c>
      <c r="G131" s="542" t="s">
        <v>21</v>
      </c>
      <c r="H131" s="635" t="s">
        <v>154</v>
      </c>
      <c r="I131" s="610"/>
      <c r="J131" s="610"/>
      <c r="K131" s="610"/>
      <c r="L131" s="610"/>
    </row>
    <row r="132" spans="2:12" s="238" customFormat="1" ht="15.75" customHeight="1" x14ac:dyDescent="0.5">
      <c r="B132" s="1144"/>
      <c r="C132" s="1145"/>
      <c r="D132" s="465" t="s">
        <v>76</v>
      </c>
      <c r="E132" s="19" t="s">
        <v>77</v>
      </c>
      <c r="F132" s="19" t="s">
        <v>21</v>
      </c>
      <c r="G132" s="545" t="s">
        <v>104</v>
      </c>
      <c r="H132" s="634"/>
      <c r="I132" s="616"/>
      <c r="J132" s="616"/>
      <c r="K132" s="616"/>
      <c r="L132" s="616"/>
    </row>
    <row r="133" spans="2:12" s="238" customFormat="1" ht="16.5" customHeight="1" thickBot="1" x14ac:dyDescent="0.55000000000000004">
      <c r="B133" s="1146"/>
      <c r="C133" s="1147"/>
      <c r="D133" s="232" t="s">
        <v>82</v>
      </c>
      <c r="E133" s="12" t="s">
        <v>21</v>
      </c>
      <c r="F133" s="12" t="s">
        <v>20</v>
      </c>
      <c r="G133" s="546" t="s">
        <v>21</v>
      </c>
      <c r="H133" s="525" t="s">
        <v>154</v>
      </c>
      <c r="I133" s="613"/>
      <c r="J133" s="613"/>
      <c r="K133" s="613"/>
      <c r="L133" s="613"/>
    </row>
    <row r="134" spans="2:12" s="238" customFormat="1" ht="34.5" customHeight="1" x14ac:dyDescent="0.4">
      <c r="B134" s="1142" t="s">
        <v>18</v>
      </c>
      <c r="C134" s="1143"/>
      <c r="D134" s="467" t="s">
        <v>114</v>
      </c>
      <c r="E134" s="435" t="s">
        <v>115</v>
      </c>
      <c r="F134" s="435" t="s">
        <v>116</v>
      </c>
      <c r="G134" s="468" t="s">
        <v>21</v>
      </c>
      <c r="H134" s="637"/>
      <c r="I134" s="617"/>
      <c r="J134" s="617"/>
      <c r="K134" s="617"/>
      <c r="L134" s="617"/>
    </row>
    <row r="135" spans="2:12" s="238" customFormat="1" ht="21" customHeight="1" thickBot="1" x14ac:dyDescent="0.45">
      <c r="B135" s="1146"/>
      <c r="C135" s="1147"/>
      <c r="D135" s="234" t="s">
        <v>117</v>
      </c>
      <c r="E135" s="24" t="s">
        <v>21</v>
      </c>
      <c r="F135" s="24" t="s">
        <v>118</v>
      </c>
      <c r="G135" s="235" t="s">
        <v>21</v>
      </c>
      <c r="H135" s="525" t="s">
        <v>48</v>
      </c>
      <c r="I135" s="618"/>
      <c r="J135" s="618"/>
      <c r="K135" s="618"/>
      <c r="L135" s="618"/>
    </row>
    <row r="136" spans="2:12" ht="20.65" thickBot="1" x14ac:dyDescent="0.45">
      <c r="B136" s="1148" t="s">
        <v>119</v>
      </c>
      <c r="C136" s="1149"/>
      <c r="D136" s="469" t="s">
        <v>114</v>
      </c>
      <c r="E136" s="186" t="s">
        <v>115</v>
      </c>
      <c r="F136" s="186" t="s">
        <v>120</v>
      </c>
      <c r="G136" s="633" t="s">
        <v>121</v>
      </c>
      <c r="H136" s="636">
        <v>1.23</v>
      </c>
      <c r="I136" s="619"/>
      <c r="J136" s="619"/>
      <c r="K136" s="619"/>
      <c r="L136" s="619"/>
    </row>
    <row r="137" spans="2:12" ht="15.4" thickBot="1" x14ac:dyDescent="0.45"/>
    <row r="138" spans="2:12" ht="16.149999999999999" customHeight="1" thickBot="1" x14ac:dyDescent="0.45">
      <c r="C138" s="6"/>
      <c r="D138" s="1136" t="s">
        <v>122</v>
      </c>
      <c r="E138" s="1137"/>
      <c r="F138" s="1137"/>
      <c r="G138" s="1138"/>
      <c r="H138" s="522"/>
      <c r="I138" s="1484"/>
      <c r="J138" s="1484"/>
      <c r="K138" s="1484"/>
      <c r="L138" s="1484"/>
    </row>
    <row r="139" spans="2:12" ht="16.149999999999999" customHeight="1" thickBot="1" x14ac:dyDescent="0.45">
      <c r="C139" s="6"/>
      <c r="D139" s="1136"/>
      <c r="E139" s="1137"/>
      <c r="F139" s="1137"/>
      <c r="G139" s="1138"/>
      <c r="H139" s="524"/>
      <c r="I139" s="1485"/>
      <c r="J139" s="1485"/>
      <c r="K139" s="1485"/>
      <c r="L139" s="1485"/>
    </row>
    <row r="140" spans="2:12" ht="16.149999999999999" customHeight="1" thickBot="1" x14ac:dyDescent="0.45">
      <c r="C140" s="6"/>
      <c r="D140" s="1136" t="s">
        <v>123</v>
      </c>
      <c r="E140" s="1137"/>
      <c r="F140" s="1137"/>
      <c r="G140" s="1138"/>
      <c r="H140" s="523"/>
      <c r="I140" s="420"/>
      <c r="J140" s="421"/>
      <c r="K140" s="420"/>
      <c r="L140" s="421"/>
    </row>
  </sheetData>
  <mergeCells count="43">
    <mergeCell ref="B5:C5"/>
    <mergeCell ref="B1:G1"/>
    <mergeCell ref="B2:G2"/>
    <mergeCell ref="B3:C3"/>
    <mergeCell ref="D3:E3"/>
    <mergeCell ref="F3:G3"/>
    <mergeCell ref="B8:B10"/>
    <mergeCell ref="C8:C10"/>
    <mergeCell ref="B11:B46"/>
    <mergeCell ref="C11:C15"/>
    <mergeCell ref="C16:C17"/>
    <mergeCell ref="C18:C22"/>
    <mergeCell ref="C23:C25"/>
    <mergeCell ref="C26:C34"/>
    <mergeCell ref="C35:C39"/>
    <mergeCell ref="B81:B116"/>
    <mergeCell ref="C81:C89"/>
    <mergeCell ref="C90:C98"/>
    <mergeCell ref="C99:C107"/>
    <mergeCell ref="C108:C116"/>
    <mergeCell ref="B136:C136"/>
    <mergeCell ref="D138:G139"/>
    <mergeCell ref="D140:G140"/>
    <mergeCell ref="I6:I7"/>
    <mergeCell ref="H5:H7"/>
    <mergeCell ref="B117:C119"/>
    <mergeCell ref="B120:C122"/>
    <mergeCell ref="B123:C124"/>
    <mergeCell ref="B125:C130"/>
    <mergeCell ref="B131:C133"/>
    <mergeCell ref="B134:C135"/>
    <mergeCell ref="C40:C46"/>
    <mergeCell ref="B47:B80"/>
    <mergeCell ref="C47:C58"/>
    <mergeCell ref="C59:C70"/>
    <mergeCell ref="C71:C80"/>
    <mergeCell ref="K6:K7"/>
    <mergeCell ref="L6:L7"/>
    <mergeCell ref="I138:I139"/>
    <mergeCell ref="J138:J139"/>
    <mergeCell ref="K138:K139"/>
    <mergeCell ref="L138:L139"/>
    <mergeCell ref="J6:J7"/>
  </mergeCells>
  <phoneticPr fontId="23" type="noConversion"/>
  <dataValidations count="1">
    <dataValidation type="list" allowBlank="1" showInputMessage="1" showErrorMessage="1" sqref="I140:L140" xr:uid="{D76684D5-FF12-428B-95A4-C9F80B32B05B}">
      <formula1>"C.C, F.M, G.P, I.A, K.T, L.M, L.CH, M.P, M.M"</formula1>
    </dataValidation>
  </dataValidations>
  <pageMargins left="0.25" right="0.25" top="0.75" bottom="0.75" header="0.3" footer="0.3"/>
  <pageSetup paperSize="9" scale="61" fitToHeight="0" orientation="portrait" horizontalDpi="4294967293" r:id="rId1"/>
  <rowBreaks count="2" manualBreakCount="2">
    <brk id="46" max="16383" man="1"/>
    <brk id="116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4522-2971-46BD-8371-7F35342938FF}">
  <sheetPr codeName="Hoja12">
    <tabColor theme="0" tint="-0.34998626667073579"/>
    <pageSetUpPr fitToPage="1"/>
  </sheetPr>
  <dimension ref="B1:N56"/>
  <sheetViews>
    <sheetView showGridLines="0" view="pageBreakPreview" topLeftCell="A2" zoomScale="60" zoomScaleNormal="55" workbookViewId="0">
      <pane xSplit="9" ySplit="5" topLeftCell="J7" activePane="bottomRight" state="frozen"/>
      <selection pane="topRight" activeCell="F61" sqref="F61"/>
      <selection pane="bottomLeft" activeCell="F61" sqref="F61"/>
      <selection pane="bottomRight" activeCell="F61" sqref="F61"/>
    </sheetView>
  </sheetViews>
  <sheetFormatPr baseColWidth="10" defaultColWidth="10.625" defaultRowHeight="16.149999999999999" customHeight="1" x14ac:dyDescent="0.4"/>
  <cols>
    <col min="1" max="1" width="1" style="237" customWidth="1"/>
    <col min="2" max="2" width="2.625" style="3" customWidth="1"/>
    <col min="3" max="3" width="5.125" style="3" customWidth="1"/>
    <col min="4" max="4" width="13.125" style="4" customWidth="1"/>
    <col min="5" max="5" width="8.875" style="4" customWidth="1"/>
    <col min="6" max="6" width="41.625" style="1" customWidth="1"/>
    <col min="7" max="7" width="6.5" style="1" customWidth="1"/>
    <col min="8" max="8" width="8.875" style="2" customWidth="1"/>
    <col min="9" max="9" width="11.5" style="2" bestFit="1" customWidth="1"/>
    <col min="10" max="10" width="11.5" style="2" customWidth="1"/>
    <col min="11" max="16384" width="10.625" style="237"/>
  </cols>
  <sheetData>
    <row r="1" spans="2:14" ht="52.5" customHeight="1" x14ac:dyDescent="0.4">
      <c r="B1" s="1039" t="s">
        <v>0</v>
      </c>
      <c r="C1" s="1039"/>
      <c r="D1" s="1039"/>
      <c r="E1" s="1039"/>
      <c r="F1" s="1039"/>
      <c r="G1" s="1039"/>
      <c r="H1" s="1039"/>
      <c r="I1" s="1039"/>
      <c r="J1" s="564"/>
    </row>
    <row r="2" spans="2:14" ht="33.75" customHeight="1" x14ac:dyDescent="0.4">
      <c r="B2" s="1040" t="s">
        <v>1</v>
      </c>
      <c r="C2" s="1041"/>
      <c r="D2" s="1041"/>
      <c r="E2" s="1041"/>
      <c r="F2" s="1041" t="s">
        <v>211</v>
      </c>
      <c r="G2" s="1041"/>
      <c r="H2" s="1041" t="s">
        <v>212</v>
      </c>
      <c r="I2" s="1041"/>
      <c r="J2" s="528"/>
    </row>
    <row r="3" spans="2:14" ht="39.75" customHeight="1" x14ac:dyDescent="0.4">
      <c r="B3" s="1164" t="s">
        <v>124</v>
      </c>
      <c r="C3" s="1164"/>
      <c r="D3" s="1164"/>
      <c r="E3" s="1248" t="s">
        <v>213</v>
      </c>
      <c r="F3" s="1248"/>
      <c r="G3" s="1248"/>
      <c r="H3" s="1246" t="s">
        <v>4</v>
      </c>
      <c r="I3" s="1247"/>
      <c r="J3" s="640"/>
    </row>
    <row r="4" spans="2:14" ht="3" customHeight="1" x14ac:dyDescent="0.4">
      <c r="B4" s="1239"/>
      <c r="C4" s="1239"/>
      <c r="D4" s="1239"/>
      <c r="E4" s="1239"/>
      <c r="F4" s="1239"/>
      <c r="G4" s="1239"/>
      <c r="H4" s="1239"/>
      <c r="I4" s="1239"/>
      <c r="J4" s="31"/>
    </row>
    <row r="5" spans="2:14" ht="15.75" customHeight="1" x14ac:dyDescent="0.4">
      <c r="B5" s="1240" t="s">
        <v>126</v>
      </c>
      <c r="C5" s="1241"/>
      <c r="D5" s="1241" t="s">
        <v>5</v>
      </c>
      <c r="E5" s="1244"/>
      <c r="F5" s="1240" t="s">
        <v>6</v>
      </c>
      <c r="G5" s="1241" t="s">
        <v>7</v>
      </c>
      <c r="H5" s="1241" t="s">
        <v>8</v>
      </c>
      <c r="I5" s="1254" t="s">
        <v>9</v>
      </c>
      <c r="J5" s="1479"/>
      <c r="K5" s="662">
        <v>46092</v>
      </c>
      <c r="L5" s="663">
        <f>K5+1</f>
        <v>46093</v>
      </c>
      <c r="M5" s="663">
        <f>L5+1</f>
        <v>46094</v>
      </c>
      <c r="N5" s="663">
        <f>M5+1</f>
        <v>46095</v>
      </c>
    </row>
    <row r="6" spans="2:14" ht="16.5" customHeight="1" x14ac:dyDescent="0.4">
      <c r="B6" s="1242"/>
      <c r="C6" s="1243"/>
      <c r="D6" s="1243"/>
      <c r="E6" s="1245"/>
      <c r="F6" s="1242"/>
      <c r="G6" s="1243"/>
      <c r="H6" s="1243"/>
      <c r="I6" s="1255"/>
      <c r="J6" s="1481"/>
      <c r="K6" s="664"/>
      <c r="L6" s="665"/>
      <c r="M6" s="664"/>
      <c r="N6" s="666"/>
    </row>
    <row r="7" spans="2:14" ht="23.25" x14ac:dyDescent="0.4">
      <c r="B7" s="1252" t="s">
        <v>214</v>
      </c>
      <c r="C7" s="1253"/>
      <c r="D7" s="1223" t="s">
        <v>215</v>
      </c>
      <c r="E7" s="1230" t="s">
        <v>216</v>
      </c>
      <c r="F7" s="194" t="s">
        <v>38</v>
      </c>
      <c r="G7" s="151" t="s">
        <v>39</v>
      </c>
      <c r="H7" s="151" t="s">
        <v>188</v>
      </c>
      <c r="I7" s="152"/>
      <c r="J7" s="532">
        <v>48.5</v>
      </c>
      <c r="K7" s="608"/>
      <c r="L7" s="608"/>
      <c r="M7" s="608"/>
      <c r="N7" s="608"/>
    </row>
    <row r="8" spans="2:14" ht="23.25" x14ac:dyDescent="0.4">
      <c r="B8" s="1252"/>
      <c r="C8" s="1253"/>
      <c r="D8" s="1224"/>
      <c r="E8" s="1231"/>
      <c r="F8" s="146" t="s">
        <v>40</v>
      </c>
      <c r="G8" s="137" t="s">
        <v>39</v>
      </c>
      <c r="H8" s="137" t="s">
        <v>188</v>
      </c>
      <c r="I8" s="138"/>
      <c r="J8" s="531">
        <v>49.6</v>
      </c>
      <c r="K8" s="608"/>
      <c r="L8" s="608"/>
      <c r="M8" s="608"/>
      <c r="N8" s="608"/>
    </row>
    <row r="9" spans="2:14" ht="23.25" x14ac:dyDescent="0.4">
      <c r="B9" s="1252"/>
      <c r="C9" s="1253"/>
      <c r="D9" s="1224"/>
      <c r="E9" s="1231"/>
      <c r="F9" s="135" t="s">
        <v>41</v>
      </c>
      <c r="G9" s="136" t="s">
        <v>39</v>
      </c>
      <c r="H9" s="151" t="s">
        <v>188</v>
      </c>
      <c r="I9" s="153"/>
      <c r="J9" s="532">
        <v>47.3</v>
      </c>
      <c r="K9" s="608"/>
      <c r="L9" s="608"/>
      <c r="M9" s="608"/>
      <c r="N9" s="608"/>
    </row>
    <row r="10" spans="2:14" ht="15" x14ac:dyDescent="0.4">
      <c r="B10" s="1252"/>
      <c r="C10" s="1253"/>
      <c r="D10" s="1224"/>
      <c r="E10" s="1231"/>
      <c r="F10" s="146" t="s">
        <v>43</v>
      </c>
      <c r="G10" s="137" t="s">
        <v>189</v>
      </c>
      <c r="H10" s="150"/>
      <c r="I10" s="138" t="s">
        <v>217</v>
      </c>
      <c r="J10" s="531">
        <v>14</v>
      </c>
      <c r="K10" s="608"/>
      <c r="L10" s="608"/>
      <c r="M10" s="608"/>
      <c r="N10" s="608"/>
    </row>
    <row r="11" spans="2:14" ht="15" x14ac:dyDescent="0.4">
      <c r="B11" s="1252"/>
      <c r="C11" s="1253"/>
      <c r="D11" s="1224"/>
      <c r="E11" s="1231"/>
      <c r="F11" s="135" t="s">
        <v>45</v>
      </c>
      <c r="G11" s="136" t="s">
        <v>46</v>
      </c>
      <c r="H11" s="151"/>
      <c r="I11" s="153" t="s">
        <v>217</v>
      </c>
      <c r="J11" s="532">
        <v>0</v>
      </c>
      <c r="K11" s="608"/>
      <c r="L11" s="608"/>
      <c r="M11" s="608"/>
      <c r="N11" s="608"/>
    </row>
    <row r="12" spans="2:14" ht="15" x14ac:dyDescent="0.4">
      <c r="B12" s="1252"/>
      <c r="C12" s="1253"/>
      <c r="D12" s="1224"/>
      <c r="E12" s="1231"/>
      <c r="F12" s="146" t="s">
        <v>191</v>
      </c>
      <c r="G12" s="137" t="s">
        <v>27</v>
      </c>
      <c r="H12" s="137"/>
      <c r="I12" s="138"/>
      <c r="J12" s="531">
        <v>381</v>
      </c>
      <c r="K12" s="608"/>
      <c r="L12" s="608"/>
      <c r="M12" s="608"/>
      <c r="N12" s="608"/>
    </row>
    <row r="13" spans="2:14" ht="15" x14ac:dyDescent="0.4">
      <c r="B13" s="1252"/>
      <c r="C13" s="1253"/>
      <c r="D13" s="1224"/>
      <c r="E13" s="1231"/>
      <c r="F13" s="135" t="s">
        <v>192</v>
      </c>
      <c r="G13" s="136" t="s">
        <v>27</v>
      </c>
      <c r="H13" s="136"/>
      <c r="I13" s="153"/>
      <c r="J13" s="532">
        <v>381</v>
      </c>
      <c r="K13" s="608"/>
      <c r="L13" s="608"/>
      <c r="M13" s="608"/>
      <c r="N13" s="608"/>
    </row>
    <row r="14" spans="2:14" ht="15" x14ac:dyDescent="0.4">
      <c r="B14" s="1252"/>
      <c r="C14" s="1253"/>
      <c r="D14" s="1224"/>
      <c r="E14" s="1231"/>
      <c r="F14" s="146" t="s">
        <v>193</v>
      </c>
      <c r="G14" s="137" t="s">
        <v>27</v>
      </c>
      <c r="H14" s="137"/>
      <c r="I14" s="138"/>
      <c r="J14" s="531">
        <v>382</v>
      </c>
      <c r="K14" s="608"/>
      <c r="L14" s="608"/>
      <c r="M14" s="608"/>
      <c r="N14" s="608"/>
    </row>
    <row r="15" spans="2:14" ht="15" x14ac:dyDescent="0.4">
      <c r="B15" s="1252"/>
      <c r="C15" s="1253"/>
      <c r="D15" s="1224"/>
      <c r="E15" s="1231"/>
      <c r="F15" s="135" t="s">
        <v>47</v>
      </c>
      <c r="G15" s="136" t="s">
        <v>48</v>
      </c>
      <c r="H15" s="136"/>
      <c r="I15" s="153"/>
      <c r="J15" s="532">
        <v>34.799999999999997</v>
      </c>
      <c r="K15" s="608"/>
      <c r="L15" s="608"/>
      <c r="M15" s="608"/>
      <c r="N15" s="608"/>
    </row>
    <row r="16" spans="2:14" ht="15" x14ac:dyDescent="0.4">
      <c r="B16" s="1252"/>
      <c r="C16" s="1253"/>
      <c r="D16" s="1224"/>
      <c r="E16" s="1231"/>
      <c r="F16" s="146" t="s">
        <v>49</v>
      </c>
      <c r="G16" s="137" t="s">
        <v>48</v>
      </c>
      <c r="H16" s="137"/>
      <c r="I16" s="138"/>
      <c r="J16" s="531">
        <v>36.799999999999997</v>
      </c>
      <c r="K16" s="608"/>
      <c r="L16" s="608"/>
      <c r="M16" s="608"/>
      <c r="N16" s="608"/>
    </row>
    <row r="17" spans="2:14" ht="15.4" thickBot="1" x14ac:dyDescent="0.45">
      <c r="B17" s="1252"/>
      <c r="C17" s="1253"/>
      <c r="D17" s="1224"/>
      <c r="E17" s="1231"/>
      <c r="F17" s="147" t="s">
        <v>50</v>
      </c>
      <c r="G17" s="148" t="s">
        <v>48</v>
      </c>
      <c r="H17" s="148"/>
      <c r="I17" s="149"/>
      <c r="J17" s="532">
        <v>16.399999999999999</v>
      </c>
      <c r="K17" s="608"/>
      <c r="L17" s="608"/>
      <c r="M17" s="608"/>
      <c r="N17" s="608"/>
    </row>
    <row r="18" spans="2:14" ht="23.25" x14ac:dyDescent="0.4">
      <c r="B18" s="1252"/>
      <c r="C18" s="1253"/>
      <c r="D18" s="1224"/>
      <c r="E18" s="1232" t="s">
        <v>218</v>
      </c>
      <c r="F18" s="145" t="s">
        <v>38</v>
      </c>
      <c r="G18" s="133" t="s">
        <v>39</v>
      </c>
      <c r="H18" s="133" t="s">
        <v>188</v>
      </c>
      <c r="I18" s="134"/>
      <c r="J18" s="652">
        <v>49.3</v>
      </c>
      <c r="K18" s="643"/>
      <c r="L18" s="643"/>
      <c r="M18" s="643"/>
      <c r="N18" s="643"/>
    </row>
    <row r="19" spans="2:14" ht="23.25" x14ac:dyDescent="0.4">
      <c r="B19" s="1252"/>
      <c r="C19" s="1253"/>
      <c r="D19" s="1224"/>
      <c r="E19" s="1233"/>
      <c r="F19" s="146" t="s">
        <v>40</v>
      </c>
      <c r="G19" s="137" t="s">
        <v>219</v>
      </c>
      <c r="H19" s="137" t="s">
        <v>188</v>
      </c>
      <c r="I19" s="138"/>
      <c r="J19" s="653">
        <v>50.2</v>
      </c>
      <c r="K19" s="608"/>
      <c r="L19" s="608"/>
      <c r="M19" s="608"/>
      <c r="N19" s="608"/>
    </row>
    <row r="20" spans="2:14" ht="23.25" x14ac:dyDescent="0.4">
      <c r="B20" s="1252"/>
      <c r="C20" s="1253"/>
      <c r="D20" s="1224"/>
      <c r="E20" s="1233"/>
      <c r="F20" s="135" t="s">
        <v>41</v>
      </c>
      <c r="G20" s="136" t="s">
        <v>39</v>
      </c>
      <c r="H20" s="151" t="s">
        <v>188</v>
      </c>
      <c r="I20" s="153"/>
      <c r="J20" s="654">
        <v>46.4</v>
      </c>
      <c r="K20" s="608"/>
      <c r="L20" s="608"/>
      <c r="M20" s="608"/>
      <c r="N20" s="608"/>
    </row>
    <row r="21" spans="2:14" ht="15" x14ac:dyDescent="0.4">
      <c r="B21" s="1252"/>
      <c r="C21" s="1253"/>
      <c r="D21" s="1224"/>
      <c r="E21" s="1233"/>
      <c r="F21" s="146" t="s">
        <v>43</v>
      </c>
      <c r="G21" s="137" t="s">
        <v>189</v>
      </c>
      <c r="H21" s="150"/>
      <c r="I21" s="138" t="s">
        <v>217</v>
      </c>
      <c r="J21" s="653">
        <v>23</v>
      </c>
      <c r="K21" s="608"/>
      <c r="L21" s="608"/>
      <c r="M21" s="608"/>
      <c r="N21" s="608"/>
    </row>
    <row r="22" spans="2:14" ht="15" x14ac:dyDescent="0.4">
      <c r="B22" s="1252"/>
      <c r="C22" s="1253"/>
      <c r="D22" s="1224"/>
      <c r="E22" s="1233"/>
      <c r="F22" s="135" t="s">
        <v>45</v>
      </c>
      <c r="G22" s="136" t="s">
        <v>46</v>
      </c>
      <c r="H22" s="151"/>
      <c r="I22" s="153" t="s">
        <v>217</v>
      </c>
      <c r="J22" s="654">
        <v>3</v>
      </c>
      <c r="K22" s="608"/>
      <c r="L22" s="608"/>
      <c r="M22" s="608"/>
      <c r="N22" s="608"/>
    </row>
    <row r="23" spans="2:14" ht="15" x14ac:dyDescent="0.4">
      <c r="B23" s="1252"/>
      <c r="C23" s="1253"/>
      <c r="D23" s="1224"/>
      <c r="E23" s="1233"/>
      <c r="F23" s="146" t="s">
        <v>191</v>
      </c>
      <c r="G23" s="137" t="s">
        <v>27</v>
      </c>
      <c r="H23" s="137"/>
      <c r="I23" s="138"/>
      <c r="J23" s="653">
        <v>383</v>
      </c>
      <c r="K23" s="608"/>
      <c r="L23" s="608"/>
      <c r="M23" s="608"/>
      <c r="N23" s="608"/>
    </row>
    <row r="24" spans="2:14" ht="15" x14ac:dyDescent="0.4">
      <c r="B24" s="1252"/>
      <c r="C24" s="1253"/>
      <c r="D24" s="1224"/>
      <c r="E24" s="1233"/>
      <c r="F24" s="135" t="s">
        <v>192</v>
      </c>
      <c r="G24" s="136" t="s">
        <v>27</v>
      </c>
      <c r="H24" s="136"/>
      <c r="I24" s="153"/>
      <c r="J24" s="654">
        <v>382</v>
      </c>
      <c r="K24" s="608"/>
      <c r="L24" s="608"/>
      <c r="M24" s="608"/>
      <c r="N24" s="608"/>
    </row>
    <row r="25" spans="2:14" ht="15" x14ac:dyDescent="0.4">
      <c r="B25" s="1252"/>
      <c r="C25" s="1253"/>
      <c r="D25" s="1224"/>
      <c r="E25" s="1233"/>
      <c r="F25" s="146" t="s">
        <v>193</v>
      </c>
      <c r="G25" s="137" t="s">
        <v>27</v>
      </c>
      <c r="H25" s="137"/>
      <c r="I25" s="138"/>
      <c r="J25" s="653">
        <v>383</v>
      </c>
      <c r="K25" s="608"/>
      <c r="L25" s="608"/>
      <c r="M25" s="608"/>
      <c r="N25" s="608"/>
    </row>
    <row r="26" spans="2:14" ht="15" x14ac:dyDescent="0.4">
      <c r="B26" s="1252"/>
      <c r="C26" s="1253"/>
      <c r="D26" s="1224"/>
      <c r="E26" s="1233"/>
      <c r="F26" s="135" t="s">
        <v>47</v>
      </c>
      <c r="G26" s="136" t="s">
        <v>48</v>
      </c>
      <c r="H26" s="136"/>
      <c r="I26" s="153"/>
      <c r="J26" s="654">
        <v>51.2</v>
      </c>
      <c r="K26" s="608"/>
      <c r="L26" s="608"/>
      <c r="M26" s="608"/>
      <c r="N26" s="608"/>
    </row>
    <row r="27" spans="2:14" ht="15" x14ac:dyDescent="0.4">
      <c r="B27" s="1252"/>
      <c r="C27" s="1253"/>
      <c r="D27" s="1224"/>
      <c r="E27" s="1233"/>
      <c r="F27" s="146" t="s">
        <v>49</v>
      </c>
      <c r="G27" s="137" t="s">
        <v>48</v>
      </c>
      <c r="H27" s="137"/>
      <c r="I27" s="138"/>
      <c r="J27" s="653">
        <v>37.6</v>
      </c>
      <c r="K27" s="608"/>
      <c r="L27" s="608"/>
      <c r="M27" s="608"/>
      <c r="N27" s="608"/>
    </row>
    <row r="28" spans="2:14" ht="15" x14ac:dyDescent="0.4">
      <c r="B28" s="1252"/>
      <c r="C28" s="1253"/>
      <c r="D28" s="1224"/>
      <c r="E28" s="1233"/>
      <c r="F28" s="155" t="s">
        <v>50</v>
      </c>
      <c r="G28" s="154" t="s">
        <v>48</v>
      </c>
      <c r="H28" s="154"/>
      <c r="I28" s="156"/>
      <c r="J28" s="655">
        <v>32</v>
      </c>
      <c r="K28" s="608"/>
      <c r="L28" s="608"/>
      <c r="M28" s="608"/>
      <c r="N28" s="608"/>
    </row>
    <row r="29" spans="2:14" ht="23.25" x14ac:dyDescent="0.4">
      <c r="B29" s="1252"/>
      <c r="C29" s="1253"/>
      <c r="D29" s="1224"/>
      <c r="E29" s="1196" t="s">
        <v>163</v>
      </c>
      <c r="F29" s="131" t="s">
        <v>53</v>
      </c>
      <c r="G29" s="132" t="s">
        <v>21</v>
      </c>
      <c r="H29" s="132"/>
      <c r="I29" s="157" t="s">
        <v>196</v>
      </c>
      <c r="J29" s="531" t="s">
        <v>197</v>
      </c>
      <c r="K29" s="644"/>
      <c r="L29" s="644"/>
      <c r="M29" s="644"/>
      <c r="N29" s="644"/>
    </row>
    <row r="30" spans="2:14" ht="23.25" x14ac:dyDescent="0.4">
      <c r="B30" s="1252"/>
      <c r="C30" s="1253"/>
      <c r="D30" s="1224"/>
      <c r="E30" s="1197"/>
      <c r="F30" s="135" t="s">
        <v>220</v>
      </c>
      <c r="G30" s="144" t="s">
        <v>21</v>
      </c>
      <c r="H30" s="136"/>
      <c r="I30" s="153" t="s">
        <v>51</v>
      </c>
      <c r="J30" s="532" t="s">
        <v>667</v>
      </c>
      <c r="K30" s="645"/>
      <c r="L30" s="645"/>
      <c r="M30" s="645"/>
      <c r="N30" s="645"/>
    </row>
    <row r="31" spans="2:14" ht="23.65" thickBot="1" x14ac:dyDescent="0.45">
      <c r="B31" s="1252"/>
      <c r="C31" s="1253"/>
      <c r="D31" s="1225"/>
      <c r="E31" s="1198"/>
      <c r="F31" s="158" t="s">
        <v>195</v>
      </c>
      <c r="G31" s="159"/>
      <c r="H31" s="159"/>
      <c r="I31" s="160" t="s">
        <v>51</v>
      </c>
      <c r="J31" s="531" t="s">
        <v>667</v>
      </c>
      <c r="K31" s="646"/>
      <c r="L31" s="646"/>
      <c r="M31" s="646"/>
      <c r="N31" s="646"/>
    </row>
    <row r="32" spans="2:14" ht="15" x14ac:dyDescent="0.4">
      <c r="B32" s="1256" t="s">
        <v>221</v>
      </c>
      <c r="C32" s="1257"/>
      <c r="D32" s="1488" t="s">
        <v>222</v>
      </c>
      <c r="E32" s="1216"/>
      <c r="F32" s="161" t="s">
        <v>223</v>
      </c>
      <c r="G32" s="151" t="s">
        <v>21</v>
      </c>
      <c r="H32" s="151"/>
      <c r="I32" s="152" t="s">
        <v>224</v>
      </c>
      <c r="J32" s="652" t="s">
        <v>370</v>
      </c>
      <c r="K32" s="608"/>
      <c r="L32" s="608"/>
      <c r="M32" s="608"/>
      <c r="N32" s="608"/>
    </row>
    <row r="33" spans="2:14" ht="15" x14ac:dyDescent="0.4">
      <c r="B33" s="1258"/>
      <c r="C33" s="1259"/>
      <c r="D33" s="1489"/>
      <c r="E33" s="1218"/>
      <c r="F33" s="162" t="s">
        <v>226</v>
      </c>
      <c r="G33" s="137" t="s">
        <v>21</v>
      </c>
      <c r="H33" s="137"/>
      <c r="I33" s="138" t="s">
        <v>224</v>
      </c>
      <c r="J33" s="653" t="s">
        <v>370</v>
      </c>
      <c r="K33" s="608"/>
      <c r="L33" s="608"/>
      <c r="M33" s="608"/>
      <c r="N33" s="608"/>
    </row>
    <row r="34" spans="2:14" ht="15" x14ac:dyDescent="0.4">
      <c r="B34" s="1258"/>
      <c r="C34" s="1259"/>
      <c r="D34" s="1489"/>
      <c r="E34" s="1218"/>
      <c r="F34" s="163" t="s">
        <v>227</v>
      </c>
      <c r="G34" s="136" t="s">
        <v>21</v>
      </c>
      <c r="H34" s="136"/>
      <c r="I34" s="153" t="s">
        <v>224</v>
      </c>
      <c r="J34" s="654" t="s">
        <v>370</v>
      </c>
      <c r="K34" s="608"/>
      <c r="L34" s="608"/>
      <c r="M34" s="608"/>
      <c r="N34" s="608"/>
    </row>
    <row r="35" spans="2:14" ht="23.65" thickBot="1" x14ac:dyDescent="0.45">
      <c r="B35" s="1258"/>
      <c r="C35" s="1259"/>
      <c r="D35" s="1490"/>
      <c r="E35" s="1220"/>
      <c r="F35" s="139" t="s">
        <v>228</v>
      </c>
      <c r="G35" s="140" t="s">
        <v>21</v>
      </c>
      <c r="H35" s="140"/>
      <c r="I35" s="141" t="s">
        <v>224</v>
      </c>
      <c r="J35" s="656" t="s">
        <v>370</v>
      </c>
      <c r="K35" s="619"/>
      <c r="L35" s="619"/>
      <c r="M35" s="619"/>
      <c r="N35" s="619"/>
    </row>
    <row r="36" spans="2:14" ht="15" x14ac:dyDescent="0.4">
      <c r="B36" s="1258"/>
      <c r="C36" s="1259"/>
      <c r="D36" s="1491" t="s">
        <v>236</v>
      </c>
      <c r="E36" s="1491"/>
      <c r="F36" s="145" t="s">
        <v>237</v>
      </c>
      <c r="G36" s="133" t="s">
        <v>21</v>
      </c>
      <c r="H36" s="133"/>
      <c r="I36" s="134" t="s">
        <v>224</v>
      </c>
      <c r="J36" s="530" t="s">
        <v>370</v>
      </c>
      <c r="K36" s="610"/>
      <c r="L36" s="610"/>
      <c r="M36" s="610"/>
      <c r="N36" s="610"/>
    </row>
    <row r="37" spans="2:14" ht="23.25" x14ac:dyDescent="0.4">
      <c r="B37" s="1258"/>
      <c r="C37" s="1259"/>
      <c r="D37" s="1223"/>
      <c r="E37" s="1223"/>
      <c r="F37" s="146" t="s">
        <v>238</v>
      </c>
      <c r="G37" s="137" t="s">
        <v>27</v>
      </c>
      <c r="H37" s="137"/>
      <c r="I37" s="138" t="s">
        <v>239</v>
      </c>
      <c r="J37" s="531">
        <v>232.3</v>
      </c>
      <c r="K37" s="608"/>
      <c r="L37" s="608"/>
      <c r="M37" s="608"/>
      <c r="N37" s="608"/>
    </row>
    <row r="38" spans="2:14" ht="23.25" x14ac:dyDescent="0.4">
      <c r="B38" s="1258"/>
      <c r="C38" s="1259"/>
      <c r="D38" s="1223"/>
      <c r="E38" s="1223"/>
      <c r="F38" s="135" t="s">
        <v>240</v>
      </c>
      <c r="G38" s="136" t="s">
        <v>48</v>
      </c>
      <c r="H38" s="136"/>
      <c r="I38" s="153" t="s">
        <v>239</v>
      </c>
      <c r="J38" s="532">
        <v>1</v>
      </c>
      <c r="K38" s="608"/>
      <c r="L38" s="608"/>
      <c r="M38" s="608"/>
      <c r="N38" s="608"/>
    </row>
    <row r="39" spans="2:14" ht="15" x14ac:dyDescent="0.4">
      <c r="B39" s="1258"/>
      <c r="C39" s="1259"/>
      <c r="D39" s="1223"/>
      <c r="E39" s="1223"/>
      <c r="F39" s="146" t="s">
        <v>241</v>
      </c>
      <c r="G39" s="137" t="s">
        <v>27</v>
      </c>
      <c r="H39" s="137"/>
      <c r="I39" s="138" t="s">
        <v>73</v>
      </c>
      <c r="J39" s="531">
        <v>233.07</v>
      </c>
      <c r="K39" s="608"/>
      <c r="L39" s="608"/>
      <c r="M39" s="608"/>
      <c r="N39" s="608"/>
    </row>
    <row r="40" spans="2:14" ht="15.4" thickBot="1" x14ac:dyDescent="0.45">
      <c r="B40" s="1258"/>
      <c r="C40" s="1259"/>
      <c r="D40" s="1223"/>
      <c r="E40" s="1223"/>
      <c r="F40" s="135" t="s">
        <v>242</v>
      </c>
      <c r="G40" s="136" t="s">
        <v>48</v>
      </c>
      <c r="H40" s="136"/>
      <c r="I40" s="153" t="s">
        <v>73</v>
      </c>
      <c r="J40" s="532">
        <v>0</v>
      </c>
      <c r="K40" s="647"/>
      <c r="L40" s="647"/>
      <c r="M40" s="647"/>
      <c r="N40" s="647"/>
    </row>
    <row r="41" spans="2:14" ht="15" x14ac:dyDescent="0.4">
      <c r="B41" s="1258"/>
      <c r="C41" s="1259"/>
      <c r="D41" s="1223"/>
      <c r="E41" s="1223"/>
      <c r="F41" s="146" t="s">
        <v>243</v>
      </c>
      <c r="G41" s="137" t="s">
        <v>21</v>
      </c>
      <c r="H41" s="137"/>
      <c r="I41" s="138" t="s">
        <v>224</v>
      </c>
      <c r="J41" s="657" t="s">
        <v>370</v>
      </c>
      <c r="K41" s="648"/>
      <c r="L41" s="648"/>
      <c r="M41" s="648"/>
      <c r="N41" s="648"/>
    </row>
    <row r="42" spans="2:14" ht="23.25" x14ac:dyDescent="0.4">
      <c r="B42" s="1258"/>
      <c r="C42" s="1259"/>
      <c r="D42" s="1223"/>
      <c r="E42" s="1223"/>
      <c r="F42" s="135" t="s">
        <v>238</v>
      </c>
      <c r="G42" s="136" t="s">
        <v>27</v>
      </c>
      <c r="H42" s="136"/>
      <c r="I42" s="153" t="s">
        <v>239</v>
      </c>
      <c r="J42" s="654">
        <v>232.8</v>
      </c>
      <c r="K42" s="608"/>
      <c r="L42" s="608"/>
      <c r="M42" s="608"/>
      <c r="N42" s="608"/>
    </row>
    <row r="43" spans="2:14" ht="23.25" x14ac:dyDescent="0.4">
      <c r="B43" s="1258"/>
      <c r="C43" s="1259"/>
      <c r="D43" s="1223"/>
      <c r="E43" s="1223"/>
      <c r="F43" s="146" t="s">
        <v>240</v>
      </c>
      <c r="G43" s="137" t="s">
        <v>48</v>
      </c>
      <c r="H43" s="137"/>
      <c r="I43" s="138" t="s">
        <v>239</v>
      </c>
      <c r="J43" s="653">
        <v>1</v>
      </c>
      <c r="K43" s="608"/>
      <c r="L43" s="608"/>
      <c r="M43" s="608"/>
      <c r="N43" s="608"/>
    </row>
    <row r="44" spans="2:14" ht="15" x14ac:dyDescent="0.4">
      <c r="B44" s="1258"/>
      <c r="C44" s="1259"/>
      <c r="D44" s="1223"/>
      <c r="E44" s="1223"/>
      <c r="F44" s="135" t="s">
        <v>244</v>
      </c>
      <c r="G44" s="136" t="s">
        <v>27</v>
      </c>
      <c r="H44" s="136"/>
      <c r="I44" s="153" t="s">
        <v>73</v>
      </c>
      <c r="J44" s="654">
        <v>233.01</v>
      </c>
      <c r="K44" s="608"/>
      <c r="L44" s="608"/>
      <c r="M44" s="608"/>
      <c r="N44" s="608"/>
    </row>
    <row r="45" spans="2:14" ht="15.4" thickBot="1" x14ac:dyDescent="0.45">
      <c r="B45" s="1258"/>
      <c r="C45" s="1259"/>
      <c r="D45" s="1223"/>
      <c r="E45" s="1223"/>
      <c r="F45" s="146" t="s">
        <v>245</v>
      </c>
      <c r="G45" s="137" t="s">
        <v>48</v>
      </c>
      <c r="H45" s="137"/>
      <c r="I45" s="138" t="s">
        <v>73</v>
      </c>
      <c r="J45" s="656">
        <v>0</v>
      </c>
      <c r="K45" s="647"/>
      <c r="L45" s="647"/>
      <c r="M45" s="647"/>
      <c r="N45" s="647"/>
    </row>
    <row r="46" spans="2:14" ht="15" x14ac:dyDescent="0.4">
      <c r="B46" s="1258"/>
      <c r="C46" s="1259"/>
      <c r="D46" s="1223"/>
      <c r="E46" s="1223"/>
      <c r="F46" s="194" t="s">
        <v>246</v>
      </c>
      <c r="G46" s="151" t="s">
        <v>21</v>
      </c>
      <c r="H46" s="151"/>
      <c r="I46" s="152" t="s">
        <v>224</v>
      </c>
      <c r="J46" s="652" t="s">
        <v>370</v>
      </c>
      <c r="K46" s="608"/>
      <c r="L46" s="608"/>
      <c r="M46" s="608"/>
      <c r="N46" s="608"/>
    </row>
    <row r="47" spans="2:14" ht="23.25" x14ac:dyDescent="0.4">
      <c r="B47" s="1258"/>
      <c r="C47" s="1259"/>
      <c r="D47" s="1223"/>
      <c r="E47" s="1223"/>
      <c r="F47" s="146" t="s">
        <v>238</v>
      </c>
      <c r="G47" s="137" t="s">
        <v>27</v>
      </c>
      <c r="H47" s="137"/>
      <c r="I47" s="138" t="s">
        <v>239</v>
      </c>
      <c r="J47" s="653">
        <v>234</v>
      </c>
      <c r="K47" s="608"/>
      <c r="L47" s="608"/>
      <c r="M47" s="608"/>
      <c r="N47" s="608"/>
    </row>
    <row r="48" spans="2:14" ht="23.25" x14ac:dyDescent="0.4">
      <c r="B48" s="1258"/>
      <c r="C48" s="1259"/>
      <c r="D48" s="1223"/>
      <c r="E48" s="1223"/>
      <c r="F48" s="135" t="s">
        <v>240</v>
      </c>
      <c r="G48" s="136" t="s">
        <v>48</v>
      </c>
      <c r="H48" s="136"/>
      <c r="I48" s="153" t="s">
        <v>239</v>
      </c>
      <c r="J48" s="654">
        <v>0</v>
      </c>
      <c r="K48" s="594"/>
      <c r="L48" s="594"/>
      <c r="M48" s="594"/>
      <c r="N48" s="594"/>
    </row>
    <row r="49" spans="2:14" ht="15" x14ac:dyDescent="0.4">
      <c r="B49" s="1258"/>
      <c r="C49" s="1259"/>
      <c r="D49" s="1223"/>
      <c r="E49" s="1223"/>
      <c r="F49" s="146" t="s">
        <v>247</v>
      </c>
      <c r="G49" s="137" t="s">
        <v>27</v>
      </c>
      <c r="H49" s="137"/>
      <c r="I49" s="138" t="s">
        <v>73</v>
      </c>
      <c r="J49" s="653">
        <v>234.1</v>
      </c>
      <c r="K49" s="649"/>
      <c r="L49" s="649"/>
      <c r="M49" s="649"/>
      <c r="N49" s="649"/>
    </row>
    <row r="50" spans="2:14" ht="15.4" thickBot="1" x14ac:dyDescent="0.45">
      <c r="B50" s="1258"/>
      <c r="C50" s="1259"/>
      <c r="D50" s="1492"/>
      <c r="E50" s="1492"/>
      <c r="F50" s="147" t="s">
        <v>248</v>
      </c>
      <c r="G50" s="148" t="s">
        <v>48</v>
      </c>
      <c r="H50" s="148"/>
      <c r="I50" s="149" t="s">
        <v>73</v>
      </c>
      <c r="J50" s="655">
        <v>0</v>
      </c>
      <c r="K50" s="594"/>
      <c r="L50" s="594"/>
      <c r="M50" s="594"/>
      <c r="N50" s="594"/>
    </row>
    <row r="51" spans="2:14" ht="23.65" thickBot="1" x14ac:dyDescent="0.45">
      <c r="B51" s="1258"/>
      <c r="C51" s="1259"/>
      <c r="D51" s="1221" t="s">
        <v>249</v>
      </c>
      <c r="E51" s="1222"/>
      <c r="F51" s="164" t="s">
        <v>250</v>
      </c>
      <c r="G51" s="165" t="s">
        <v>21</v>
      </c>
      <c r="H51" s="166"/>
      <c r="I51" s="167" t="s">
        <v>224</v>
      </c>
      <c r="J51" s="531" t="s">
        <v>370</v>
      </c>
      <c r="K51" s="650"/>
      <c r="L51" s="650"/>
      <c r="M51" s="650"/>
      <c r="N51" s="650"/>
    </row>
    <row r="52" spans="2:14" ht="15.4" thickBot="1" x14ac:dyDescent="0.45">
      <c r="B52" s="1260"/>
      <c r="C52" s="1261"/>
      <c r="D52" s="1226" t="s">
        <v>251</v>
      </c>
      <c r="E52" s="1227"/>
      <c r="F52" s="168" t="s">
        <v>252</v>
      </c>
      <c r="G52" s="165" t="s">
        <v>21</v>
      </c>
      <c r="H52" s="169"/>
      <c r="I52" s="170" t="s">
        <v>224</v>
      </c>
      <c r="J52" s="641" t="s">
        <v>370</v>
      </c>
      <c r="K52" s="651"/>
      <c r="L52" s="651"/>
      <c r="M52" s="651"/>
      <c r="N52" s="651"/>
    </row>
    <row r="53" spans="2:14" ht="15.4" thickBot="1" x14ac:dyDescent="0.45">
      <c r="B53" s="35"/>
      <c r="C53" s="35"/>
      <c r="D53" s="2"/>
      <c r="E53" s="2"/>
      <c r="F53" s="9"/>
      <c r="G53" s="2"/>
      <c r="H53" s="36"/>
      <c r="I53" s="36"/>
      <c r="J53" s="36"/>
      <c r="K53" s="238"/>
      <c r="L53" s="238"/>
    </row>
    <row r="54" spans="2:14" ht="27" customHeight="1" x14ac:dyDescent="0.4">
      <c r="B54" s="5"/>
      <c r="C54" s="5"/>
      <c r="D54" s="6"/>
      <c r="E54" s="1013" t="s">
        <v>201</v>
      </c>
      <c r="F54" s="1014"/>
      <c r="G54" s="1014"/>
      <c r="H54" s="1014"/>
      <c r="I54" s="1228"/>
      <c r="J54" s="522"/>
      <c r="K54" s="1486"/>
      <c r="L54" s="1486"/>
      <c r="M54" s="1486"/>
      <c r="N54" s="1486"/>
    </row>
    <row r="55" spans="2:14" ht="23.25" customHeight="1" thickBot="1" x14ac:dyDescent="0.45">
      <c r="B55" s="5"/>
      <c r="C55" s="5"/>
      <c r="D55" s="6"/>
      <c r="E55" s="1015"/>
      <c r="F55" s="1016"/>
      <c r="G55" s="1016"/>
      <c r="H55" s="1016"/>
      <c r="I55" s="1229"/>
      <c r="J55" s="642"/>
      <c r="K55" s="1487"/>
      <c r="L55" s="1487"/>
      <c r="M55" s="1487"/>
      <c r="N55" s="1487"/>
    </row>
    <row r="56" spans="2:14" s="238" customFormat="1" ht="35.25" customHeight="1" thickBot="1" x14ac:dyDescent="0.55000000000000004">
      <c r="B56" s="5"/>
      <c r="C56" s="5"/>
      <c r="D56" s="121"/>
      <c r="E56" s="1011" t="s">
        <v>123</v>
      </c>
      <c r="F56" s="1012"/>
      <c r="G56" s="1012"/>
      <c r="H56" s="1012"/>
      <c r="I56" s="1214"/>
      <c r="J56" s="523"/>
      <c r="K56" s="340"/>
      <c r="L56" s="341"/>
      <c r="M56" s="340"/>
      <c r="N56" s="341"/>
    </row>
  </sheetData>
  <mergeCells count="30">
    <mergeCell ref="B4:E4"/>
    <mergeCell ref="F4:I4"/>
    <mergeCell ref="B1:I1"/>
    <mergeCell ref="B2:I2"/>
    <mergeCell ref="B3:D3"/>
    <mergeCell ref="E3:G3"/>
    <mergeCell ref="H3:I3"/>
    <mergeCell ref="B5:C6"/>
    <mergeCell ref="D5:E6"/>
    <mergeCell ref="F5:F6"/>
    <mergeCell ref="G5:G6"/>
    <mergeCell ref="H5:H6"/>
    <mergeCell ref="B7:C31"/>
    <mergeCell ref="D7:D31"/>
    <mergeCell ref="E7:E17"/>
    <mergeCell ref="E18:E28"/>
    <mergeCell ref="E29:E31"/>
    <mergeCell ref="N54:N55"/>
    <mergeCell ref="B32:C52"/>
    <mergeCell ref="D32:E35"/>
    <mergeCell ref="D36:E50"/>
    <mergeCell ref="D51:E51"/>
    <mergeCell ref="D52:E52"/>
    <mergeCell ref="E54:I55"/>
    <mergeCell ref="J5:J6"/>
    <mergeCell ref="E56:I56"/>
    <mergeCell ref="K54:K55"/>
    <mergeCell ref="L54:L55"/>
    <mergeCell ref="M54:M55"/>
    <mergeCell ref="I5:I6"/>
  </mergeCells>
  <dataValidations count="2">
    <dataValidation type="list" allowBlank="1" showInputMessage="1" showErrorMessage="1" sqref="K29:N29" xr:uid="{F1481ECE-558A-4F4A-83DC-FC4AF86DE3DA}">
      <formula1>"AUTO, SEMI, SALIDA"</formula1>
    </dataValidation>
    <dataValidation type="list" allowBlank="1" showInputMessage="1" showErrorMessage="1" sqref="K56:N56" xr:uid="{7DA5F0CD-D3BF-422C-86C3-168B4ACE8CD6}">
      <formula1>"C.C, F.M, G.P, I.A, K.T, L.M, L.CH, M.P, M.M"</formula1>
    </dataValidation>
  </dataValidations>
  <pageMargins left="0.25" right="0.25" top="0.75" bottom="0.75" header="0.3" footer="0.3"/>
  <pageSetup paperSize="9" scale="59" fitToHeight="0" orientation="portrait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01c2d8-e70e-419f-9b06-dc0ac08a2c0e">
      <Terms xmlns="http://schemas.microsoft.com/office/infopath/2007/PartnerControls"/>
    </lcf76f155ced4ddcb4097134ff3c332f>
    <TaxCatchAll xmlns="320a6aa6-709b-4539-8445-c0429b369ba8" xsi:nil="true"/>
    <FechayHora xmlns="ca01c2d8-e70e-419f-9b06-dc0ac08a2c0e">2026-02-28T16:10:39+00:00</FechayHor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D4009DB97A124280034C9C87E778F4" ma:contentTypeVersion="14" ma:contentTypeDescription="Crear nuevo documento." ma:contentTypeScope="" ma:versionID="d01228f3eac13ba91b28d20d5b31cfd2">
  <xsd:schema xmlns:xsd="http://www.w3.org/2001/XMLSchema" xmlns:xs="http://www.w3.org/2001/XMLSchema" xmlns:p="http://schemas.microsoft.com/office/2006/metadata/properties" xmlns:ns2="ca01c2d8-e70e-419f-9b06-dc0ac08a2c0e" xmlns:ns3="320a6aa6-709b-4539-8445-c0429b369ba8" targetNamespace="http://schemas.microsoft.com/office/2006/metadata/properties" ma:root="true" ma:fieldsID="e11a617ccd2791ed978a4a042b72ad5c" ns2:_="" ns3:_="">
    <xsd:import namespace="ca01c2d8-e70e-419f-9b06-dc0ac08a2c0e"/>
    <xsd:import namespace="320a6aa6-709b-4539-8445-c0429b369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2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1c2d8-e70e-419f-9b06-dc0ac08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6a97282-05a3-4555-919d-e075114a28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FechayHora" ma:index="21" nillable="true" ma:displayName="Fecha y Hora" ma:default="[today]" ma:format="DateTime" ma:indexed="true" ma:internalName="Fechay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a6aa6-709b-4539-8445-c0429b369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250735-f248-4018-bb6e-ba2c8704a41f}" ma:internalName="TaxCatchAll" ma:showField="CatchAllData" ma:web="320a6aa6-709b-4539-8445-c0429b369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4C55A0-1F4E-434D-A938-C8DDA8BDB3C7}">
  <ds:schemaRefs>
    <ds:schemaRef ds:uri="http://schemas.microsoft.com/office/2006/metadata/properties"/>
    <ds:schemaRef ds:uri="http://schemas.microsoft.com/office/infopath/2007/PartnerControls"/>
    <ds:schemaRef ds:uri="ca01c2d8-e70e-419f-9b06-dc0ac08a2c0e"/>
    <ds:schemaRef ds:uri="320a6aa6-709b-4539-8445-c0429b369ba8"/>
  </ds:schemaRefs>
</ds:datastoreItem>
</file>

<file path=customXml/itemProps2.xml><?xml version="1.0" encoding="utf-8"?>
<ds:datastoreItem xmlns:ds="http://schemas.openxmlformats.org/officeDocument/2006/customXml" ds:itemID="{EA233E76-BBD3-4C6B-A0C3-E7CCBF2F91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BAEB56-6BFD-41E5-AEBF-EF583DD9E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01c2d8-e70e-419f-9b06-dc0ac08a2c0e"/>
    <ds:schemaRef ds:uri="320a6aa6-709b-4539-8445-c0429b369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7</vt:i4>
      </vt:variant>
    </vt:vector>
  </HeadingPairs>
  <TitlesOfParts>
    <vt:vector size="20" baseType="lpstr">
      <vt:lpstr>PRESA</vt:lpstr>
      <vt:lpstr>COLCHON DE AIRE</vt:lpstr>
      <vt:lpstr>EDIFICIO CONTROL</vt:lpstr>
      <vt:lpstr>SE Paquillusi</vt:lpstr>
      <vt:lpstr>UG1</vt:lpstr>
      <vt:lpstr>UG2</vt:lpstr>
      <vt:lpstr>COMUNES</vt:lpstr>
      <vt:lpstr>UG1 FOR</vt:lpstr>
      <vt:lpstr>COMUNES FOR</vt:lpstr>
      <vt:lpstr>S.E. PAQUILLUSI FOR</vt:lpstr>
      <vt:lpstr>COLCHON DE AIRE FOR</vt:lpstr>
      <vt:lpstr>PRESA FOR</vt:lpstr>
      <vt:lpstr>EDIFICIO CONTROL FOR</vt:lpstr>
      <vt:lpstr>'COLCHON DE AIRE'!Área_de_impresión</vt:lpstr>
      <vt:lpstr>'COLCHON DE AIRE FOR'!Área_de_impresión</vt:lpstr>
      <vt:lpstr>COMUNES!Área_de_impresión</vt:lpstr>
      <vt:lpstr>'COMUNES FOR'!Área_de_impresión</vt:lpstr>
      <vt:lpstr>'UG1'!Área_de_impresión</vt:lpstr>
      <vt:lpstr>'UG1 FOR'!Área_de_impresión</vt:lpstr>
      <vt:lpstr>'UG2'!Área_de_impresión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Centro de Control 2</dc:creator>
  <cp:keywords/>
  <dc:description/>
  <cp:lastModifiedBy>Christian Condor Lucchini</cp:lastModifiedBy>
  <cp:revision/>
  <dcterms:created xsi:type="dcterms:W3CDTF">2012-01-12T15:10:01Z</dcterms:created>
  <dcterms:modified xsi:type="dcterms:W3CDTF">2026-05-23T09:38:46Z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0x01010044D4009DB97A124280034C9C87E778F4</vt:lpwstr>
  </property>
  <property fmtid="{D5CDD505-2E9C-101B-9397-08002B2CF9AE}" pid="3" name="MediaServiceImageTags">
    <vt:lpwstr/>
  </property>
</Properties>
</file>